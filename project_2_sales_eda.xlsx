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STEPHEN\Downloads\"/>
    </mc:Choice>
  </mc:AlternateContent>
  <xr:revisionPtr revIDLastSave="0" documentId="13_ncr:1_{CD78E34C-AA02-4A73-8C3A-89D50CD0AA41}" xr6:coauthVersionLast="47" xr6:coauthVersionMax="47" xr10:uidLastSave="{00000000-0000-0000-0000-000000000000}"/>
  <bookViews>
    <workbookView xWindow="-108" yWindow="-108" windowWidth="23256" windowHeight="12576" activeTab="2" xr2:uid="{00000000-000D-0000-FFFF-FFFF00000000}"/>
  </bookViews>
  <sheets>
    <sheet name="Top_Items" sheetId="7" r:id="rId1"/>
    <sheet name="Raw_Data" sheetId="1" r:id="rId2"/>
    <sheet name="Graphs" sheetId="9" r:id="rId3"/>
    <sheet name="Cleaned_data" sheetId="5" r:id="rId4"/>
    <sheet name="Info" sheetId="3" r:id="rId5"/>
    <sheet name="Missing_values" sheetId="2" r:id="rId6"/>
    <sheet name="Monthly_Sales_counts" sheetId="6" r:id="rId7"/>
    <sheet name="Raw_Data_Copy" sheetId="4" state="hidden" r:id="rId8"/>
  </sheets>
  <definedNames>
    <definedName name="NativeTimeline_Order_Date">#N/A</definedName>
    <definedName name="Slicer_Country">#N/A</definedName>
    <definedName name="Slicer_Product">#N/A</definedName>
  </definedNames>
  <calcPr calcId="191029"/>
  <pivotCaches>
    <pivotCache cacheId="38" r:id="rId9"/>
    <pivotCache cacheId="1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J12" i="3"/>
  <c r="J13" i="3"/>
  <c r="J14" i="3"/>
  <c r="J15" i="3"/>
  <c r="J16" i="3"/>
  <c r="J17" i="3"/>
  <c r="I17" i="3"/>
  <c r="I13" i="3"/>
  <c r="I14" i="3"/>
  <c r="I15" i="3"/>
  <c r="I16" i="3"/>
  <c r="I12" i="3"/>
  <c r="H12" i="3" a="1"/>
  <c r="H12" i="3" s="1"/>
  <c r="I4" i="3"/>
  <c r="I6" i="3"/>
  <c r="J6" i="3" s="1"/>
  <c r="I5" i="3"/>
  <c r="J5" i="3" s="1"/>
  <c r="I3" i="3"/>
  <c r="H3" i="3" a="1"/>
  <c r="H3" i="3" s="1"/>
  <c r="C19" i="3"/>
  <c r="C18" i="3"/>
  <c r="C17" i="3"/>
  <c r="C16" i="3"/>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2" i="4"/>
  <c r="C15" i="3"/>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R9"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2" i="4"/>
  <c r="R8" i="4"/>
  <c r="R7" i="4"/>
  <c r="R6" i="4"/>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F3" i="5"/>
  <c r="F4" i="5"/>
  <c r="F5" i="5"/>
  <c r="F6" i="5"/>
  <c r="F7" i="5"/>
  <c r="F8" i="5"/>
  <c r="F9" i="5"/>
  <c r="F10" i="5"/>
  <c r="F11" i="5"/>
  <c r="F12" i="5"/>
  <c r="F13" i="5"/>
  <c r="G2"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2" i="5"/>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2" i="5"/>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4" i="4"/>
  <c r="S5" i="4"/>
  <c r="S6" i="4"/>
  <c r="S7" i="4"/>
  <c r="S8" i="4"/>
  <c r="S9" i="4"/>
  <c r="S10" i="4"/>
  <c r="S11" i="4"/>
  <c r="S12" i="4"/>
  <c r="S13" i="4"/>
  <c r="S14" i="4"/>
  <c r="S15" i="4"/>
  <c r="S16" i="4"/>
  <c r="S17" i="4"/>
  <c r="S3" i="4"/>
  <c r="S2" i="4"/>
  <c r="R3" i="4"/>
  <c r="R2" i="4"/>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A577" i="5"/>
  <c r="A578" i="5"/>
  <c r="A579" i="5"/>
  <c r="A580" i="5"/>
  <c r="A581" i="5"/>
  <c r="A582" i="5"/>
  <c r="A583" i="5"/>
  <c r="A584" i="5"/>
  <c r="A585" i="5"/>
  <c r="A586" i="5"/>
  <c r="A587" i="5"/>
  <c r="A588" i="5"/>
  <c r="A589" i="5"/>
  <c r="A590" i="5"/>
  <c r="A591" i="5"/>
  <c r="A592" i="5"/>
  <c r="A593" i="5"/>
  <c r="A594" i="5"/>
  <c r="A595" i="5"/>
  <c r="A596" i="5"/>
  <c r="A597" i="5"/>
  <c r="A598" i="5"/>
  <c r="A599" i="5"/>
  <c r="A600" i="5"/>
  <c r="A601" i="5"/>
  <c r="A3" i="5"/>
  <c r="A4" i="5"/>
  <c r="A5" i="5"/>
  <c r="A6" i="5"/>
  <c r="A7" i="5"/>
  <c r="A8" i="5"/>
  <c r="A9" i="5"/>
  <c r="A10" i="5"/>
  <c r="A11" i="5"/>
  <c r="A12" i="5"/>
  <c r="A13" i="5"/>
  <c r="A14" i="5"/>
  <c r="A15" i="5"/>
  <c r="A16" i="5"/>
  <c r="A17" i="5"/>
  <c r="A18" i="5"/>
  <c r="A19" i="5"/>
  <c r="A20" i="5"/>
  <c r="A21" i="5"/>
  <c r="A22" i="5"/>
  <c r="A23" i="5"/>
  <c r="A24" i="5"/>
  <c r="A25" i="5"/>
  <c r="A26" i="5"/>
  <c r="A2" i="5"/>
  <c r="C13" i="2"/>
  <c r="C12" i="2"/>
  <c r="C10" i="2"/>
  <c r="C9" i="2"/>
  <c r="C8" i="2"/>
  <c r="C7" i="2"/>
  <c r="C6" i="2"/>
  <c r="C5" i="2"/>
  <c r="C4" i="2"/>
  <c r="C3" i="2"/>
  <c r="C2" i="2"/>
  <c r="J3" i="3" l="1"/>
  <c r="J4" i="3"/>
  <c r="R5"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<sst xmlns="http://schemas.openxmlformats.org/spreadsheetml/2006/main" count="8544" uniqueCount="865">
  <si>
    <t>Order_ID</t>
  </si>
  <si>
    <t>Order_Date</t>
  </si>
  <si>
    <t>Customer_ID</t>
  </si>
  <si>
    <t>Country</t>
  </si>
  <si>
    <t>Region</t>
  </si>
  <si>
    <t>Product</t>
  </si>
  <si>
    <t>Category</t>
  </si>
  <si>
    <t>Quantity</t>
  </si>
  <si>
    <t>Unit_Price</t>
  </si>
  <si>
    <t>Discount</t>
  </si>
  <si>
    <t>Sales</t>
  </si>
  <si>
    <t>Payment_Method</t>
  </si>
  <si>
    <t>ORD-0557</t>
  </si>
  <si>
    <t>ORD-0385</t>
  </si>
  <si>
    <t>ORD-0510</t>
  </si>
  <si>
    <t>ORD-0218</t>
  </si>
  <si>
    <t>ORD-0562</t>
  </si>
  <si>
    <t>ORD-0263</t>
  </si>
  <si>
    <t>ORD-0089</t>
  </si>
  <si>
    <t>ORD-0530</t>
  </si>
  <si>
    <t>ORD-0187</t>
  </si>
  <si>
    <t>ORD-0077</t>
  </si>
  <si>
    <t>ORD-0401</t>
  </si>
  <si>
    <t>ORD-0288</t>
  </si>
  <si>
    <t>ORD-0257</t>
  </si>
  <si>
    <t>ORD-0377</t>
  </si>
  <si>
    <t>ORD-0543</t>
  </si>
  <si>
    <t>ORD-0265</t>
  </si>
  <si>
    <t>ORD-0551</t>
  </si>
  <si>
    <t>ORD-0538</t>
  </si>
  <si>
    <t>ORD-0095</t>
  </si>
  <si>
    <t>ORD-0393</t>
  </si>
  <si>
    <t>ORD-0156</t>
  </si>
  <si>
    <t>ORD-0199</t>
  </si>
  <si>
    <t>ORD-0010</t>
  </si>
  <si>
    <t>ORD-0404</t>
  </si>
  <si>
    <t>ORD-0597</t>
  </si>
  <si>
    <t>ORD-0542</t>
  </si>
  <si>
    <t>ORD-0241</t>
  </si>
  <si>
    <t>ORD-0352</t>
  </si>
  <si>
    <t>ORD-0493</t>
  </si>
  <si>
    <t>ORD-0284</t>
  </si>
  <si>
    <t>ORD-0528</t>
  </si>
  <si>
    <t>ORD-0105</t>
  </si>
  <si>
    <t>ORD-0305</t>
  </si>
  <si>
    <t>ORD-0372</t>
  </si>
  <si>
    <t>ORD-0322</t>
  </si>
  <si>
    <t>ORD-0483</t>
  </si>
  <si>
    <t>ORD-0456</t>
  </si>
  <si>
    <t>ORD-0188</t>
  </si>
  <si>
    <t>ORD-0469</t>
  </si>
  <si>
    <t>ORD-0063</t>
  </si>
  <si>
    <t>ORD-0256</t>
  </si>
  <si>
    <t>ORD-0235</t>
  </si>
  <si>
    <t>ORD-0104</t>
  </si>
  <si>
    <t>ORD-0357</t>
  </si>
  <si>
    <t>ORD-0012</t>
  </si>
  <si>
    <t>ORD-0181</t>
  </si>
  <si>
    <t>ORD-0521</t>
  </si>
  <si>
    <t>ORD-0579</t>
  </si>
  <si>
    <t>ORD-0302</t>
  </si>
  <si>
    <t>ORD-0549</t>
  </si>
  <si>
    <t>ORD-0340</t>
  </si>
  <si>
    <t>ORD-0137</t>
  </si>
  <si>
    <t>ORD-0333</t>
  </si>
  <si>
    <t>ORD-0108</t>
  </si>
  <si>
    <t>ORD-0034</t>
  </si>
  <si>
    <t>ORD-0487</t>
  </si>
  <si>
    <t>ORD-0280</t>
  </si>
  <si>
    <t>ORD-0428</t>
  </si>
  <si>
    <t>ORD-0064</t>
  </si>
  <si>
    <t>ORD-0142</t>
  </si>
  <si>
    <t>ORD-0114</t>
  </si>
  <si>
    <t>ORD-0413</t>
  </si>
  <si>
    <t>ORD-0316</t>
  </si>
  <si>
    <t>ORD-0489</t>
  </si>
  <si>
    <t>ORD-0175</t>
  </si>
  <si>
    <t>ORD-0174</t>
  </si>
  <si>
    <t>ORD-0036</t>
  </si>
  <si>
    <t>ORD-0500</t>
  </si>
  <si>
    <t>ORD-0362</t>
  </si>
  <si>
    <t>ORD-0243</t>
  </si>
  <si>
    <t>ORD-0236</t>
  </si>
  <si>
    <t>ORD-0300</t>
  </si>
  <si>
    <t>ORD-0504</t>
  </si>
  <si>
    <t>ORD-0003</t>
  </si>
  <si>
    <t>ORD-0244</t>
  </si>
  <si>
    <t>ORD-0298</t>
  </si>
  <si>
    <t>ORD-0273</t>
  </si>
  <si>
    <t>ORD-0004</t>
  </si>
  <si>
    <t>ORD-0007</t>
  </si>
  <si>
    <t>ORD-0073</t>
  </si>
  <si>
    <t>ORD-0399</t>
  </si>
  <si>
    <t>ORD-0459</t>
  </si>
  <si>
    <t>ORD-0503</t>
  </si>
  <si>
    <t>ORD-0421</t>
  </si>
  <si>
    <t>ORD-0388</t>
  </si>
  <si>
    <t>ORD-0090</t>
  </si>
  <si>
    <t>ORD-0093</t>
  </si>
  <si>
    <t>ORD-0167</t>
  </si>
  <si>
    <t>ORD-0264</t>
  </si>
  <si>
    <t>ORD-0336</t>
  </si>
  <si>
    <t>ORD-0534</t>
  </si>
  <si>
    <t>ORD-0161</t>
  </si>
  <si>
    <t>ORD-0541</t>
  </si>
  <si>
    <t>ORD-0224</t>
  </si>
  <si>
    <t>ORD-0342</t>
  </si>
  <si>
    <t>ORD-0287</t>
  </si>
  <si>
    <t>ORD-0098</t>
  </si>
  <si>
    <t>ORD-0168</t>
  </si>
  <si>
    <t>ORD-0068</t>
  </si>
  <si>
    <t>ORD-0289</t>
  </si>
  <si>
    <t>ORD-0558</t>
  </si>
  <si>
    <t>ORD-0092</t>
  </si>
  <si>
    <t>ORD-0470</t>
  </si>
  <si>
    <t>ORD-0472</t>
  </si>
  <si>
    <t>ORD-0429</t>
  </si>
  <si>
    <t>ORD-0178</t>
  </si>
  <si>
    <t>ORD-0546</t>
  </si>
  <si>
    <t>ORD-0297</t>
  </si>
  <si>
    <t>ORD-0111</t>
  </si>
  <si>
    <t>ORD-0453</t>
  </si>
  <si>
    <t>ORD-0434</t>
  </si>
  <si>
    <t>ORD-0176</t>
  </si>
  <si>
    <t>ORD-0457</t>
  </si>
  <si>
    <t>ORD-0260</t>
  </si>
  <si>
    <t>ORD-0335</t>
  </si>
  <si>
    <t>ORD-0208</t>
  </si>
  <si>
    <t>ORD-0355</t>
  </si>
  <si>
    <t>ORD-0334</t>
  </si>
  <si>
    <t>ORD-0438</t>
  </si>
  <si>
    <t>ORD-0318</t>
  </si>
  <si>
    <t>ORD-0498</t>
  </si>
  <si>
    <t>ORD-0017</t>
  </si>
  <si>
    <t>ORD-0193</t>
  </si>
  <si>
    <t>ORD-0570</t>
  </si>
  <si>
    <t>ORD-0283</t>
  </si>
  <si>
    <t>ORD-0125</t>
  </si>
  <si>
    <t>ORD-0057</t>
  </si>
  <si>
    <t>ORD-0417</t>
  </si>
  <si>
    <t>ORD-0232</t>
  </si>
  <si>
    <t>ORD-0184</t>
  </si>
  <si>
    <t>ORD-0480</t>
  </si>
  <si>
    <t>ORD-0202</t>
  </si>
  <si>
    <t>ORD-0494</t>
  </si>
  <si>
    <t>ORD-0347</t>
  </si>
  <si>
    <t>ORD-0555</t>
  </si>
  <si>
    <t>ORD-0037</t>
  </si>
  <si>
    <t>ORD-0056</t>
  </si>
  <si>
    <t>ORD-0053</t>
  </si>
  <si>
    <t>ORD-0594</t>
  </si>
  <si>
    <t>ORD-0115</t>
  </si>
  <si>
    <t>ORD-0079</t>
  </si>
  <si>
    <t>ORD-0600</t>
  </si>
  <si>
    <t>ORD-0059</t>
  </si>
  <si>
    <t>ORD-0022</t>
  </si>
  <si>
    <t>ORD-0055</t>
  </si>
  <si>
    <t>ORD-0245</t>
  </si>
  <si>
    <t>ORD-0591</t>
  </si>
  <si>
    <t>ORD-0045</t>
  </si>
  <si>
    <t>ORD-0353</t>
  </si>
  <si>
    <t>ORD-0112</t>
  </si>
  <si>
    <t>ORD-0449</t>
  </si>
  <si>
    <t>ORD-0516</t>
  </si>
  <si>
    <t>ORD-0040</t>
  </si>
  <si>
    <t>ORD-0356</t>
  </si>
  <si>
    <t>ORD-0569</t>
  </si>
  <si>
    <t>ORD-0304</t>
  </si>
  <si>
    <t>ORD-0360</t>
  </si>
  <si>
    <t>ORD-0423</t>
  </si>
  <si>
    <t>ORD-0238</t>
  </si>
  <si>
    <t>ORD-0370</t>
  </si>
  <si>
    <t>ORD-0437</t>
  </si>
  <si>
    <t>ORD-0339</t>
  </si>
  <si>
    <t>ORD-0120</t>
  </si>
  <si>
    <t>ORD-0553</t>
  </si>
  <si>
    <t>ORD-0147</t>
  </si>
  <si>
    <t>ORD-0409</t>
  </si>
  <si>
    <t>ORD-0373</t>
  </si>
  <si>
    <t>ORD-0101</t>
  </si>
  <si>
    <t>ORD-0366</t>
  </si>
  <si>
    <t>ORD-0433</t>
  </si>
  <si>
    <t>ORD-0039</t>
  </si>
  <si>
    <t>ORD-0491</t>
  </si>
  <si>
    <t>ORD-0294</t>
  </si>
  <si>
    <t>ORD-0071</t>
  </si>
  <si>
    <t>ORD-0190</t>
  </si>
  <si>
    <t>ORD-0331</t>
  </si>
  <si>
    <t>ORD-0143</t>
  </si>
  <si>
    <t>ORD-0210</t>
  </si>
  <si>
    <t>ORD-0103</t>
  </si>
  <si>
    <t>ORD-0116</t>
  </si>
  <si>
    <t>ORD-0214</t>
  </si>
  <si>
    <t>ORD-0515</t>
  </si>
  <si>
    <t>ORD-0268</t>
  </si>
  <si>
    <t>ORD-0400</t>
  </si>
  <si>
    <t>ORD-0593</t>
  </si>
  <si>
    <t>ORD-0502</t>
  </si>
  <si>
    <t>ORD-0196</t>
  </si>
  <si>
    <t>ORD-0464</t>
  </si>
  <si>
    <t>ORD-0069</t>
  </si>
  <si>
    <t>ORD-0450</t>
  </si>
  <si>
    <t>ORD-0492</t>
  </si>
  <si>
    <t>ORD-0094</t>
  </si>
  <si>
    <t>ORD-0330</t>
  </si>
  <si>
    <t>ORD-0320</t>
  </si>
  <si>
    <t>ORD-0301</t>
  </si>
  <si>
    <t>ORD-0145</t>
  </si>
  <si>
    <t>ORD-0014</t>
  </si>
  <si>
    <t>ORD-0525</t>
  </si>
  <si>
    <t>ORD-0324</t>
  </si>
  <si>
    <t>ORD-0369</t>
  </si>
  <si>
    <t>ORD-0033</t>
  </si>
  <si>
    <t>ORD-0590</t>
  </si>
  <si>
    <t>ORD-0247</t>
  </si>
  <si>
    <t>ORD-0505</t>
  </si>
  <si>
    <t>ORD-0067</t>
  </si>
  <si>
    <t>ORD-0566</t>
  </si>
  <si>
    <t>ORD-0109</t>
  </si>
  <si>
    <t>ORD-0087</t>
  </si>
  <si>
    <t>ORD-0447</t>
  </si>
  <si>
    <t>ORD-0011</t>
  </si>
  <si>
    <t>ORD-0029</t>
  </si>
  <si>
    <t>ORD-0588</t>
  </si>
  <si>
    <t>ORD-0431</t>
  </si>
  <si>
    <t>ORD-0348</t>
  </si>
  <si>
    <t>ORD-0527</t>
  </si>
  <si>
    <t>ORD-0081</t>
  </si>
  <si>
    <t>ORD-0219</t>
  </si>
  <si>
    <t>ORD-0403</t>
  </si>
  <si>
    <t>ORD-0240</t>
  </si>
  <si>
    <t>ORD-0078</t>
  </si>
  <si>
    <t>ORD-0295</t>
  </si>
  <si>
    <t>ORD-0499</t>
  </si>
  <si>
    <t>ORD-0455</t>
  </si>
  <si>
    <t>ORD-0343</t>
  </si>
  <si>
    <t>ORD-0306</t>
  </si>
  <si>
    <t>ORD-0523</t>
  </si>
  <si>
    <t>ORD-0446</t>
  </si>
  <si>
    <t>ORD-0406</t>
  </si>
  <si>
    <t>ORD-0030</t>
  </si>
  <si>
    <t>ORD-0227</t>
  </si>
  <si>
    <t>ORD-0278</t>
  </si>
  <si>
    <t>ORD-0396</t>
  </si>
  <si>
    <t>ORD-0367</t>
  </si>
  <si>
    <t>ORD-0363</t>
  </si>
  <si>
    <t>ORD-0231</t>
  </si>
  <si>
    <t>ORD-0462</t>
  </si>
  <si>
    <t>ORD-0253</t>
  </si>
  <si>
    <t>ORD-0293</t>
  </si>
  <si>
    <t>ORD-0239</t>
  </si>
  <si>
    <t>ORD-0054</t>
  </si>
  <si>
    <t>ORD-0258</t>
  </si>
  <si>
    <t>ORD-0432</t>
  </si>
  <si>
    <t>ORD-0249</t>
  </si>
  <si>
    <t>ORD-0475</t>
  </si>
  <si>
    <t>ORD-0158</t>
  </si>
  <si>
    <t>ORD-0398</t>
  </si>
  <si>
    <t>ORD-0254</t>
  </si>
  <si>
    <t>ORD-0386</t>
  </si>
  <si>
    <t>ORD-0375</t>
  </si>
  <si>
    <t>ORD-0307</t>
  </si>
  <si>
    <t>ORD-0408</t>
  </si>
  <si>
    <t>ORD-0020</t>
  </si>
  <si>
    <t>ORD-0312</t>
  </si>
  <si>
    <t>ORD-0460</t>
  </si>
  <si>
    <t>ORD-0066</t>
  </si>
  <si>
    <t>ORD-0315</t>
  </si>
  <si>
    <t>ORD-0454</t>
  </si>
  <si>
    <t>ORD-0424</t>
  </si>
  <si>
    <t>ORD-0310</t>
  </si>
  <si>
    <t>ORD-0559</t>
  </si>
  <si>
    <t>ORD-0211</t>
  </si>
  <si>
    <t>ORD-0107</t>
  </si>
  <si>
    <t>ORD-0279</t>
  </si>
  <si>
    <t>ORD-0234</t>
  </si>
  <si>
    <t>ORD-0341</t>
  </si>
  <si>
    <t>ORD-0200</t>
  </si>
  <si>
    <t>ORD-0405</t>
  </si>
  <si>
    <t>ORD-0195</t>
  </si>
  <si>
    <t>ORD-0581</t>
  </si>
  <si>
    <t>ORD-0517</t>
  </si>
  <si>
    <t>ORD-0166</t>
  </si>
  <si>
    <t>ORD-0216</t>
  </si>
  <si>
    <t>ORD-0075</t>
  </si>
  <si>
    <t>ORD-0471</t>
  </si>
  <si>
    <t>ORD-0344</t>
  </si>
  <si>
    <t>ORD-0021</t>
  </si>
  <si>
    <t>ORD-0441</t>
  </si>
  <si>
    <t>ORD-0123</t>
  </si>
  <si>
    <t>ORD-0157</t>
  </si>
  <si>
    <t>ORD-0378</t>
  </si>
  <si>
    <t>ORD-0060</t>
  </si>
  <si>
    <t>ORD-0050</t>
  </si>
  <si>
    <t>ORD-0411</t>
  </si>
  <si>
    <t>ORD-0547</t>
  </si>
  <si>
    <t>ORD-0410</t>
  </si>
  <si>
    <t>ORD-0440</t>
  </si>
  <si>
    <t>ORD-0550</t>
  </si>
  <si>
    <t>ORD-0251</t>
  </si>
  <si>
    <t>ORD-0085</t>
  </si>
  <si>
    <t>ORD-0049</t>
  </si>
  <si>
    <t>ORD-0221</t>
  </si>
  <si>
    <t>ORD-0537</t>
  </si>
  <si>
    <t>ORD-0506</t>
  </si>
  <si>
    <t>ORD-0351</t>
  </si>
  <si>
    <t>ORD-0162</t>
  </si>
  <si>
    <t>ORD-0131</t>
  </si>
  <si>
    <t>ORD-0345</t>
  </si>
  <si>
    <t>ORD-0169</t>
  </si>
  <si>
    <t>ORD-0138</t>
  </si>
  <si>
    <t>ORD-0317</t>
  </si>
  <si>
    <t>ORD-0163</t>
  </si>
  <si>
    <t>ORD-0119</t>
  </si>
  <si>
    <t>ORD-0271</t>
  </si>
  <si>
    <t>ORD-0544</t>
  </si>
  <si>
    <t>ORD-0364</t>
  </si>
  <si>
    <t>ORD-0422</t>
  </si>
  <si>
    <t>ORD-0575</t>
  </si>
  <si>
    <t>ORD-0051</t>
  </si>
  <si>
    <t>ORD-0212</t>
  </si>
  <si>
    <t>ORD-0394</t>
  </si>
  <si>
    <t>ORD-0415</t>
  </si>
  <si>
    <t>ORD-0088</t>
  </si>
  <si>
    <t>ORD-0445</t>
  </si>
  <si>
    <t>ORD-0332</t>
  </si>
  <si>
    <t>ORD-0198</t>
  </si>
  <si>
    <t>ORD-0589</t>
  </si>
  <si>
    <t>ORD-0548</t>
  </si>
  <si>
    <t>ORD-0554</t>
  </si>
  <si>
    <t>ORD-0180</t>
  </si>
  <si>
    <t>ORD-0565</t>
  </si>
  <si>
    <t>ORD-0346</t>
  </si>
  <si>
    <t>ORD-0568</t>
  </si>
  <si>
    <t>ORD-0201</t>
  </si>
  <si>
    <t>ORD-0076</t>
  </si>
  <si>
    <t>ORD-0473</t>
  </si>
  <si>
    <t>ORD-0443</t>
  </si>
  <si>
    <t>ORD-0563</t>
  </si>
  <si>
    <t>ORD-0314</t>
  </si>
  <si>
    <t>ORD-0155</t>
  </si>
  <si>
    <t>ORD-0507</t>
  </si>
  <si>
    <t>ORD-0390</t>
  </si>
  <si>
    <t>ORD-0419</t>
  </si>
  <si>
    <t>ORD-0061</t>
  </si>
  <si>
    <t>ORD-0058</t>
  </si>
  <si>
    <t>ORD-0463</t>
  </si>
  <si>
    <t>ORD-0578</t>
  </si>
  <si>
    <t>ORD-0274</t>
  </si>
  <si>
    <t>ORD-0303</t>
  </si>
  <si>
    <t>ORD-0436</t>
  </si>
  <si>
    <t>ORD-0592</t>
  </si>
  <si>
    <t>ORD-0016</t>
  </si>
  <si>
    <t>ORD-0136</t>
  </si>
  <si>
    <t>ORD-0023</t>
  </si>
  <si>
    <t>ORD-0129</t>
  </si>
  <si>
    <t>ORD-0140</t>
  </si>
  <si>
    <t>ORD-0412</t>
  </si>
  <si>
    <t>ORD-0113</t>
  </si>
  <si>
    <t>ORD-0414</t>
  </si>
  <si>
    <t>ORD-0474</t>
  </si>
  <si>
    <t>ORD-0170</t>
  </si>
  <si>
    <t>ORD-0148</t>
  </si>
  <si>
    <t>ORD-0072</t>
  </si>
  <si>
    <t>ORD-0290</t>
  </si>
  <si>
    <t>ORD-0102</t>
  </si>
  <si>
    <t>ORD-0150</t>
  </si>
  <si>
    <t>ORD-0292</t>
  </si>
  <si>
    <t>ORD-0465</t>
  </si>
  <si>
    <t>ORD-0529</t>
  </si>
  <si>
    <t>ORD-0097</t>
  </si>
  <si>
    <t>ORD-0272</t>
  </si>
  <si>
    <t>ORD-0269</t>
  </si>
  <si>
    <t>ORD-0391</t>
  </si>
  <si>
    <t>ORD-0267</t>
  </si>
  <si>
    <t>ORD-0177</t>
  </si>
  <si>
    <t>ORD-0217</t>
  </si>
  <si>
    <t>ORD-0531</t>
  </si>
  <si>
    <t>ORD-0189</t>
  </si>
  <si>
    <t>ORD-0099</t>
  </si>
  <si>
    <t>ORD-0250</t>
  </si>
  <si>
    <t>ORD-0485</t>
  </si>
  <si>
    <t>ORD-0144</t>
  </si>
  <si>
    <t>ORD-0509</t>
  </si>
  <si>
    <t>ORD-0586</t>
  </si>
  <si>
    <t>ORD-0444</t>
  </si>
  <si>
    <t>ORD-0065</t>
  </si>
  <si>
    <t>ORD-0025</t>
  </si>
  <si>
    <t>ORD-0482</t>
  </si>
  <si>
    <t>ORD-0379</t>
  </si>
  <si>
    <t>ORD-0205</t>
  </si>
  <si>
    <t>ORD-0368</t>
  </si>
  <si>
    <t>ORD-0349</t>
  </si>
  <si>
    <t>ORD-0583</t>
  </si>
  <si>
    <t>ORD-0321</t>
  </si>
  <si>
    <t>ORD-0376</t>
  </si>
  <si>
    <t>ORD-0490</t>
  </si>
  <si>
    <t>ORD-0564</t>
  </si>
  <si>
    <t>ORD-0427</t>
  </si>
  <si>
    <t>ORD-0596</t>
  </si>
  <si>
    <t>ORD-0248</t>
  </si>
  <si>
    <t>ORD-0329</t>
  </si>
  <si>
    <t>ORD-0442</t>
  </si>
  <si>
    <t>ORD-0585</t>
  </si>
  <si>
    <t>ORD-0374</t>
  </si>
  <si>
    <t>ORD-0086</t>
  </si>
  <si>
    <t>ORD-0580</t>
  </si>
  <si>
    <t>ORD-0052</t>
  </si>
  <si>
    <t>ORD-0204</t>
  </si>
  <si>
    <t>ORD-0572</t>
  </si>
  <si>
    <t>ORD-0213</t>
  </si>
  <si>
    <t>ORD-0159</t>
  </si>
  <si>
    <t>ORD-0261</t>
  </si>
  <si>
    <t>ORD-0084</t>
  </si>
  <si>
    <t>ORD-0134</t>
  </si>
  <si>
    <t>ORD-0520</t>
  </si>
  <si>
    <t>ORD-0532</t>
  </si>
  <si>
    <t>ORD-0598</t>
  </si>
  <si>
    <t>ORD-0481</t>
  </si>
  <si>
    <t>ORD-0185</t>
  </si>
  <si>
    <t>ORD-0514</t>
  </si>
  <si>
    <t>ORD-0291</t>
  </si>
  <si>
    <t>ORD-0426</t>
  </si>
  <si>
    <t>ORD-0164</t>
  </si>
  <si>
    <t>ORD-0209</t>
  </si>
  <si>
    <t>ORD-0117</t>
  </si>
  <si>
    <t>ORD-0173</t>
  </si>
  <si>
    <t>ORD-0582</t>
  </si>
  <si>
    <t>ORD-0319</t>
  </si>
  <si>
    <t>ORD-0028</t>
  </si>
  <si>
    <t>ORD-0477</t>
  </si>
  <si>
    <t>ORD-0042</t>
  </si>
  <si>
    <t>ORD-0384</t>
  </si>
  <si>
    <t>ORD-0533</t>
  </si>
  <si>
    <t>ORD-0152</t>
  </si>
  <si>
    <t>ORD-0006</t>
  </si>
  <si>
    <t>ORD-0062</t>
  </si>
  <si>
    <t>ORD-0226</t>
  </si>
  <si>
    <t>ORD-0276</t>
  </si>
  <si>
    <t>ORD-0540</t>
  </si>
  <si>
    <t>ORD-0259</t>
  </si>
  <si>
    <t>ORD-0577</t>
  </si>
  <si>
    <t>ORD-0192</t>
  </si>
  <si>
    <t>ORD-0153</t>
  </si>
  <si>
    <t>ORD-0046</t>
  </si>
  <si>
    <t>ORD-0512</t>
  </si>
  <si>
    <t>ORD-0044</t>
  </si>
  <si>
    <t>ORD-0552</t>
  </si>
  <si>
    <t>ORD-0096</t>
  </si>
  <si>
    <t>ORD-0005</t>
  </si>
  <si>
    <t>ORD-0186</t>
  </si>
  <si>
    <t>ORD-0230</t>
  </si>
  <si>
    <t>ORD-0215</t>
  </si>
  <si>
    <t>ORD-0383</t>
  </si>
  <si>
    <t>ORD-0326</t>
  </si>
  <si>
    <t>ORD-0141</t>
  </si>
  <si>
    <t>ORD-0539</t>
  </si>
  <si>
    <t>ORD-0223</t>
  </si>
  <si>
    <t>ORD-0513</t>
  </si>
  <si>
    <t>ORD-0255</t>
  </si>
  <si>
    <t>ORD-0154</t>
  </si>
  <si>
    <t>ORD-0495</t>
  </si>
  <si>
    <t>ORD-0497</t>
  </si>
  <si>
    <t>ORD-0484</t>
  </si>
  <si>
    <t>ORD-0458</t>
  </si>
  <si>
    <t>ORD-0019</t>
  </si>
  <si>
    <t>ORD-0323</t>
  </si>
  <si>
    <t>ORD-0478</t>
  </si>
  <si>
    <t>ORD-0127</t>
  </si>
  <si>
    <t>ORD-0282</t>
  </si>
  <si>
    <t>ORD-0182</t>
  </si>
  <si>
    <t>ORD-0018</t>
  </si>
  <si>
    <t>ORD-0246</t>
  </si>
  <si>
    <t>ORD-0382</t>
  </si>
  <si>
    <t>ORD-0524</t>
  </si>
  <si>
    <t>ORD-0082</t>
  </si>
  <si>
    <t>ORD-0183</t>
  </si>
  <si>
    <t>ORD-0133</t>
  </si>
  <si>
    <t>ORD-0277</t>
  </si>
  <si>
    <t>ORD-0220</t>
  </si>
  <si>
    <t>ORD-0194</t>
  </si>
  <si>
    <t>ORD-0535</t>
  </si>
  <si>
    <t>ORD-0048</t>
  </si>
  <si>
    <t>ORD-0567</t>
  </si>
  <si>
    <t>ORD-0135</t>
  </si>
  <si>
    <t>ORD-0225</t>
  </si>
  <si>
    <t>ORD-0118</t>
  </si>
  <si>
    <t>ORD-0275</t>
  </si>
  <si>
    <t>ORD-0536</t>
  </si>
  <si>
    <t>ORD-0013</t>
  </si>
  <si>
    <t>ORD-0402</t>
  </si>
  <si>
    <t>ORD-0203</t>
  </si>
  <si>
    <t>ORD-0511</t>
  </si>
  <si>
    <t>ORD-0365</t>
  </si>
  <si>
    <t>ORD-0002</t>
  </si>
  <si>
    <t>ORD-0545</t>
  </si>
  <si>
    <t>ORD-0149</t>
  </si>
  <si>
    <t>ORD-0358</t>
  </si>
  <si>
    <t>ORD-0146</t>
  </si>
  <si>
    <t>ORD-0122</t>
  </si>
  <si>
    <t>ORD-0296</t>
  </si>
  <si>
    <t>ORD-0584</t>
  </si>
  <si>
    <t>ORD-0229</t>
  </si>
  <si>
    <t>ORD-0519</t>
  </si>
  <si>
    <t>ORD-0151</t>
  </si>
  <si>
    <t>ORD-0350</t>
  </si>
  <si>
    <t>ORD-0130</t>
  </si>
  <si>
    <t>ORD-0083</t>
  </si>
  <si>
    <t>ORD-0041</t>
  </si>
  <si>
    <t>ORD-0266</t>
  </si>
  <si>
    <t>ORD-0420</t>
  </si>
  <si>
    <t>ORD-0451</t>
  </si>
  <si>
    <t>ORD-0262</t>
  </si>
  <si>
    <t>ORD-0124</t>
  </si>
  <si>
    <t>ORD-0468</t>
  </si>
  <si>
    <t>ORD-0496</t>
  </si>
  <si>
    <t>ORD-0466</t>
  </si>
  <si>
    <t>ORD-0338</t>
  </si>
  <si>
    <t>ORD-0032</t>
  </si>
  <si>
    <t>ORD-0461</t>
  </si>
  <si>
    <t>ORD-0233</t>
  </si>
  <si>
    <t>ORD-0416</t>
  </si>
  <si>
    <t>ORD-0501</t>
  </si>
  <si>
    <t>ORD-0407</t>
  </si>
  <si>
    <t>ORD-0488</t>
  </si>
  <si>
    <t>ORD-0165</t>
  </si>
  <si>
    <t>ORD-0599</t>
  </si>
  <si>
    <t>ORD-0486</t>
  </si>
  <si>
    <t>ORD-0435</t>
  </si>
  <si>
    <t>ORD-0100</t>
  </si>
  <si>
    <t>ORD-0252</t>
  </si>
  <si>
    <t>ORD-0171</t>
  </si>
  <si>
    <t>ORD-0337</t>
  </si>
  <si>
    <t>ORD-0035</t>
  </si>
  <si>
    <t>ORD-0160</t>
  </si>
  <si>
    <t>ORD-0313</t>
  </si>
  <si>
    <t>ORD-0476</t>
  </si>
  <si>
    <t>ORD-0286</t>
  </si>
  <si>
    <t>ORD-0191</t>
  </si>
  <si>
    <t>ORD-0038</t>
  </si>
  <si>
    <t>ORD-0222</t>
  </si>
  <si>
    <t>ORD-0179</t>
  </si>
  <si>
    <t>ORD-0439</t>
  </si>
  <si>
    <t>ORD-0024</t>
  </si>
  <si>
    <t>ORD-0397</t>
  </si>
  <si>
    <t>ORD-0207</t>
  </si>
  <si>
    <t>ORD-0091</t>
  </si>
  <si>
    <t>ORD-0467</t>
  </si>
  <si>
    <t>ORD-0228</t>
  </si>
  <si>
    <t>ORD-0526</t>
  </si>
  <si>
    <t>ORD-0309</t>
  </si>
  <si>
    <t>ORD-0110</t>
  </si>
  <si>
    <t>ORD-0121</t>
  </si>
  <si>
    <t>ORD-0197</t>
  </si>
  <si>
    <t>ORD-0001</t>
  </si>
  <si>
    <t>ORD-0508</t>
  </si>
  <si>
    <t>ORD-0425</t>
  </si>
  <si>
    <t>ORD-0452</t>
  </si>
  <si>
    <t>ORD-0595</t>
  </si>
  <si>
    <t>ORD-0392</t>
  </si>
  <si>
    <t>ORD-0354</t>
  </si>
  <si>
    <t>ORD-0327</t>
  </si>
  <si>
    <t>ORD-0009</t>
  </si>
  <si>
    <t>ORD-0031</t>
  </si>
  <si>
    <t>ORD-0571</t>
  </si>
  <si>
    <t>ORD-0311</t>
  </si>
  <si>
    <t>ORD-0043</t>
  </si>
  <si>
    <t>ORD-0560</t>
  </si>
  <si>
    <t>ORD-0270</t>
  </si>
  <si>
    <t>ORD-0522</t>
  </si>
  <si>
    <t>ORD-0371</t>
  </si>
  <si>
    <t>ORD-0561</t>
  </si>
  <si>
    <t>ORD-0237</t>
  </si>
  <si>
    <t>ORD-0308</t>
  </si>
  <si>
    <t>ORD-0026</t>
  </si>
  <si>
    <t>ORD-0047</t>
  </si>
  <si>
    <t>ORD-0015</t>
  </si>
  <si>
    <t>ORD-0172</t>
  </si>
  <si>
    <t>ORD-0328</t>
  </si>
  <si>
    <t>ORD-0008</t>
  </si>
  <si>
    <t>ORD-0080</t>
  </si>
  <si>
    <t>ORD-0381</t>
  </si>
  <si>
    <t>ORD-0242</t>
  </si>
  <si>
    <t>ORD-0361</t>
  </si>
  <si>
    <t>ORD-0395</t>
  </si>
  <si>
    <t>ORD-0139</t>
  </si>
  <si>
    <t>ORD-0206</t>
  </si>
  <si>
    <t>ORD-0106</t>
  </si>
  <si>
    <t>ORD-0359</t>
  </si>
  <si>
    <t>ORD-0448</t>
  </si>
  <si>
    <t>ORD-0389</t>
  </si>
  <si>
    <t>ORD-0576</t>
  </si>
  <si>
    <t>ORD-0387</t>
  </si>
  <si>
    <t>ORD-0074</t>
  </si>
  <si>
    <t>ORD-0132</t>
  </si>
  <si>
    <t>ORD-0430</t>
  </si>
  <si>
    <t>ORD-0574</t>
  </si>
  <si>
    <t>ORD-0281</t>
  </si>
  <si>
    <t>ORD-0587</t>
  </si>
  <si>
    <t>ORD-0418</t>
  </si>
  <si>
    <t>ORD-0027</t>
  </si>
  <si>
    <t>ORD-0128</t>
  </si>
  <si>
    <t>ORD-0070</t>
  </si>
  <si>
    <t>ORD-0285</t>
  </si>
  <si>
    <t>ORD-0479</t>
  </si>
  <si>
    <t>ORD-0573</t>
  </si>
  <si>
    <t>ORD-0126</t>
  </si>
  <si>
    <t>ORD-0325</t>
  </si>
  <si>
    <t>ORD-0556</t>
  </si>
  <si>
    <t>ORD-0518</t>
  </si>
  <si>
    <t>ORD-0299</t>
  </si>
  <si>
    <t>ORD-0380</t>
  </si>
  <si>
    <t>CUST-0044</t>
  </si>
  <si>
    <t>CUST-0143</t>
  </si>
  <si>
    <t>CUST-0178</t>
  </si>
  <si>
    <t>CUST-0086</t>
  </si>
  <si>
    <t>CUST-0147</t>
  </si>
  <si>
    <t>CUST-0155</t>
  </si>
  <si>
    <t>CUST-0132</t>
  </si>
  <si>
    <t>CUST-0029</t>
  </si>
  <si>
    <t>CUST-0079</t>
  </si>
  <si>
    <t>CUST-0056</t>
  </si>
  <si>
    <t>CUST-0017</t>
  </si>
  <si>
    <t>CUST-0014</t>
  </si>
  <si>
    <t>CUST-0032</t>
  </si>
  <si>
    <t>CUST-0070</t>
  </si>
  <si>
    <t>CUST-0081</t>
  </si>
  <si>
    <t>CUST-0082</t>
  </si>
  <si>
    <t>CUST-0045</t>
  </si>
  <si>
    <t>CUST-0036</t>
  </si>
  <si>
    <t>CUST-0159</t>
  </si>
  <si>
    <t>CUST-0012</t>
  </si>
  <si>
    <t>CUST-0137</t>
  </si>
  <si>
    <t>CUST-0113</t>
  </si>
  <si>
    <t>CUST-0115</t>
  </si>
  <si>
    <t>CUST-0068</t>
  </si>
  <si>
    <t>CUST-0076</t>
  </si>
  <si>
    <t>CUST-0074</t>
  </si>
  <si>
    <t>CUST-0023</t>
  </si>
  <si>
    <t>CUST-0166</t>
  </si>
  <si>
    <t>CUST-0158</t>
  </si>
  <si>
    <t>CUST-0109</t>
  </si>
  <si>
    <t>CUST-0060</t>
  </si>
  <si>
    <t>CUST-0028</t>
  </si>
  <si>
    <t>CUST-0180</t>
  </si>
  <si>
    <t>CUST-0141</t>
  </si>
  <si>
    <t>CUST-0009</t>
  </si>
  <si>
    <t>CUST-0179</t>
  </si>
  <si>
    <t>CUST-0003</t>
  </si>
  <si>
    <t>CUST-0135</t>
  </si>
  <si>
    <t>CUST-0139</t>
  </si>
  <si>
    <t>CUST-0127</t>
  </si>
  <si>
    <t>CUST-0052</t>
  </si>
  <si>
    <t>CUST-0084</t>
  </si>
  <si>
    <t>CUST-0099</t>
  </si>
  <si>
    <t>CUST-0011</t>
  </si>
  <si>
    <t>CUST-0142</t>
  </si>
  <si>
    <t>CUST-0163</t>
  </si>
  <si>
    <t>CUST-0150</t>
  </si>
  <si>
    <t>CUST-0167</t>
  </si>
  <si>
    <t>CUST-0100</t>
  </si>
  <si>
    <t>CUST-0015</t>
  </si>
  <si>
    <t>CUST-0117</t>
  </si>
  <si>
    <t>CUST-0097</t>
  </si>
  <si>
    <t>CUST-0145</t>
  </si>
  <si>
    <t>CUST-0058</t>
  </si>
  <si>
    <t>CUST-0089</t>
  </si>
  <si>
    <t>CUST-0136</t>
  </si>
  <si>
    <t>CUST-0160</t>
  </si>
  <si>
    <t>CUST-0154</t>
  </si>
  <si>
    <t>CUST-0149</t>
  </si>
  <si>
    <t>CUST-0059</t>
  </si>
  <si>
    <t>CUST-0067</t>
  </si>
  <si>
    <t>CUST-0005</t>
  </si>
  <si>
    <t>CUST-0108</t>
  </si>
  <si>
    <t>CUST-0106</t>
  </si>
  <si>
    <t>CUST-0118</t>
  </si>
  <si>
    <t>CUST-0033</t>
  </si>
  <si>
    <t>CUST-0116</t>
  </si>
  <si>
    <t>CUST-0122</t>
  </si>
  <si>
    <t>CUST-0083</t>
  </si>
  <si>
    <t>CUST-0073</t>
  </si>
  <si>
    <t>CUST-0042</t>
  </si>
  <si>
    <t>CUST-0177</t>
  </si>
  <si>
    <t>CUST-0057</t>
  </si>
  <si>
    <t>CUST-0008</t>
  </si>
  <si>
    <t>CUST-0169</t>
  </si>
  <si>
    <t>CUST-0026</t>
  </si>
  <si>
    <t>CUST-0046</t>
  </si>
  <si>
    <t>CUST-0063</t>
  </si>
  <si>
    <t>CUST-0090</t>
  </si>
  <si>
    <t>CUST-0124</t>
  </si>
  <si>
    <t>CUST-0110</t>
  </si>
  <si>
    <t>CUST-0130</t>
  </si>
  <si>
    <t>CUST-0072</t>
  </si>
  <si>
    <t>CUST-0080</t>
  </si>
  <si>
    <t>CUST-0092</t>
  </si>
  <si>
    <t>CUST-0176</t>
  </si>
  <si>
    <t>CUST-0075</t>
  </si>
  <si>
    <t>CUST-0162</t>
  </si>
  <si>
    <t>CUST-0021</t>
  </si>
  <si>
    <t>CUST-0018</t>
  </si>
  <si>
    <t>CUST-0001</t>
  </si>
  <si>
    <t>CUST-0006</t>
  </si>
  <si>
    <t>CUST-0105</t>
  </si>
  <si>
    <t>CUST-0035</t>
  </si>
  <si>
    <t>CUST-0125</t>
  </si>
  <si>
    <t>CUST-0077</t>
  </si>
  <si>
    <t>CUST-0161</t>
  </si>
  <si>
    <t>CUST-0051</t>
  </si>
  <si>
    <t>CUST-0146</t>
  </si>
  <si>
    <t>CUST-0022</t>
  </si>
  <si>
    <t>CUST-0047</t>
  </si>
  <si>
    <t>CUST-0104</t>
  </si>
  <si>
    <t>CUST-0013</t>
  </si>
  <si>
    <t>CUST-0152</t>
  </si>
  <si>
    <t>CUST-0102</t>
  </si>
  <si>
    <t>CUST-0098</t>
  </si>
  <si>
    <t>CUST-0004</t>
  </si>
  <si>
    <t>CUST-0103</t>
  </si>
  <si>
    <t>CUST-0164</t>
  </si>
  <si>
    <t>CUST-0134</t>
  </si>
  <si>
    <t>CUST-0038</t>
  </si>
  <si>
    <t>CUST-0138</t>
  </si>
  <si>
    <t>CUST-0024</t>
  </si>
  <si>
    <t>CUST-0173</t>
  </si>
  <si>
    <t>CUST-0054</t>
  </si>
  <si>
    <t>CUST-0087</t>
  </si>
  <si>
    <t>CUST-0111</t>
  </si>
  <si>
    <t>CUST-0010</t>
  </si>
  <si>
    <t>CUST-0037</t>
  </si>
  <si>
    <t>CUST-0049</t>
  </si>
  <si>
    <t>CUST-0085</t>
  </si>
  <si>
    <t>CUST-0016</t>
  </si>
  <si>
    <t>CUST-0174</t>
  </si>
  <si>
    <t>CUST-0165</t>
  </si>
  <si>
    <t>CUST-0093</t>
  </si>
  <si>
    <t>CUST-0172</t>
  </si>
  <si>
    <t>CUST-0066</t>
  </si>
  <si>
    <t>CUST-0170</t>
  </si>
  <si>
    <t>CUST-0095</t>
  </si>
  <si>
    <t>CUST-0120</t>
  </si>
  <si>
    <t>CUST-0027</t>
  </si>
  <si>
    <t>CUST-0151</t>
  </si>
  <si>
    <t>CUST-0069</t>
  </si>
  <si>
    <t>CUST-0153</t>
  </si>
  <si>
    <t>CUST-0119</t>
  </si>
  <si>
    <t>CUST-0039</t>
  </si>
  <si>
    <t>CUST-0061</t>
  </si>
  <si>
    <t>CUST-0144</t>
  </si>
  <si>
    <t>CUST-0126</t>
  </si>
  <si>
    <t>CUST-0050</t>
  </si>
  <si>
    <t>CUST-0048</t>
  </si>
  <si>
    <t>CUST-0157</t>
  </si>
  <si>
    <t>CUST-0168</t>
  </si>
  <si>
    <t>CUST-0131</t>
  </si>
  <si>
    <t>CUST-0055</t>
  </si>
  <si>
    <t>CUST-0129</t>
  </si>
  <si>
    <t>CUST-0114</t>
  </si>
  <si>
    <t>CUST-0053</t>
  </si>
  <si>
    <t>CUST-0020</t>
  </si>
  <si>
    <t>CUST-0007</t>
  </si>
  <si>
    <t>CUST-0121</t>
  </si>
  <si>
    <t>CUST-0030</t>
  </si>
  <si>
    <t>CUST-0019</t>
  </si>
  <si>
    <t>CUST-0156</t>
  </si>
  <si>
    <t>CUST-0148</t>
  </si>
  <si>
    <t>CUST-0175</t>
  </si>
  <si>
    <t>CUST-0034</t>
  </si>
  <si>
    <t>CUST-0043</t>
  </si>
  <si>
    <t>CUST-0140</t>
  </si>
  <si>
    <t>CUST-0096</t>
  </si>
  <si>
    <t>CUST-0064</t>
  </si>
  <si>
    <t>CUST-0002</t>
  </si>
  <si>
    <t>CUST-0041</t>
  </si>
  <si>
    <t>CUST-0062</t>
  </si>
  <si>
    <t>CUST-0078</t>
  </si>
  <si>
    <t>CUST-0094</t>
  </si>
  <si>
    <t>CUST-0101</t>
  </si>
  <si>
    <t>CUST-0128</t>
  </si>
  <si>
    <t>CUST-0123</t>
  </si>
  <si>
    <t>CUST-0088</t>
  </si>
  <si>
    <t>CUST-0112</t>
  </si>
  <si>
    <t>CUST-0133</t>
  </si>
  <si>
    <t>CUST-0091</t>
  </si>
  <si>
    <t>Ghana</t>
  </si>
  <si>
    <t>United Kingdom</t>
  </si>
  <si>
    <t>Kenya</t>
  </si>
  <si>
    <t>South Africa</t>
  </si>
  <si>
    <t>Nigeria</t>
  </si>
  <si>
    <t>United States</t>
  </si>
  <si>
    <t>ghana</t>
  </si>
  <si>
    <t>West Africa</t>
  </si>
  <si>
    <t>Europe</t>
  </si>
  <si>
    <t>East Africa</t>
  </si>
  <si>
    <t>Southern Africa</t>
  </si>
  <si>
    <t>North America</t>
  </si>
  <si>
    <t>Office Chair</t>
  </si>
  <si>
    <t>Monitor</t>
  </si>
  <si>
    <t>Desk Lamp</t>
  </si>
  <si>
    <t>Smartphone</t>
  </si>
  <si>
    <t>Notebook</t>
  </si>
  <si>
    <t>Printer</t>
  </si>
  <si>
    <t>Headphones</t>
  </si>
  <si>
    <t>Desk</t>
  </si>
  <si>
    <t>Mouse</t>
  </si>
  <si>
    <t>Keyboard</t>
  </si>
  <si>
    <t>Laptop</t>
  </si>
  <si>
    <t>Backpack</t>
  </si>
  <si>
    <t>Furniture</t>
  </si>
  <si>
    <t>Electronics</t>
  </si>
  <si>
    <t>Office Supplies</t>
  </si>
  <si>
    <t>Accessories</t>
  </si>
  <si>
    <t>Bank Transfer</t>
  </si>
  <si>
    <t>Card</t>
  </si>
  <si>
    <t>Mobile Money</t>
  </si>
  <si>
    <t>Cash</t>
  </si>
  <si>
    <t>card</t>
  </si>
  <si>
    <t>missing_value_count</t>
  </si>
  <si>
    <t>INFO RECORED</t>
  </si>
  <si>
    <t>Missing values</t>
  </si>
  <si>
    <t>Found 1  missing value in columns unit_price, sales and payment_method</t>
  </si>
  <si>
    <t>Dupicate rows of same items</t>
  </si>
  <si>
    <t>no duplicate of that sort found</t>
  </si>
  <si>
    <t>date</t>
  </si>
  <si>
    <t>Strange and inconsistent dates</t>
  </si>
  <si>
    <t>no strange dates found</t>
  </si>
  <si>
    <t>Total</t>
  </si>
  <si>
    <t>Negative values and outliers</t>
  </si>
  <si>
    <t>no negative value and outliers found in the quantity column</t>
  </si>
  <si>
    <t>Errors in approximation</t>
  </si>
  <si>
    <t>25 errors in Sales when approximating to 2 decimal places</t>
  </si>
  <si>
    <t>CALCULATIONS</t>
  </si>
  <si>
    <t>number of quantity</t>
  </si>
  <si>
    <t>number of sales(revenue)</t>
  </si>
  <si>
    <t>order counts</t>
  </si>
  <si>
    <t>average order value</t>
  </si>
  <si>
    <t xml:space="preserve">average unit price </t>
  </si>
  <si>
    <t>ANALYZE SALES BY CATEGORY</t>
  </si>
  <si>
    <t>Percentage</t>
  </si>
  <si>
    <t>ANALYZE SALES BY COUNTRY</t>
  </si>
  <si>
    <t>Row Labels</t>
  </si>
  <si>
    <t>Grand Total</t>
  </si>
  <si>
    <t>Jan</t>
  </si>
  <si>
    <t>Feb</t>
  </si>
  <si>
    <t>Mar</t>
  </si>
  <si>
    <t>Apr</t>
  </si>
  <si>
    <t>May</t>
  </si>
  <si>
    <t>Jun</t>
  </si>
  <si>
    <t>Jul</t>
  </si>
  <si>
    <t>Aug</t>
  </si>
  <si>
    <t>Sep</t>
  </si>
  <si>
    <t>Oct</t>
  </si>
  <si>
    <t>Nov</t>
  </si>
  <si>
    <t>Dec</t>
  </si>
  <si>
    <t>Count of Order_ID</t>
  </si>
  <si>
    <t>months</t>
  </si>
  <si>
    <t>Sum of Sales</t>
  </si>
  <si>
    <t>Sum of Quantity</t>
  </si>
  <si>
    <t>0-0.1</t>
  </si>
  <si>
    <t>0.1-0.2</t>
  </si>
  <si>
    <t>0.2-0.3</t>
  </si>
  <si>
    <t>0.3-0.4</t>
  </si>
  <si>
    <t>0.4-0.5</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</si>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</sst>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00"/>
  </numFmts>
  <fonts count="5" x14ac:knownFonts="1">
    <font>
      <sz val="11"/>
      <color theme="1"/>
      <name val="Calibri"/>
      <family val="2"/>
      <scheme val="minor"/>
    </font>
    <font>
      <b/>
      <sz val="11"/>
      <color theme="1"/>
      <name val="Calibri"/>
      <family val="2"/>
      <scheme val="minor"/>
    </font>
    <font>
      <b/>
      <sz val="14"/>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3"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applyAlignment="1">
      <alignment horizontal="center" vertical="top"/>
    </xf>
    <xf numFmtId="0" fontId="1" fillId="0" borderId="0" xfId="0" applyFont="1"/>
    <xf numFmtId="165" fontId="0" fillId="0" borderId="0" xfId="0" applyNumberFormat="1"/>
    <xf numFmtId="0" fontId="2" fillId="0" borderId="0" xfId="0" applyFont="1" applyAlignment="1">
      <alignment horizontal="center"/>
    </xf>
    <xf numFmtId="0" fontId="0" fillId="0" borderId="0" xfId="0" applyAlignment="1">
      <alignment horizontal="center"/>
    </xf>
    <xf numFmtId="10" fontId="1" fillId="0" borderId="0" xfId="0" applyNumberFormat="1" applyFont="1"/>
    <xf numFmtId="10" fontId="1"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9" fontId="0" fillId="0" borderId="0" xfId="0" applyNumberFormat="1" applyAlignment="1">
      <alignment horizontal="left"/>
    </xf>
    <xf numFmtId="10" fontId="0" fillId="0" borderId="0" xfId="0" applyNumberFormat="1" applyAlignment="1">
      <alignment horizontal="left"/>
    </xf>
  </cellXfs>
  <cellStyles count="2">
    <cellStyle name="Normal" xfId="0" builtinId="0"/>
    <cellStyle name="Percent" xfId="1" builtinId="5"/>
  </cellStyles>
  <dxfs count="2">
    <dxf>
      <numFmt numFmtId="13" formatCode="0%"/>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[project_2_sales_eda.xlsx]Top_Items!PivotTable3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Items By Revenue</a:t>
            </a:r>
            <a:endParaRPr lang="en-US"/>
          </a:p>
        </c:rich>
      </c:tx>
      <c:layout>
        <c:manualLayout>
          <c:xMode val="edge"/>
          <c:yMode val="edge"/>
          <c:x val="0.29666070363744784"/>
          <c:y val="0.101264754186428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Top_Items!$B$3</c:f>
              <c:strCache>
                <c:ptCount val="1"/>
                <c:pt idx="0">
                  <c:v>Total</c:v>
                </c:pt>
              </c:strCache>
            </c:strRef>
          </c:tx>
          <c:spPr>
            <a:solidFill>
              <a:schemeClr val="accent1"/>
            </a:solidFill>
            <a:ln>
              <a:noFill/>
            </a:ln>
            <a:effectLst/>
          </c:spPr>
          <c:invertIfNegative val="0"/>
          <c:cat>
            <c:strRef>
              <c:f>Top_Items!$A$4:$A$9</c:f>
              <c:strCache>
                <c:ptCount val="5"/>
                <c:pt idx="0">
                  <c:v>Laptop</c:v>
                </c:pt>
                <c:pt idx="1">
                  <c:v>Smartphone</c:v>
                </c:pt>
                <c:pt idx="2">
                  <c:v>Desk</c:v>
                </c:pt>
                <c:pt idx="3">
                  <c:v>Monitor</c:v>
                </c:pt>
                <c:pt idx="4">
                  <c:v>Printer</c:v>
                </c:pt>
              </c:strCache>
            </c:strRef>
          </c:cat>
          <c:val>
            <c:numRef>
              <c:f>Top_Items!$B$4:$B$9</c:f>
              <c:numCache>
                <c:formatCode>General</c:formatCode>
                <c:ptCount val="5"/>
                <c:pt idx="0">
                  <c:v>213041.96000000002</c:v>
                </c:pt>
                <c:pt idx="1">
                  <c:v>119707.04999999999</c:v>
                </c:pt>
                <c:pt idx="2">
                  <c:v>89391.410000000018</c:v>
                </c:pt>
                <c:pt idx="3">
                  <c:v>47402.130000000005</c:v>
                </c:pt>
                <c:pt idx="4">
                  <c:v>45684.25</c:v>
                </c:pt>
              </c:numCache>
            </c:numRef>
          </c:val>
          <c:extLst>
            <c:ext xmlns:c16="http://schemas.microsoft.com/office/drawing/2014/chart" uri="{C3380CC4-5D6E-409C-BE32-E72D297353CC}">
              <c16:uniqueId val="{00000000-2F60-4B2D-AF68-C588DDC85268}"/>
            </c:ext>
          </c:extLst>
        </c:ser>
        <c:dLbls>
          <c:showLegendKey val="0"/>
          <c:showVal val="0"/>
          <c:showCatName val="0"/>
          <c:showSerName val="0"/>
          <c:showPercent val="0"/>
          <c:showBubbleSize val="0"/>
        </c:dLbls>
        <c:gapWidth val="182"/>
        <c:axId val="1610365744"/>
        <c:axId val="1611683552"/>
      </c:barChart>
      <c:catAx>
        <c:axId val="161036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83552"/>
        <c:crosses val="autoZero"/>
        <c:auto val="1"/>
        <c:lblAlgn val="ctr"/>
        <c:lblOffset val="100"/>
        <c:noMultiLvlLbl val="0"/>
      </c:catAx>
      <c:valAx>
        <c:axId val="1611683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6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[project_2_sales_eda.xlsx]Top_Items!PivotTable4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Items By Quantity Sold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Top_Items!$E$3</c:f>
              <c:strCache>
                <c:ptCount val="1"/>
                <c:pt idx="0">
                  <c:v>Total</c:v>
                </c:pt>
              </c:strCache>
            </c:strRef>
          </c:tx>
          <c:spPr>
            <a:solidFill>
              <a:schemeClr val="accent1"/>
            </a:solidFill>
            <a:ln>
              <a:noFill/>
            </a:ln>
            <a:effectLst/>
          </c:spPr>
          <c:invertIfNegative val="0"/>
          <c:cat>
            <c:strRef>
              <c:f>Top_Items!$D$4:$D$9</c:f>
              <c:strCache>
                <c:ptCount val="5"/>
                <c:pt idx="0">
                  <c:v>Desk</c:v>
                </c:pt>
                <c:pt idx="1">
                  <c:v>Laptop</c:v>
                </c:pt>
                <c:pt idx="2">
                  <c:v>Keyboard</c:v>
                </c:pt>
                <c:pt idx="3">
                  <c:v>Mouse</c:v>
                </c:pt>
                <c:pt idx="4">
                  <c:v>Notebook</c:v>
                </c:pt>
              </c:strCache>
            </c:strRef>
          </c:cat>
          <c:val>
            <c:numRef>
              <c:f>Top_Items!$E$4:$E$9</c:f>
              <c:numCache>
                <c:formatCode>General</c:formatCode>
                <c:ptCount val="5"/>
                <c:pt idx="0">
                  <c:v>290</c:v>
                </c:pt>
                <c:pt idx="1">
                  <c:v>260</c:v>
                </c:pt>
                <c:pt idx="2">
                  <c:v>255</c:v>
                </c:pt>
                <c:pt idx="3">
                  <c:v>254</c:v>
                </c:pt>
                <c:pt idx="4">
                  <c:v>248</c:v>
                </c:pt>
              </c:numCache>
            </c:numRef>
          </c:val>
          <c:extLst>
            <c:ext xmlns:c16="http://schemas.microsoft.com/office/drawing/2014/chart" uri="{C3380CC4-5D6E-409C-BE32-E72D297353CC}">
              <c16:uniqueId val="{00000000-E5F7-428A-B698-7CB3E416375F}"/>
            </c:ext>
          </c:extLst>
        </c:ser>
        <c:dLbls>
          <c:showLegendKey val="0"/>
          <c:showVal val="0"/>
          <c:showCatName val="0"/>
          <c:showSerName val="0"/>
          <c:showPercent val="0"/>
          <c:showBubbleSize val="0"/>
        </c:dLbls>
        <c:gapWidth val="182"/>
        <c:axId val="1611651040"/>
        <c:axId val="1611692192"/>
      </c:barChart>
      <c:catAx>
        <c:axId val="161165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92192"/>
        <c:crosses val="autoZero"/>
        <c:auto val="1"/>
        <c:lblAlgn val="ctr"/>
        <c:lblOffset val="100"/>
        <c:noMultiLvlLbl val="0"/>
      </c:catAx>
      <c:valAx>
        <c:axId val="1611692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5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[project_2_sales_eda.xlsx]Graphs!PivotTable7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Discount Range Affects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Graphs!$C$2</c:f>
              <c:strCache>
                <c:ptCount val="1"/>
                <c:pt idx="0">
                  <c:v>Total</c:v>
                </c:pt>
              </c:strCache>
            </c:strRef>
          </c:tx>
          <c:spPr>
            <a:solidFill>
              <a:schemeClr val="accent1"/>
            </a:solidFill>
            <a:ln>
              <a:noFill/>
            </a:ln>
            <a:effectLst/>
          </c:spPr>
          <c:invertIfNegative val="0"/>
          <c:cat>
            <c:strRef>
              <c:f>Graphs!$B$3:$B$8</c:f>
              <c:strCache>
                <c:ptCount val="5"/>
                <c:pt idx="0">
                  <c:v>0-0.1</c:v>
                </c:pt>
                <c:pt idx="1">
                  <c:v>0.1-0.2</c:v>
                </c:pt>
                <c:pt idx="2">
                  <c:v>0.2-0.3</c:v>
                </c:pt>
                <c:pt idx="3">
                  <c:v>0.3-0.4</c:v>
                </c:pt>
                <c:pt idx="4">
                  <c:v>0.4-0.5</c:v>
                </c:pt>
              </c:strCache>
            </c:strRef>
          </c:cat>
          <c:val>
            <c:numRef>
              <c:f>Graphs!$C$3:$C$8</c:f>
              <c:numCache>
                <c:formatCode>General</c:formatCode>
                <c:ptCount val="5"/>
                <c:pt idx="0">
                  <c:v>261572.32999999996</c:v>
                </c:pt>
                <c:pt idx="1">
                  <c:v>238609.90000000026</c:v>
                </c:pt>
                <c:pt idx="2">
                  <c:v>110470.35</c:v>
                </c:pt>
                <c:pt idx="3">
                  <c:v>22242.850000000002</c:v>
                </c:pt>
                <c:pt idx="4">
                  <c:v>238.94</c:v>
                </c:pt>
              </c:numCache>
            </c:numRef>
          </c:val>
          <c:extLst>
            <c:ext xmlns:c16="http://schemas.microsoft.com/office/drawing/2014/chart" uri="{C3380CC4-5D6E-409C-BE32-E72D297353CC}">
              <c16:uniqueId val="{00000000-C4B0-4833-B0EF-ACFCBA89B1A9}"/>
            </c:ext>
          </c:extLst>
        </c:ser>
        <c:dLbls>
          <c:showLegendKey val="0"/>
          <c:showVal val="0"/>
          <c:showCatName val="0"/>
          <c:showSerName val="0"/>
          <c:showPercent val="0"/>
          <c:showBubbleSize val="0"/>
        </c:dLbls>
        <c:gapWidth val="219"/>
        <c:overlap val="-27"/>
        <c:axId val="1619937968"/>
        <c:axId val="1391672128"/>
      </c:barChart>
      <c:catAx>
        <c:axId val="161993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72128"/>
        <c:crosses val="autoZero"/>
        <c:auto val="1"/>
        <c:lblAlgn val="ctr"/>
        <c:lblOffset val="100"/>
        <c:noMultiLvlLbl val="0"/>
      </c:catAx>
      <c:valAx>
        <c:axId val="1391672128"/>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3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[project_2_sales_eda.xlsx]Graphs!PivotTable8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the Product</a:t>
            </a:r>
            <a:r>
              <a:rPr lang="en-US" baseline="0"/>
              <a:t> Category</a:t>
            </a:r>
            <a:endParaRPr lang="en-US"/>
          </a:p>
        </c:rich>
      </c:tx>
      <c:layout>
        <c:manualLayout>
          <c:xMode val="edge"/>
          <c:yMode val="edge"/>
          <c:x val="0.19383983572895278"/>
          <c:y val="0.141690622005582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Graphs!$K$2</c:f>
              <c:strCache>
                <c:ptCount val="1"/>
                <c:pt idx="0">
                  <c:v>Total</c:v>
                </c:pt>
              </c:strCache>
            </c:strRef>
          </c:tx>
          <c:spPr>
            <a:solidFill>
              <a:schemeClr val="accent1"/>
            </a:solidFill>
            <a:ln>
              <a:noFill/>
            </a:ln>
            <a:effectLst/>
          </c:spPr>
          <c:invertIfNegative val="0"/>
          <c:cat>
            <c:strRef>
              <c:f>Graphs!$J$3:$J$7</c:f>
              <c:strCache>
                <c:ptCount val="4"/>
                <c:pt idx="0">
                  <c:v>Accessories</c:v>
                </c:pt>
                <c:pt idx="1">
                  <c:v>Electronics</c:v>
                </c:pt>
                <c:pt idx="2">
                  <c:v>Furniture</c:v>
                </c:pt>
                <c:pt idx="3">
                  <c:v>Office Supplies</c:v>
                </c:pt>
              </c:strCache>
            </c:strRef>
          </c:cat>
          <c:val>
            <c:numRef>
              <c:f>Graphs!$K$3:$K$7</c:f>
              <c:numCache>
                <c:formatCode>General</c:formatCode>
                <c:ptCount val="4"/>
                <c:pt idx="0">
                  <c:v>15498.76</c:v>
                </c:pt>
                <c:pt idx="1">
                  <c:v>428836.37000000064</c:v>
                </c:pt>
                <c:pt idx="2">
                  <c:v>139730.41999999995</c:v>
                </c:pt>
                <c:pt idx="3">
                  <c:v>49068.82</c:v>
                </c:pt>
              </c:numCache>
            </c:numRef>
          </c:val>
          <c:extLst>
            <c:ext xmlns:c16="http://schemas.microsoft.com/office/drawing/2014/chart" uri="{C3380CC4-5D6E-409C-BE32-E72D297353CC}">
              <c16:uniqueId val="{00000000-C7DE-4918-90A5-04A23776BC0B}"/>
            </c:ext>
          </c:extLst>
        </c:ser>
        <c:dLbls>
          <c:showLegendKey val="0"/>
          <c:showVal val="0"/>
          <c:showCatName val="0"/>
          <c:showSerName val="0"/>
          <c:showPercent val="0"/>
          <c:showBubbleSize val="0"/>
        </c:dLbls>
        <c:gapWidth val="182"/>
        <c:axId val="1610375952"/>
        <c:axId val="1611685472"/>
      </c:barChart>
      <c:catAx>
        <c:axId val="161037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85472"/>
        <c:crosses val="autoZero"/>
        <c:auto val="1"/>
        <c:lblAlgn val="ctr"/>
        <c:lblOffset val="100"/>
        <c:noMultiLvlLbl val="0"/>
      </c:catAx>
      <c:valAx>
        <c:axId val="1611685472"/>
        <c:scaling>
          <c:orientation val="minMax"/>
        </c:scaling>
        <c:delete val="0"/>
        <c:axPos val="b"/>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375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[project_2_sales_eda.xlsx]Graphs!PivotTable9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Graphs!$E$14</c:f>
              <c:strCache>
                <c:ptCount val="1"/>
                <c:pt idx="0">
                  <c:v>Total</c:v>
                </c:pt>
              </c:strCache>
            </c:strRef>
          </c:tx>
          <c:spPr>
            <a:solidFill>
              <a:schemeClr val="accent1"/>
            </a:solidFill>
            <a:ln>
              <a:noFill/>
            </a:ln>
            <a:effectLst/>
          </c:spPr>
          <c:invertIfNegative val="0"/>
          <c:cat>
            <c:multiLvlStrRef>
              <c:f>Graphs!$D$15:$D$26</c:f>
              <c:multiLvlStrCache>
                <c:ptCount val="6"/>
                <c:lvl>
                  <c:pt idx="0">
                    <c:v>Kenya</c:v>
                  </c:pt>
                  <c:pt idx="1">
                    <c:v>United Kingdom</c:v>
                  </c:pt>
                  <c:pt idx="2">
                    <c:v>United States</c:v>
                  </c:pt>
                  <c:pt idx="3">
                    <c:v>South Africa</c:v>
                  </c:pt>
                  <c:pt idx="4">
                    <c:v>Ghana</c:v>
                  </c:pt>
                  <c:pt idx="5">
                    <c:v>Nigeria</c:v>
                  </c:pt>
                </c:lvl>
                <c:lvl>
                  <c:pt idx="0">
                    <c:v>East Africa</c:v>
                  </c:pt>
                  <c:pt idx="1">
                    <c:v>Europe</c:v>
                  </c:pt>
                  <c:pt idx="2">
                    <c:v>North America</c:v>
                  </c:pt>
                  <c:pt idx="3">
                    <c:v>Southern Africa</c:v>
                  </c:pt>
                  <c:pt idx="4">
                    <c:v>West Africa</c:v>
                  </c:pt>
                </c:lvl>
              </c:multiLvlStrCache>
            </c:multiLvlStrRef>
          </c:cat>
          <c:val>
            <c:numRef>
              <c:f>Graphs!$E$15:$E$26</c:f>
              <c:numCache>
                <c:formatCode>General</c:formatCode>
                <c:ptCount val="6"/>
                <c:pt idx="0">
                  <c:v>89362.259999999966</c:v>
                </c:pt>
                <c:pt idx="1">
                  <c:v>97654.689999999988</c:v>
                </c:pt>
                <c:pt idx="2">
                  <c:v>89176.930000000008</c:v>
                </c:pt>
                <c:pt idx="3">
                  <c:v>88607.2</c:v>
                </c:pt>
                <c:pt idx="4">
                  <c:v>128138.97</c:v>
                </c:pt>
                <c:pt idx="5">
                  <c:v>140194.31999999998</c:v>
                </c:pt>
              </c:numCache>
            </c:numRef>
          </c:val>
          <c:extLst>
            <c:ext xmlns:c16="http://schemas.microsoft.com/office/drawing/2014/chart" uri="{C3380CC4-5D6E-409C-BE32-E72D297353CC}">
              <c16:uniqueId val="{00000000-D5FB-48DA-B88B-0DFE30F98E4B}"/>
            </c:ext>
          </c:extLst>
        </c:ser>
        <c:dLbls>
          <c:showLegendKey val="0"/>
          <c:showVal val="0"/>
          <c:showCatName val="0"/>
          <c:showSerName val="0"/>
          <c:showPercent val="0"/>
          <c:showBubbleSize val="0"/>
        </c:dLbls>
        <c:gapWidth val="182"/>
        <c:axId val="1619921264"/>
        <c:axId val="1611674432"/>
      </c:barChart>
      <c:catAx>
        <c:axId val="1619921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674432"/>
        <c:crosses val="autoZero"/>
        <c:auto val="1"/>
        <c:lblAlgn val="ctr"/>
        <c:lblOffset val="100"/>
        <c:noMultiLvlLbl val="0"/>
      </c:catAx>
      <c:valAx>
        <c:axId val="1611674432"/>
        <c:scaling>
          <c:orientation val="minMax"/>
        </c:scaling>
        <c:delete val="0"/>
        <c:axPos val="b"/>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solidFill>
              <a:schemeClr val="accent1">
                <a:alpha val="97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92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[project_2_sales_eda.xlsx]Graphs!PivotTable10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Graphs!$T$2</c:f>
              <c:strCache>
                <c:ptCount val="1"/>
                <c:pt idx="0">
                  <c:v>Total</c:v>
                </c:pt>
              </c:strCache>
            </c:strRef>
          </c:tx>
          <c:spPr>
            <a:solidFill>
              <a:schemeClr val="accent1"/>
            </a:solidFill>
            <a:ln>
              <a:noFill/>
            </a:ln>
            <a:effectLst/>
          </c:spPr>
          <c:invertIfNegative val="0"/>
          <c:cat>
            <c:strRef>
              <c:f>Graphs!$S$3:$S$15</c:f>
              <c:strCache>
                <c:ptCount val="12"/>
                <c:pt idx="0">
                  <c:v>Backpack</c:v>
                </c:pt>
                <c:pt idx="1">
                  <c:v>Desk</c:v>
                </c:pt>
                <c:pt idx="2">
                  <c:v>Desk Lamp</c:v>
                </c:pt>
                <c:pt idx="3">
                  <c:v>Headphones</c:v>
                </c:pt>
                <c:pt idx="4">
                  <c:v>Keyboard</c:v>
                </c:pt>
                <c:pt idx="5">
                  <c:v>Laptop</c:v>
                </c:pt>
                <c:pt idx="6">
                  <c:v>Monitor</c:v>
                </c:pt>
                <c:pt idx="7">
                  <c:v>Mouse</c:v>
                </c:pt>
                <c:pt idx="8">
                  <c:v>Notebook</c:v>
                </c:pt>
                <c:pt idx="9">
                  <c:v>Office Chair</c:v>
                </c:pt>
                <c:pt idx="10">
                  <c:v>Printer</c:v>
                </c:pt>
                <c:pt idx="11">
                  <c:v>Smartphone</c:v>
                </c:pt>
              </c:strCache>
            </c:strRef>
          </c:cat>
          <c:val>
            <c:numRef>
              <c:f>Graphs!$T$3:$T$15</c:f>
              <c:numCache>
                <c:formatCode>General</c:formatCode>
                <c:ptCount val="12"/>
                <c:pt idx="0">
                  <c:v>15498.76</c:v>
                </c:pt>
                <c:pt idx="1">
                  <c:v>89391.410000000018</c:v>
                </c:pt>
                <c:pt idx="2">
                  <c:v>9859.8100000000013</c:v>
                </c:pt>
                <c:pt idx="3">
                  <c:v>20077.22</c:v>
                </c:pt>
                <c:pt idx="4">
                  <c:v>18372.990000000005</c:v>
                </c:pt>
                <c:pt idx="5">
                  <c:v>213041.96000000002</c:v>
                </c:pt>
                <c:pt idx="6">
                  <c:v>47402.130000000005</c:v>
                </c:pt>
                <c:pt idx="7">
                  <c:v>10235.020000000002</c:v>
                </c:pt>
                <c:pt idx="8">
                  <c:v>3384.57</c:v>
                </c:pt>
                <c:pt idx="9">
                  <c:v>40479.200000000004</c:v>
                </c:pt>
                <c:pt idx="10">
                  <c:v>45684.25</c:v>
                </c:pt>
                <c:pt idx="11">
                  <c:v>119707.04999999999</c:v>
                </c:pt>
              </c:numCache>
            </c:numRef>
          </c:val>
          <c:extLst>
            <c:ext xmlns:c16="http://schemas.microsoft.com/office/drawing/2014/chart" uri="{C3380CC4-5D6E-409C-BE32-E72D297353CC}">
              <c16:uniqueId val="{00000000-CFD3-49AC-8483-42617649B361}"/>
            </c:ext>
          </c:extLst>
        </c:ser>
        <c:dLbls>
          <c:showLegendKey val="0"/>
          <c:showVal val="0"/>
          <c:showCatName val="0"/>
          <c:showSerName val="0"/>
          <c:showPercent val="0"/>
          <c:showBubbleSize val="0"/>
        </c:dLbls>
        <c:gapWidth val="182"/>
        <c:axId val="1585786752"/>
        <c:axId val="1425987168"/>
      </c:barChart>
      <c:catAx>
        <c:axId val="158578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987168"/>
        <c:crosses val="autoZero"/>
        <c:auto val="1"/>
        <c:lblAlgn val="ctr"/>
        <c:lblOffset val="100"/>
        <c:noMultiLvlLbl val="0"/>
      </c:catAx>
      <c:valAx>
        <c:axId val="1425987168"/>
        <c:scaling>
          <c:orientation val="minMax"/>
        </c:scaling>
        <c:delete val="0"/>
        <c:axPos val="b"/>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578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[project_2_sales_eda.xlsx]Monthly_Sales_counts!PivotTable1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a:t>
            </a:r>
            <a:r>
              <a:rPr lang="en-US" b="1" baseline="0"/>
              <a:t> trend in Sales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Monthly_Sales_counts!$B$3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cat>
            <c:strRef>
              <c:f>Monthly_Sales_counts!$A$4:$A$16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Monthly_Sales_counts!$B$4:$B$16</c:f>
              <c:numCache>
                <c:formatCode>General</c:formatCode>
                <c:ptCount val="12"/>
                <c:pt idx="0">
                  <c:v>49</c:v>
                </c:pt>
                <c:pt idx="1">
                  <c:v>33</c:v>
                </c:pt>
                <c:pt idx="2">
                  <c:v>47</c:v>
                </c:pt>
                <c:pt idx="3">
                  <c:v>55</c:v>
                </c:pt>
                <c:pt idx="4">
                  <c:v>44</c:v>
                </c:pt>
                <c:pt idx="5">
                  <c:v>49</c:v>
                </c:pt>
                <c:pt idx="6">
                  <c:v>49</c:v>
                </c:pt>
                <c:pt idx="7">
                  <c:v>53</c:v>
                </c:pt>
                <c:pt idx="8">
                  <c:v>57</c:v>
                </c:pt>
                <c:pt idx="9">
                  <c:v>56</c:v>
                </c:pt>
                <c:pt idx="10">
                  <c:v>53</c:v>
                </c:pt>
                <c:pt idx="11">
                  <c:v>55</c:v>
                </c:pt>
              </c:numCache>
            </c:numRef>
          </c:val>
          <c:smooth val="0"/>
          <c:extLst>
            <c:ext xmlns:c16="http://schemas.microsoft.com/office/drawing/2014/chart" uri="{C3380CC4-5D6E-409C-BE32-E72D297353CC}">
              <c16:uniqueId val="{00000000-77AA-4AC3-A9EA-1BF6F0CF77BB}"/>
            </c:ext>
          </c:extLst>
        </c:ser>
        <c:dLbls>
          <c:showLegendKey val="0"/>
          <c:showVal val="0"/>
          <c:showCatName val="0"/>
          <c:showSerName val="0"/>
          <c:showPercent val="0"/>
          <c:showBubbleSize val="0"/>
        </c:dLbls>
        <c:smooth val="0"/>
        <c:axId val="1574397920"/>
        <c:axId val="1391665408"/>
      </c:lineChart>
      <c:catAx>
        <c:axId val="1574397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665408"/>
        <c:crosses val="autoZero"/>
        <c:auto val="1"/>
        <c:lblAlgn val="ctr"/>
        <c:lblOffset val="100"/>
        <c:noMultiLvlLbl val="0"/>
      </c:catAx>
      <c:valAx>
        <c:axId val="139166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39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320040</xdr:colOff>
      <xdr:row>10</xdr:row>
      <xdr:rowOff>7620</xdr:rowOff>
    </xdr:from>
    <xdr:to>
      <xdr:col>5</xdr:col>
      <xdr:colOff>426720</xdr:colOff>
      <xdr:row>24</xdr:row>
      <xdr:rowOff>53340</xdr:rowOff>
    </xdr:to>
    <xdr:graphicFrame macro="">
      <xdr:nvGraphicFramePr>
        <xdr:cNvPr id="2" name="Chart 1">
          <a:extLst>
            <a:ext uri="{FF2B5EF4-FFF2-40B4-BE49-F238E27FC236}">
              <a16:creationId xmlns:a16="http://schemas.microsoft.com/office/drawing/2014/main" id="{FCF431CC-29FF-8845-7287-2F2B5A529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472440</xdr:colOff>
      <xdr:row>9</xdr:row>
      <xdr:rowOff>167640</xdr:rowOff>
    </xdr:from>
    <xdr:to>
      <xdr:col>12</xdr:col>
      <xdr:colOff>556260</xdr:colOff>
      <xdr:row>24</xdr:row>
      <xdr:rowOff>91440</xdr:rowOff>
    </xdr:to>
    <xdr:graphicFrame macro="">
      <xdr:nvGraphicFramePr>
        <xdr:cNvPr id="5" name="Chart 4">
          <a:extLst>
            <a:ext uri="{FF2B5EF4-FFF2-40B4-BE49-F238E27FC236}">
              <a16:creationId xmlns:a16="http://schemas.microsoft.com/office/drawing/2014/main" id="{D16A94F4-3CB6-C339-1661-3895EA1A9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53340</xdr:colOff>
      <xdr:row>0</xdr:row>
      <xdr:rowOff>0</xdr:rowOff>
    </xdr:from>
    <xdr:to>
      <xdr:col>8</xdr:col>
      <xdr:colOff>441960</xdr:colOff>
      <xdr:row>12</xdr:row>
      <xdr:rowOff>114300</xdr:rowOff>
    </xdr:to>
    <xdr:graphicFrame macro="">
      <xdr:nvGraphicFramePr>
        <xdr:cNvPr id="2" name="Chart 1">
          <a:extLst>
            <a:ext uri="{FF2B5EF4-FFF2-40B4-BE49-F238E27FC236}">
              <a16:creationId xmlns:a16="http://schemas.microsoft.com/office/drawing/2014/main" id="{9FBD8464-D419-5304-829C-BD6680F547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68580</xdr:colOff>
      <xdr:row>0</xdr:row>
      <xdr:rowOff>83820</xdr:rowOff>
    </xdr:from>
    <xdr:to>
      <xdr:col>17</xdr:col>
      <xdr:colOff>68580</xdr:colOff>
      <xdr:row>13</xdr:row>
      <xdr:rowOff>53340</xdr:rowOff>
    </xdr:to>
    <xdr:graphicFrame macro="">
      <xdr:nvGraphicFramePr>
        <xdr:cNvPr id="3" name="Chart 2">
          <a:extLst>
            <a:ext uri="{FF2B5EF4-FFF2-40B4-BE49-F238E27FC236}">
              <a16:creationId xmlns:a16="http://schemas.microsoft.com/office/drawing/2014/main" id="{D540D85F-3088-1FEE-B7F1-AAE12C377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114300</xdr:colOff>
      <xdr:row>13</xdr:row>
      <xdr:rowOff>99060</xdr:rowOff>
    </xdr:from>
    <xdr:to>
      <xdr:col>15</xdr:col>
      <xdr:colOff>464820</xdr:colOff>
      <xdr:row>33</xdr:row>
      <xdr:rowOff>175260</xdr:rowOff>
    </xdr:to>
    <xdr:graphicFrame macro="">
      <xdr:nvGraphicFramePr>
        <xdr:cNvPr id="5" name="Chart 4">
          <a:extLst>
            <a:ext uri="{FF2B5EF4-FFF2-40B4-BE49-F238E27FC236}">
              <a16:creationId xmlns:a16="http://schemas.microsoft.com/office/drawing/2014/main" id="{0B06FF38-14D7-5C0A-CC3A-0A240E9E60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411480</xdr:colOff>
      <xdr:row>13</xdr:row>
      <xdr:rowOff>121921</xdr:rowOff>
    </xdr:from>
    <xdr:to>
      <xdr:col>2</xdr:col>
      <xdr:colOff>693420</xdr:colOff>
      <xdr:row>23</xdr:row>
      <xdr:rowOff>45720</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A4E5A4CD-673F-0075-AD2B-696B470F48E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11480" y="2499361"/>
              <a:ext cx="2042160" cy="175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15240</xdr:colOff>
      <xdr:row>15</xdr:row>
      <xdr:rowOff>38100</xdr:rowOff>
    </xdr:from>
    <xdr:to>
      <xdr:col>22</xdr:col>
      <xdr:colOff>487680</xdr:colOff>
      <xdr:row>30</xdr:row>
      <xdr:rowOff>38100</xdr:rowOff>
    </xdr:to>
    <xdr:graphicFrame macro="">
      <xdr:nvGraphicFramePr>
        <xdr:cNvPr id="8" name="Chart 7">
          <a:extLst>
            <a:ext uri="{FF2B5EF4-FFF2-40B4-BE49-F238E27FC236}">
              <a16:creationId xmlns:a16="http://schemas.microsoft.com/office/drawing/2014/main" id="{E8FBCA87-4460-4519-6DD2-DE75C4B85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99060</xdr:colOff>
      <xdr:row>1</xdr:row>
      <xdr:rowOff>22860</xdr:rowOff>
    </xdr:from>
    <xdr:to>
      <xdr:col>23</xdr:col>
      <xdr:colOff>53340</xdr:colOff>
      <xdr:row>14</xdr:row>
      <xdr:rowOff>129539</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EC5B5AFA-B054-6E86-D6F6-6E43AE24136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476220" y="205740"/>
              <a:ext cx="1783080" cy="24841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0</xdr:row>
      <xdr:rowOff>160020</xdr:rowOff>
    </xdr:from>
    <xdr:to>
      <xdr:col>10</xdr:col>
      <xdr:colOff>152400</xdr:colOff>
      <xdr:row>15</xdr:row>
      <xdr:rowOff>160020</xdr:rowOff>
    </xdr:to>
    <xdr:graphicFrame macro="">
      <xdr:nvGraphicFramePr>
        <xdr:cNvPr id="4" name="Chart 3">
          <a:extLst>
            <a:ext uri="{FF2B5EF4-FFF2-40B4-BE49-F238E27FC236}">
              <a16:creationId xmlns:a16="http://schemas.microsoft.com/office/drawing/2014/main" id="{6E4081CC-2789-DD78-9FF1-C0E4EB4E42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106680</xdr:colOff>
      <xdr:row>16</xdr:row>
      <xdr:rowOff>68580</xdr:rowOff>
    </xdr:from>
    <xdr:to>
      <xdr:col>9</xdr:col>
      <xdr:colOff>525780</xdr:colOff>
      <xdr:row>24</xdr:row>
      <xdr:rowOff>30480</xdr:rowOff>
    </xdr:to>
    <mc:AlternateContent xmlns:mc="http://schemas.openxmlformats.org/markup-compatibility/2006">
      <mc:Choice xmlns:tsle="http://schemas.microsoft.com/office/drawing/2012/timeslicer" Requires="tsle">
        <xdr:graphicFrame macro="">
          <xdr:nvGraphicFramePr>
            <xdr:cNvPr id="5" name="Order_Date">
              <a:extLst>
                <a:ext uri="{FF2B5EF4-FFF2-40B4-BE49-F238E27FC236}">
                  <a16:creationId xmlns:a16="http://schemas.microsoft.com/office/drawing/2014/main" id="{208B6FE4-759B-6572-393A-F8D5E94F45EA}"/>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583180" y="2994660"/>
              <a:ext cx="4076700" cy="14249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efreshedDate="46298.652205324077" createdVersion="8" refreshedVersion="8" minRefreshableVersion="3" recordCount="600" xr:uid="{925F8521-F032-410A-B895-542BBA17F04D}">
  <cacheSource type="worksheet">
    <worksheetSource ref="A1:L601" sheet="Raw_Data_Copy"/>
  </cacheSource>
  <cacheFields count="14">
    <cacheField name="Order_ID" numFmtId="0">
      <sharedItems/>
    </cacheField>
    <cacheField name="Order_Date" numFmtId="164">
      <sharedItems containsSemiMixedTypes="0" containsNonDate="0" containsDate="1" containsString="0" minDate="2025-01-01T00:00:00" maxDate="2026-01-01T00:00:00" count="291">
        <d v="2025-01-01T00:00:00"/>
        <d v="2025-01-02T00:00:00"/>
        <d v="2025-01-05T00:00:00"/>
        <d v="2025-01-06T00:00:00"/>
        <d v="2025-01-07T00:00:00"/>
        <d v="2025-01-08T00:00:00"/>
        <d v="2025-01-10T00:00:00"/>
        <d v="2025-01-11T00:00:00"/>
        <d v="2025-01-12T00:00:00"/>
        <d v="2025-01-13T00:00:00"/>
        <d v="2025-01-14T00:00:00"/>
        <d v="2025-01-15T00:00:00"/>
        <d v="2025-01-16T00:00:00"/>
        <d v="2025-01-18T00:00:00"/>
        <d v="2025-01-19T00:00:00"/>
        <d v="2025-01-20T00:00:00"/>
        <d v="2025-01-21T00:00:00"/>
        <d v="2025-01-22T00:00:00"/>
        <d v="2025-01-24T00:00:00"/>
        <d v="2025-01-25T00:00:00"/>
        <d v="2025-01-26T00:00:00"/>
        <d v="2025-01-28T00:00:00"/>
        <d v="2025-01-29T00:00:00"/>
        <d v="2025-01-31T00:00:00"/>
        <d v="2025-02-01T00:00:00"/>
        <d v="2025-02-04T00:00:00"/>
        <d v="2025-02-05T00:00:00"/>
        <d v="2025-02-07T00:00:00"/>
        <d v="2025-02-08T00:00:00"/>
        <d v="2025-02-11T00:00:00"/>
        <d v="2025-02-12T00:00:00"/>
        <d v="2025-02-13T00:00:00"/>
        <d v="2025-02-14T00:00:00"/>
        <d v="2025-02-15T00:00:00"/>
        <d v="2025-02-17T00:00:00"/>
        <d v="2025-02-18T00:00:00"/>
        <d v="2025-02-19T00:00:00"/>
        <d v="2025-02-20T00:00:00"/>
        <d v="2025-02-23T00:00:00"/>
        <d v="2025-02-25T00:00:00"/>
        <d v="2025-02-28T00:00:00"/>
        <d v="2025-03-01T00:00:00"/>
        <d v="2025-03-02T00:00:00"/>
        <d v="2025-03-03T00:00:00"/>
        <d v="2025-03-04T00:00:00"/>
        <d v="2025-03-05T00:00:00"/>
        <d v="2025-03-06T00:00:00"/>
        <d v="2025-03-07T00:00:00"/>
        <d v="2025-03-08T00:00:00"/>
        <d v="2025-03-09T00:00:00"/>
        <d v="2025-03-11T00:00:00"/>
        <d v="2025-03-13T00:00:00"/>
        <d v="2025-03-14T00:00:00"/>
        <d v="2025-03-15T00:00:00"/>
        <d v="2025-03-18T00:00:00"/>
        <d v="2025-03-19T00:00:00"/>
        <d v="2025-03-23T00:00:00"/>
        <d v="2025-03-24T00:00:00"/>
        <d v="2025-03-25T00:00:00"/>
        <d v="2025-03-26T00:00:00"/>
        <d v="2025-03-27T00:00:00"/>
        <d v="2025-03-28T00:00:00"/>
        <d v="2025-03-29T00:00:00"/>
        <d v="2025-03-31T00:00:00"/>
        <d v="2025-04-02T00:00:00"/>
        <d v="2025-04-03T00:00:00"/>
        <d v="2025-04-04T00:00:00"/>
        <d v="2025-04-05T00:00:00"/>
        <d v="2025-04-06T00:00:00"/>
        <d v="2025-04-07T00:00:00"/>
        <d v="2025-04-08T00:00:00"/>
        <d v="2025-04-09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7T00:00:00"/>
        <d v="2025-04-28T00:00:00"/>
        <d v="2025-04-29T00:00:00"/>
        <d v="2025-04-30T00:00:00"/>
        <d v="2025-05-02T00:00:00"/>
        <d v="2025-05-03T00:00:00"/>
        <d v="2025-05-04T00:00:00"/>
        <d v="2025-05-06T00:00:00"/>
        <d v="2025-05-07T00:00:00"/>
        <d v="2025-05-08T00:00:00"/>
        <d v="2025-05-09T00:00:00"/>
        <d v="2025-05-10T00:00:00"/>
        <d v="2025-05-11T00:00:00"/>
        <d v="2025-05-13T00:00:00"/>
        <d v="2025-05-14T00:00:00"/>
        <d v="2025-05-15T00:00:00"/>
        <d v="2025-05-16T00:00:00"/>
        <d v="2025-05-17T00:00:00"/>
        <d v="2025-05-18T00:00:00"/>
        <d v="2025-05-19T00:00:00"/>
        <d v="2025-05-20T00:00:00"/>
        <d v="2025-05-21T00:00:00"/>
        <d v="2025-05-22T00:00:00"/>
        <d v="2025-05-25T00:00:00"/>
        <d v="2025-05-26T00:00:00"/>
        <d v="2025-05-27T00:00:00"/>
        <d v="2025-05-28T00:00:00"/>
        <d v="2025-05-29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6T00:00:00"/>
        <d v="2025-06-17T00:00:00"/>
        <d v="2025-06-18T00:00:00"/>
        <d v="2025-06-20T00:00:00"/>
        <d v="2025-06-21T00:00:00"/>
        <d v="2025-06-22T00:00:00"/>
        <d v="2025-06-23T00:00:00"/>
        <d v="2025-06-24T00:00:00"/>
        <d v="2025-06-25T00:00:00"/>
        <d v="2025-06-26T00:00:00"/>
        <d v="2025-06-27T00:00:00"/>
        <d v="2025-06-28T00:00:00"/>
        <d v="2025-06-29T00:00:00"/>
        <d v="2025-06-30T00:00:00"/>
        <d v="2025-07-01T00:00:00"/>
        <d v="2025-07-02T00:00:00"/>
        <d v="2025-07-04T00:00:00"/>
        <d v="2025-07-05T00:00:00"/>
        <d v="2025-07-06T00:00:00"/>
        <d v="2025-07-07T00:00:00"/>
        <d v="2025-07-08T00:00:00"/>
        <d v="2025-07-09T00:00:00"/>
        <d v="2025-07-11T00:00:00"/>
        <d v="2025-07-12T00:00:00"/>
        <d v="2025-07-13T00:00:00"/>
        <d v="2025-07-14T00:00:00"/>
        <d v="2025-07-16T00:00:00"/>
        <d v="2025-07-17T00:00:00"/>
        <d v="2025-07-19T00:00:00"/>
        <d v="2025-07-20T00:00:00"/>
        <d v="2025-07-21T00:00:00"/>
        <d v="2025-07-22T00:00:00"/>
        <d v="2025-07-23T00:00:00"/>
        <d v="2025-07-24T00:00:00"/>
        <d v="2025-07-25T00:00:00"/>
        <d v="2025-07-26T00:00:00"/>
        <d v="2025-07-27T00:00:00"/>
        <d v="2025-07-29T00:00:00"/>
        <d v="2025-07-30T00:00:00"/>
        <d v="2025-07-31T00:00:00"/>
        <d v="2025-08-02T00:00:00"/>
        <d v="2025-08-03T00:00:00"/>
        <d v="2025-08-04T00:00:00"/>
        <d v="2025-08-05T00:00:00"/>
        <d v="2025-08-07T00:00:00"/>
        <d v="2025-08-08T00:00:00"/>
        <d v="2025-08-09T00:00:00"/>
        <d v="2025-08-10T00:00:00"/>
        <d v="2025-08-11T00:00:00"/>
        <d v="2025-08-12T00:00:00"/>
        <d v="2025-08-13T00:00:00"/>
        <d v="2025-08-14T00:00:00"/>
        <d v="2025-08-15T00:00:00"/>
        <d v="2025-08-17T00:00:00"/>
        <d v="2025-08-18T00:00:00"/>
        <d v="2025-08-19T00:00:00"/>
        <d v="2025-08-20T00:00:00"/>
        <d v="2025-08-21T00:00:00"/>
        <d v="2025-08-22T00:00:00"/>
        <d v="2025-08-23T00:00:00"/>
        <d v="2025-08-24T00:00:00"/>
        <d v="2025-08-25T00:00:00"/>
        <d v="2025-08-27T00:00:00"/>
        <d v="2025-08-28T00:00:00"/>
        <d v="2025-08-30T00:00:00"/>
        <d v="2025-08-31T00:00:00"/>
        <d v="2025-09-02T00:00:00"/>
        <d v="2025-09-03T00:00:00"/>
        <d v="2025-09-04T00:00:00"/>
        <d v="2025-09-05T00:00:00"/>
        <d v="2025-09-06T00:00:00"/>
        <d v="2025-09-07T00:00:00"/>
        <d v="2025-09-08T00:00:00"/>
        <d v="2025-09-09T00:00:00"/>
        <d v="2025-09-12T00:00:00"/>
        <d v="2025-09-13T00:00:00"/>
        <d v="2025-09-14T00:00:00"/>
        <d v="2025-09-17T00:00:00"/>
        <d v="2025-09-18T00:00:00"/>
        <d v="2025-09-19T00:00:00"/>
        <d v="2025-09-20T00:00:00"/>
        <d v="2025-09-21T00:00:00"/>
        <d v="2025-09-22T00:00:00"/>
        <d v="2025-09-23T00:00:00"/>
        <d v="2025-09-24T00:00:00"/>
        <d v="2025-09-25T00:00:00"/>
        <d v="2025-09-26T00:00:00"/>
        <d v="2025-09-28T00:00:00"/>
        <d v="2025-09-30T00:00:00"/>
        <d v="2025-10-01T00:00:00"/>
        <d v="2025-10-02T00:00:00"/>
        <d v="2025-10-03T00:00:00"/>
        <d v="2025-10-04T00:00:00"/>
        <d v="2025-10-05T00:00:00"/>
        <d v="2025-10-06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8T00:00:00"/>
        <d v="2025-10-30T00:00:00"/>
        <d v="2025-10-31T00:00:00"/>
        <d v="2025-11-01T00:00:00"/>
        <d v="2025-11-02T00:00:00"/>
        <d v="2025-11-04T00:00:00"/>
        <d v="2025-11-05T00:00:00"/>
        <d v="2025-11-06T00:00:00"/>
        <d v="2025-11-08T00:00:00"/>
        <d v="2025-11-09T00:00:00"/>
        <d v="2025-11-10T00:00:00"/>
        <d v="2025-11-11T00:00:00"/>
        <d v="2025-11-12T00:00:00"/>
        <d v="2025-11-13T00:00:00"/>
        <d v="2025-11-14T00:00:00"/>
        <d v="2025-11-15T00:00:00"/>
        <d v="2025-11-16T00:00:00"/>
        <d v="2025-11-19T00:00:00"/>
        <d v="2025-11-20T00:00:00"/>
        <d v="2025-11-21T00:00:00"/>
        <d v="2025-11-22T00:00:00"/>
        <d v="2025-11-23T00:00:00"/>
        <d v="2025-11-24T00:00:00"/>
        <d v="2025-11-27T00:00:00"/>
        <d v="2025-11-28T00:00:00"/>
        <d v="2025-12-03T00:00:00"/>
        <d v="2025-12-04T00:00:00"/>
        <d v="2025-12-06T00:00:00"/>
        <d v="2025-12-07T00:00:00"/>
        <d v="2025-12-08T00:00:00"/>
        <d v="2025-12-09T00:00:00"/>
        <d v="2025-12-10T00:00:00"/>
        <d v="2025-12-11T00:00:00"/>
        <d v="2025-12-12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3"/>
    </cacheField>
    <cacheField name="Customer_ID" numFmtId="0">
      <sharedItems/>
    </cacheField>
    <cacheField name="Country" numFmtId="0">
      <sharedItems count="6">
        <s v="Ghana"/>
        <s v="United Kingdom"/>
        <s v="Kenya"/>
        <s v="South Africa"/>
        <s v="Nigeria"/>
        <s v="United States"/>
      </sharedItems>
    </cacheField>
    <cacheField name="Region" numFmtId="0">
      <sharedItems count="5">
        <s v="West Africa"/>
        <s v="Europe"/>
        <s v="East Africa"/>
        <s v="Southern Africa"/>
        <s v="North America"/>
      </sharedItems>
    </cacheField>
    <cacheField name="Product" numFmtId="0">
      <sharedItems count="12">
        <s v="Office Chair"/>
        <s v="Monitor"/>
        <s v="Desk Lamp"/>
        <s v="Smartphone"/>
        <s v="Notebook"/>
        <s v="Printer"/>
        <s v="Headphones"/>
        <s v="Desk"/>
        <s v="Mouse"/>
        <s v="Keyboard"/>
        <s v="Laptop"/>
        <s v="Backpack"/>
      </sharedItems>
    </cacheField>
    <cacheField name="Category" numFmtId="0">
      <sharedItems count="4">
        <s v="Furniture"/>
        <s v="Electronics"/>
        <s v="Office Supplies"/>
        <s v="Accessories"/>
      </sharedItems>
    </cacheField>
    <cacheField name="Quantity" numFmtId="0">
      <sharedItems containsSemiMixedTypes="0" containsString="0" containsNumber="1" containsInteger="1" minValue="0" maxValue="8"/>
    </cacheField>
    <cacheField name="Unit_Price" numFmtId="0">
      <sharedItems containsString="0" containsBlank="1" containsNumber="1" minValue="13.53" maxValue="988.64"/>
    </cacheField>
    <cacheField name="Discount" numFmtId="0">
      <sharedItems containsSemiMixedTypes="0" containsString="0" containsNumber="1" minValue="0" maxValue="0.45" count="8">
        <n v="0.1"/>
        <n v="0.15"/>
        <n v="0"/>
        <n v="0.2"/>
        <n v="0.05"/>
        <n v="0.3"/>
        <n v="0.25"/>
        <n v="0.45"/>
      </sharedItems>
      <fieldGroup base="9">
        <rangePr startNum="0" endNum="0.45" groupInterval="0.1"/>
        <groupItems count="7">
          <s v="&lt;0"/>
          <s v="0-0.1"/>
          <s v="0.1-0.2"/>
          <s v="0.2-0.3"/>
          <s v="0.3-0.4"/>
          <s v="0.4-0.5"/>
          <s v="&gt;0.5"/>
        </groupItems>
      </fieldGroup>
    </cacheField>
    <cacheField name="Sales" numFmtId="0">
      <sharedItems containsString="0" containsBlank="1" containsNumber="1" minValue="12.16" maxValue="7783.68"/>
    </cacheField>
    <cacheField name="Payment_Method" numFmtId="0">
      <sharedItems containsBlank="1"/>
    </cacheField>
    <cacheField name="Days (Order_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_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s>
  <extLst>
    <ext xmlns:x14="http://schemas.microsoft.com/office/spreadsheetml/2009/9/main" uri="{725AE2AE-9491-48be-B2B4-4EB974FC3084}">
      <x14:pivotCacheDefinition pivotCacheId="3288799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efreshedDate="46298.708606481479" createdVersion="8" refreshedVersion="8" minRefreshableVersion="3" recordCount="600" xr:uid="{85D53230-29A7-412D-A348-AF9082C48939}">
  <cacheSource type="worksheet">
    <worksheetSource ref="A1:L601" sheet="Raw_Data"/>
  </cacheSource>
  <cacheFields count="12">
    <cacheField name="Order_ID" numFmtId="0">
      <sharedItems/>
    </cacheField>
    <cacheField name="Order_Date" numFmtId="164">
      <sharedItems containsSemiMixedTypes="0" containsNonDate="0" containsDate="1" containsString="0" minDate="2025-01-01T00:00:00" maxDate="2026-01-01T00:00:00"/>
    </cacheField>
    <cacheField name="Customer_ID" numFmtId="0">
      <sharedItems/>
    </cacheField>
    <cacheField name="Country" numFmtId="0">
      <sharedItems/>
    </cacheField>
    <cacheField name="Region" numFmtId="0">
      <sharedItems/>
    </cacheField>
    <cacheField name="Product" numFmtId="0">
      <sharedItems count="12">
        <s v="Office Chair"/>
        <s v="Monitor"/>
        <s v="Desk Lamp"/>
        <s v="Smartphone"/>
        <s v="Notebook"/>
        <s v="Printer"/>
        <s v="Headphones"/>
        <s v="Desk"/>
        <s v="Mouse"/>
        <s v="Keyboard"/>
        <s v="Laptop"/>
        <s v="Backpack"/>
      </sharedItems>
    </cacheField>
    <cacheField name="Category" numFmtId="0">
      <sharedItems/>
    </cacheField>
    <cacheField name="Quantity" numFmtId="0">
      <sharedItems containsSemiMixedTypes="0" containsString="0" containsNumber="1" containsInteger="1" minValue="0" maxValue="8"/>
    </cacheField>
    <cacheField name="Unit_Price" numFmtId="0">
      <sharedItems containsString="0" containsBlank="1" containsNumber="1" minValue="13.53" maxValue="988.64"/>
    </cacheField>
    <cacheField name="Discount" numFmtId="0">
      <sharedItems containsSemiMixedTypes="0" containsString="0" containsNumber="1" minValue="0" maxValue="0.45"/>
    </cacheField>
    <cacheField name="Sales" numFmtId="0">
      <sharedItems containsString="0" containsBlank="1" containsNumber="1" minValue="12.16" maxValue="7783.68"/>
    </cacheField>
    <cacheField name="Payment_Method" numFmtId="0">
      <sharedItems containsBlank="1"/>
    </cacheField>
  </cacheFields>
  <extLst>
    <ext xmlns:x14="http://schemas.microsoft.com/office/spreadsheetml/2009/9/main" uri="{725AE2AE-9491-48be-B2B4-4EB974FC3084}">
      <x14:pivotCacheDefinition pivotCacheId="1519817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0557"/>
    <x v="0"/>
    <s v="CUST-0044"/>
    <x v="0"/>
    <x v="0"/>
    <x v="0"/>
    <x v="0"/>
    <n v="6"/>
    <n v="222.25"/>
    <x v="0"/>
    <n v="1200.1500000000001"/>
    <s v="Bank Transfer"/>
  </r>
  <r>
    <s v="ORD-0385"/>
    <x v="0"/>
    <s v="CUST-0143"/>
    <x v="1"/>
    <x v="1"/>
    <x v="1"/>
    <x v="1"/>
    <n v="6"/>
    <n v="270.86"/>
    <x v="1"/>
    <n v="1381.39"/>
    <s v="Bank Transfer"/>
  </r>
  <r>
    <s v="ORD-0510"/>
    <x v="1"/>
    <s v="CUST-0178"/>
    <x v="2"/>
    <x v="2"/>
    <x v="2"/>
    <x v="0"/>
    <n v="2"/>
    <n v="55.08"/>
    <x v="2"/>
    <n v="110.16"/>
    <s v="Card"/>
  </r>
  <r>
    <s v="ORD-0218"/>
    <x v="2"/>
    <s v="CUST-0086"/>
    <x v="3"/>
    <x v="3"/>
    <x v="3"/>
    <x v="1"/>
    <n v="5"/>
    <n v="597.21"/>
    <x v="1"/>
    <n v="2538.14"/>
    <s v="Mobile Money"/>
  </r>
  <r>
    <s v="ORD-0562"/>
    <x v="3"/>
    <s v="CUST-0147"/>
    <x v="4"/>
    <x v="0"/>
    <x v="3"/>
    <x v="1"/>
    <n v="7"/>
    <n v="590.39"/>
    <x v="1"/>
    <n v="3512.82"/>
    <s v="Mobile Money"/>
  </r>
  <r>
    <s v="ORD-0263"/>
    <x v="4"/>
    <s v="CUST-0155"/>
    <x v="2"/>
    <x v="2"/>
    <x v="1"/>
    <x v="1"/>
    <n v="2"/>
    <n v="277.83999999999997"/>
    <x v="3"/>
    <n v="444.54"/>
    <s v="Mobile Money"/>
  </r>
  <r>
    <s v="ORD-0089"/>
    <x v="5"/>
    <s v="CUST-0132"/>
    <x v="3"/>
    <x v="3"/>
    <x v="4"/>
    <x v="2"/>
    <n v="3"/>
    <n v="15.11"/>
    <x v="0"/>
    <n v="40.799999999999997"/>
    <s v="Mobile Money"/>
  </r>
  <r>
    <s v="ORD-0530"/>
    <x v="5"/>
    <s v="CUST-0029"/>
    <x v="5"/>
    <x v="4"/>
    <x v="5"/>
    <x v="2"/>
    <n v="3"/>
    <n v="254.64"/>
    <x v="4"/>
    <n v="725.72"/>
    <s v="Card"/>
  </r>
  <r>
    <s v="ORD-0187"/>
    <x v="5"/>
    <s v="CUST-0079"/>
    <x v="2"/>
    <x v="2"/>
    <x v="4"/>
    <x v="2"/>
    <n v="8"/>
    <n v="13.98"/>
    <x v="4"/>
    <n v="106.25"/>
    <s v="Card"/>
  </r>
  <r>
    <s v="ORD-0077"/>
    <x v="6"/>
    <s v="CUST-0056"/>
    <x v="0"/>
    <x v="0"/>
    <x v="6"/>
    <x v="1"/>
    <n v="5"/>
    <n v="130.57"/>
    <x v="0"/>
    <n v="587.55999999999995"/>
    <s v="Mobile Money"/>
  </r>
  <r>
    <s v="ORD-0401"/>
    <x v="7"/>
    <s v="CUST-0017"/>
    <x v="0"/>
    <x v="0"/>
    <x v="7"/>
    <x v="0"/>
    <n v="5"/>
    <n v="376.29"/>
    <x v="2"/>
    <n v="1881.45"/>
    <s v="Card"/>
  </r>
  <r>
    <s v="ORD-0288"/>
    <x v="8"/>
    <s v="CUST-0014"/>
    <x v="4"/>
    <x v="0"/>
    <x v="8"/>
    <x v="1"/>
    <n v="4"/>
    <n v="45.22"/>
    <x v="3"/>
    <n v="144.69999999999999"/>
    <s v="Bank Transfer"/>
  </r>
  <r>
    <s v="ORD-0257"/>
    <x v="8"/>
    <s v="CUST-0032"/>
    <x v="4"/>
    <x v="0"/>
    <x v="9"/>
    <x v="1"/>
    <n v="5"/>
    <n v="72.41"/>
    <x v="2"/>
    <n v="362.05"/>
    <s v="Cash"/>
  </r>
  <r>
    <s v="ORD-0377"/>
    <x v="8"/>
    <s v="CUST-0070"/>
    <x v="1"/>
    <x v="1"/>
    <x v="1"/>
    <x v="1"/>
    <n v="4"/>
    <n v="273.45999999999998"/>
    <x v="1"/>
    <n v="929.76"/>
    <s v="Mobile Money"/>
  </r>
  <r>
    <s v="ORD-0543"/>
    <x v="9"/>
    <s v="CUST-0081"/>
    <x v="5"/>
    <x v="4"/>
    <x v="10"/>
    <x v="1"/>
    <n v="7"/>
    <n v="845.86"/>
    <x v="2"/>
    <n v="5921.02"/>
    <s v="Card"/>
  </r>
  <r>
    <s v="ORD-0265"/>
    <x v="9"/>
    <s v="CUST-0082"/>
    <x v="0"/>
    <x v="0"/>
    <x v="7"/>
    <x v="0"/>
    <n v="2"/>
    <n v="362.67"/>
    <x v="2"/>
    <n v="725.34"/>
    <s v="Mobile Money"/>
  </r>
  <r>
    <s v="ORD-0551"/>
    <x v="9"/>
    <s v="CUST-0045"/>
    <x v="3"/>
    <x v="3"/>
    <x v="8"/>
    <x v="1"/>
    <n v="7"/>
    <n v="42.46"/>
    <x v="3"/>
    <n v="237.78"/>
    <s v="Card"/>
  </r>
  <r>
    <s v="ORD-0538"/>
    <x v="9"/>
    <s v="CUST-0036"/>
    <x v="0"/>
    <x v="0"/>
    <x v="9"/>
    <x v="1"/>
    <n v="4"/>
    <n v="85.23"/>
    <x v="4"/>
    <n v="323.87"/>
    <s v="Card"/>
  </r>
  <r>
    <s v="ORD-0095"/>
    <x v="10"/>
    <s v="CUST-0056"/>
    <x v="2"/>
    <x v="2"/>
    <x v="5"/>
    <x v="2"/>
    <n v="4"/>
    <n v="243.45"/>
    <x v="0"/>
    <n v="876.42"/>
    <s v="Bank Transfer"/>
  </r>
  <r>
    <s v="ORD-0393"/>
    <x v="10"/>
    <s v="CUST-0178"/>
    <x v="5"/>
    <x v="4"/>
    <x v="5"/>
    <x v="2"/>
    <n v="2"/>
    <n v="266.07"/>
    <x v="0"/>
    <n v="478.93"/>
    <s v="Mobile Money"/>
  </r>
  <r>
    <s v="ORD-0156"/>
    <x v="10"/>
    <s v="CUST-0159"/>
    <x v="1"/>
    <x v="1"/>
    <x v="0"/>
    <x v="0"/>
    <n v="7"/>
    <n v="218.03"/>
    <x v="0"/>
    <n v="1373.59"/>
    <s v="Mobile Money"/>
  </r>
  <r>
    <s v="ORD-0199"/>
    <x v="10"/>
    <s v="CUST-0012"/>
    <x v="3"/>
    <x v="3"/>
    <x v="11"/>
    <x v="3"/>
    <n v="2"/>
    <n v="74.709999999999994"/>
    <x v="2"/>
    <n v="149.41999999999999"/>
    <s v="Card"/>
  </r>
  <r>
    <s v="ORD-0010"/>
    <x v="11"/>
    <s v="CUST-0045"/>
    <x v="1"/>
    <x v="1"/>
    <x v="5"/>
    <x v="2"/>
    <n v="1"/>
    <n v="239.05"/>
    <x v="0"/>
    <n v="215.14"/>
    <s v="Card"/>
  </r>
  <r>
    <s v="ORD-0404"/>
    <x v="12"/>
    <s v="CUST-0137"/>
    <x v="0"/>
    <x v="0"/>
    <x v="8"/>
    <x v="1"/>
    <n v="5"/>
    <n v="44.25"/>
    <x v="3"/>
    <n v="177"/>
    <s v="Bank Transfer"/>
  </r>
  <r>
    <s v="ORD-0597"/>
    <x v="13"/>
    <s v="CUST-0113"/>
    <x v="2"/>
    <x v="2"/>
    <x v="5"/>
    <x v="2"/>
    <n v="3"/>
    <n v="274.88"/>
    <x v="2"/>
    <n v="824.64"/>
    <s v="Mobile Money"/>
  </r>
  <r>
    <s v="ORD-0542"/>
    <x v="13"/>
    <s v="CUST-0115"/>
    <x v="3"/>
    <x v="3"/>
    <x v="7"/>
    <x v="0"/>
    <n v="8"/>
    <n v="340.47"/>
    <x v="2"/>
    <n v="2723.76"/>
    <s v="Card"/>
  </r>
  <r>
    <s v="ORD-0241"/>
    <x v="14"/>
    <s v="CUST-0068"/>
    <x v="2"/>
    <x v="2"/>
    <x v="1"/>
    <x v="1"/>
    <n v="1"/>
    <n v="311.55"/>
    <x v="5"/>
    <n v="218.08"/>
    <s v="Card"/>
  </r>
  <r>
    <s v="ORD-0352"/>
    <x v="14"/>
    <s v="CUST-0076"/>
    <x v="0"/>
    <x v="0"/>
    <x v="4"/>
    <x v="2"/>
    <n v="5"/>
    <n v="16.29"/>
    <x v="2"/>
    <n v="81.45"/>
    <s v="Card"/>
  </r>
  <r>
    <s v="ORD-0493"/>
    <x v="14"/>
    <s v="CUST-0074"/>
    <x v="4"/>
    <x v="0"/>
    <x v="2"/>
    <x v="0"/>
    <n v="8"/>
    <n v="56.28"/>
    <x v="0"/>
    <n v="405.22"/>
    <s v="Card"/>
  </r>
  <r>
    <s v="ORD-0284"/>
    <x v="14"/>
    <s v="CUST-0023"/>
    <x v="1"/>
    <x v="1"/>
    <x v="4"/>
    <x v="2"/>
    <n v="5"/>
    <n v="15.27"/>
    <x v="0"/>
    <n v="68.72"/>
    <s v="Card"/>
  </r>
  <r>
    <s v="ORD-0528"/>
    <x v="15"/>
    <s v="CUST-0166"/>
    <x v="0"/>
    <x v="0"/>
    <x v="10"/>
    <x v="1"/>
    <n v="7"/>
    <n v="840.86"/>
    <x v="0"/>
    <n v="5297.42"/>
    <s v="Mobile Money"/>
  </r>
  <r>
    <s v="ORD-0105"/>
    <x v="15"/>
    <s v="CUST-0113"/>
    <x v="1"/>
    <x v="1"/>
    <x v="7"/>
    <x v="0"/>
    <n v="6"/>
    <n v="382.76"/>
    <x v="1"/>
    <n v="1952.08"/>
    <s v="Card"/>
  </r>
  <r>
    <s v="ORD-0305"/>
    <x v="16"/>
    <s v="CUST-0178"/>
    <x v="0"/>
    <x v="0"/>
    <x v="0"/>
    <x v="0"/>
    <n v="8"/>
    <n v="200.05"/>
    <x v="1"/>
    <n v="1360.34"/>
    <s v="Mobile Money"/>
  </r>
  <r>
    <s v="ORD-0372"/>
    <x v="16"/>
    <s v="CUST-0044"/>
    <x v="4"/>
    <x v="0"/>
    <x v="3"/>
    <x v="1"/>
    <n v="8"/>
    <n v="677.17"/>
    <x v="2"/>
    <n v="5417.36"/>
    <s v="Mobile Money"/>
  </r>
  <r>
    <s v="ORD-0322"/>
    <x v="16"/>
    <s v="CUST-0158"/>
    <x v="5"/>
    <x v="4"/>
    <x v="2"/>
    <x v="0"/>
    <n v="3"/>
    <n v="55.06"/>
    <x v="6"/>
    <n v="123.88"/>
    <s v="Card"/>
  </r>
  <r>
    <s v="ORD-0483"/>
    <x v="16"/>
    <s v="CUST-0109"/>
    <x v="4"/>
    <x v="0"/>
    <x v="11"/>
    <x v="3"/>
    <n v="5"/>
    <n v="69.91"/>
    <x v="2"/>
    <n v="349.55"/>
    <s v="Card"/>
  </r>
  <r>
    <s v="ORD-0456"/>
    <x v="17"/>
    <s v="CUST-0115"/>
    <x v="0"/>
    <x v="0"/>
    <x v="5"/>
    <x v="2"/>
    <n v="1"/>
    <n v="232.86"/>
    <x v="4"/>
    <n v="221.22"/>
    <s v="Card"/>
  </r>
  <r>
    <s v="ORD-0188"/>
    <x v="18"/>
    <s v="CUST-0060"/>
    <x v="2"/>
    <x v="2"/>
    <x v="3"/>
    <x v="1"/>
    <n v="4"/>
    <n v="587.32000000000005"/>
    <x v="3"/>
    <n v="1879.42"/>
    <s v="Card"/>
  </r>
  <r>
    <s v="ORD-0469"/>
    <x v="19"/>
    <s v="CUST-0028"/>
    <x v="0"/>
    <x v="0"/>
    <x v="6"/>
    <x v="1"/>
    <n v="8"/>
    <n v="108.16"/>
    <x v="1"/>
    <n v="735.49"/>
    <s v="Mobile Money"/>
  </r>
  <r>
    <s v="ORD-0063"/>
    <x v="19"/>
    <s v="CUST-0180"/>
    <x v="5"/>
    <x v="4"/>
    <x v="0"/>
    <x v="0"/>
    <n v="3"/>
    <n v="219.69"/>
    <x v="2"/>
    <n v="659.07"/>
    <s v="Card"/>
  </r>
  <r>
    <s v="ORD-0256"/>
    <x v="19"/>
    <s v="CUST-0141"/>
    <x v="4"/>
    <x v="0"/>
    <x v="10"/>
    <x v="1"/>
    <n v="6"/>
    <n v="971.69"/>
    <x v="3"/>
    <n v="4664.1099999999997"/>
    <s v="Card"/>
  </r>
  <r>
    <s v="ORD-0235"/>
    <x v="20"/>
    <s v="CUST-0009"/>
    <x v="2"/>
    <x v="2"/>
    <x v="4"/>
    <x v="2"/>
    <n v="5"/>
    <n v="15.3"/>
    <x v="3"/>
    <n v="61.2"/>
    <s v="Bank Transfer"/>
  </r>
  <r>
    <s v="ORD-0104"/>
    <x v="20"/>
    <s v="CUST-0179"/>
    <x v="2"/>
    <x v="2"/>
    <x v="11"/>
    <x v="3"/>
    <n v="3"/>
    <n v="79.81"/>
    <x v="1"/>
    <n v="203.52"/>
    <s v="Mobile Money"/>
  </r>
  <r>
    <s v="ORD-0357"/>
    <x v="21"/>
    <s v="CUST-0003"/>
    <x v="3"/>
    <x v="3"/>
    <x v="5"/>
    <x v="2"/>
    <n v="6"/>
    <n v="256.8"/>
    <x v="6"/>
    <n v="1155.5999999999999"/>
    <s v="Mobile Money"/>
  </r>
  <r>
    <s v="ORD-0012"/>
    <x v="21"/>
    <s v="CUST-0135"/>
    <x v="3"/>
    <x v="3"/>
    <x v="6"/>
    <x v="1"/>
    <n v="1"/>
    <n v="122.54"/>
    <x v="6"/>
    <n v="91.9"/>
    <s v="Mobile Money"/>
  </r>
  <r>
    <s v="ORD-0181"/>
    <x v="22"/>
    <s v="CUST-0139"/>
    <x v="5"/>
    <x v="4"/>
    <x v="2"/>
    <x v="0"/>
    <n v="4"/>
    <n v="56.62"/>
    <x v="0"/>
    <n v="203.83"/>
    <s v="Card"/>
  </r>
  <r>
    <s v="ORD-0521"/>
    <x v="22"/>
    <s v="CUST-0127"/>
    <x v="5"/>
    <x v="4"/>
    <x v="7"/>
    <x v="0"/>
    <n v="5"/>
    <n v="343.16"/>
    <x v="0"/>
    <n v="1544.22"/>
    <s v="Card"/>
  </r>
  <r>
    <s v="ORD-0579"/>
    <x v="23"/>
    <s v="CUST-0052"/>
    <x v="1"/>
    <x v="1"/>
    <x v="1"/>
    <x v="1"/>
    <n v="7"/>
    <n v="316.92"/>
    <x v="4"/>
    <n v="2107.52"/>
    <s v="Card"/>
  </r>
  <r>
    <s v="ORD-0302"/>
    <x v="23"/>
    <s v="CUST-0084"/>
    <x v="1"/>
    <x v="1"/>
    <x v="11"/>
    <x v="3"/>
    <n v="1"/>
    <n v="69.88"/>
    <x v="1"/>
    <n v="59.4"/>
    <s v="Card"/>
  </r>
  <r>
    <s v="ORD-0549"/>
    <x v="24"/>
    <s v="CUST-0099"/>
    <x v="3"/>
    <x v="3"/>
    <x v="11"/>
    <x v="3"/>
    <n v="8"/>
    <n v="75.88"/>
    <x v="4"/>
    <n v="576.69000000000005"/>
    <s v="Bank Transfer"/>
  </r>
  <r>
    <s v="ORD-0340"/>
    <x v="25"/>
    <s v="CUST-0011"/>
    <x v="5"/>
    <x v="4"/>
    <x v="1"/>
    <x v="1"/>
    <n v="8"/>
    <n v="284.37"/>
    <x v="3"/>
    <n v="1819.97"/>
    <s v="Card"/>
  </r>
  <r>
    <s v="ORD-0137"/>
    <x v="26"/>
    <s v="CUST-0029"/>
    <x v="5"/>
    <x v="4"/>
    <x v="1"/>
    <x v="1"/>
    <n v="2"/>
    <n v="275.13"/>
    <x v="4"/>
    <n v="522.75"/>
    <s v="Card"/>
  </r>
  <r>
    <s v="ORD-0333"/>
    <x v="27"/>
    <s v="CUST-0142"/>
    <x v="5"/>
    <x v="4"/>
    <x v="4"/>
    <x v="2"/>
    <n v="3"/>
    <n v="15.18"/>
    <x v="2"/>
    <n v="45.54"/>
    <s v="Mobile Money"/>
  </r>
  <r>
    <s v="ORD-0108"/>
    <x v="27"/>
    <s v="CUST-0163"/>
    <x v="4"/>
    <x v="0"/>
    <x v="3"/>
    <x v="1"/>
    <n v="4"/>
    <n v="618.1"/>
    <x v="1"/>
    <n v="2101.54"/>
    <s v="Bank Transfer"/>
  </r>
  <r>
    <s v="ORD-0034"/>
    <x v="27"/>
    <s v="CUST-0109"/>
    <x v="4"/>
    <x v="0"/>
    <x v="2"/>
    <x v="0"/>
    <n v="3"/>
    <n v="53.54"/>
    <x v="4"/>
    <n v="152.59"/>
    <s v="Card"/>
  </r>
  <r>
    <s v="ORD-0487"/>
    <x v="28"/>
    <s v="CUST-0150"/>
    <x v="4"/>
    <x v="0"/>
    <x v="10"/>
    <x v="1"/>
    <n v="5"/>
    <n v="972.64"/>
    <x v="2"/>
    <n v="4863.2"/>
    <s v="Bank Transfer"/>
  </r>
  <r>
    <s v="ORD-0280"/>
    <x v="28"/>
    <s v="CUST-0012"/>
    <x v="2"/>
    <x v="2"/>
    <x v="10"/>
    <x v="1"/>
    <n v="8"/>
    <n v="988.63"/>
    <x v="1"/>
    <n v="6722.68"/>
    <s v="Card"/>
  </r>
  <r>
    <s v="ORD-0428"/>
    <x v="28"/>
    <s v="CUST-0081"/>
    <x v="0"/>
    <x v="0"/>
    <x v="9"/>
    <x v="1"/>
    <n v="6"/>
    <n v="83.49"/>
    <x v="4"/>
    <n v="475.89"/>
    <s v="Mobile Money"/>
  </r>
  <r>
    <s v="ORD-0064"/>
    <x v="29"/>
    <s v="CUST-0167"/>
    <x v="3"/>
    <x v="3"/>
    <x v="0"/>
    <x v="0"/>
    <n v="5"/>
    <n v="232.83"/>
    <x v="3"/>
    <n v="931.32"/>
    <s v="Card"/>
  </r>
  <r>
    <s v="ORD-0142"/>
    <x v="29"/>
    <s v="CUST-0100"/>
    <x v="0"/>
    <x v="0"/>
    <x v="3"/>
    <x v="1"/>
    <n v="7"/>
    <n v="673.81"/>
    <x v="3"/>
    <n v="3773.34"/>
    <s v="Mobile Money"/>
  </r>
  <r>
    <s v="ORD-0114"/>
    <x v="29"/>
    <s v="CUST-0015"/>
    <x v="5"/>
    <x v="4"/>
    <x v="6"/>
    <x v="1"/>
    <n v="7"/>
    <n v="110.81"/>
    <x v="6"/>
    <n v="581.75"/>
    <s v="Mobile Money"/>
  </r>
  <r>
    <s v="ORD-0413"/>
    <x v="30"/>
    <s v="CUST-0117"/>
    <x v="1"/>
    <x v="1"/>
    <x v="5"/>
    <x v="2"/>
    <n v="7"/>
    <n v="242.4"/>
    <x v="4"/>
    <n v="1611.96"/>
    <s v="Card"/>
  </r>
  <r>
    <s v="ORD-0316"/>
    <x v="31"/>
    <s v="CUST-0097"/>
    <x v="1"/>
    <x v="1"/>
    <x v="10"/>
    <x v="1"/>
    <n v="7"/>
    <n v="909.45"/>
    <x v="2"/>
    <n v="6366.15"/>
    <s v="Card"/>
  </r>
  <r>
    <s v="ORD-0489"/>
    <x v="32"/>
    <s v="CUST-0145"/>
    <x v="3"/>
    <x v="3"/>
    <x v="7"/>
    <x v="0"/>
    <n v="7"/>
    <n v="327.55"/>
    <x v="1"/>
    <n v="1948.92"/>
    <s v="Card"/>
  </r>
  <r>
    <s v="ORD-0175"/>
    <x v="32"/>
    <s v="CUST-0058"/>
    <x v="5"/>
    <x v="4"/>
    <x v="0"/>
    <x v="0"/>
    <n v="7"/>
    <n v="228.76"/>
    <x v="2"/>
    <n v="1601.32"/>
    <s v="Bank Transfer"/>
  </r>
  <r>
    <s v="ORD-0174"/>
    <x v="32"/>
    <s v="CUST-0089"/>
    <x v="5"/>
    <x v="4"/>
    <x v="2"/>
    <x v="0"/>
    <n v="1"/>
    <n v="51.23"/>
    <x v="2"/>
    <n v="51.23"/>
    <s v="Card"/>
  </r>
  <r>
    <s v="ORD-0036"/>
    <x v="33"/>
    <s v="CUST-0117"/>
    <x v="4"/>
    <x v="0"/>
    <x v="6"/>
    <x v="1"/>
    <n v="8"/>
    <n v="123.49"/>
    <x v="2"/>
    <n v="987.92"/>
    <s v="Cash"/>
  </r>
  <r>
    <s v="ORD-0500"/>
    <x v="34"/>
    <s v="CUST-0136"/>
    <x v="5"/>
    <x v="4"/>
    <x v="6"/>
    <x v="1"/>
    <n v="3"/>
    <n v="109.82"/>
    <x v="0"/>
    <n v="296.51"/>
    <s v="Bank Transfer"/>
  </r>
  <r>
    <s v="ORD-0362"/>
    <x v="34"/>
    <s v="CUST-0160"/>
    <x v="1"/>
    <x v="1"/>
    <x v="2"/>
    <x v="0"/>
    <n v="4"/>
    <n v="59.58"/>
    <x v="0"/>
    <n v="214.49"/>
    <s v="Card"/>
  </r>
  <r>
    <s v="ORD-0243"/>
    <x v="35"/>
    <s v="CUST-0060"/>
    <x v="0"/>
    <x v="0"/>
    <x v="9"/>
    <x v="1"/>
    <n v="1"/>
    <n v="75.63"/>
    <x v="4"/>
    <n v="71.849999999999994"/>
    <s v="Card"/>
  </r>
  <r>
    <s v="ORD-0236"/>
    <x v="35"/>
    <s v="CUST-0154"/>
    <x v="3"/>
    <x v="3"/>
    <x v="9"/>
    <x v="1"/>
    <n v="2"/>
    <n v="77.77"/>
    <x v="6"/>
    <n v="116.66"/>
    <s v="Bank Transfer"/>
  </r>
  <r>
    <s v="ORD-0300"/>
    <x v="35"/>
    <s v="CUST-0149"/>
    <x v="5"/>
    <x v="4"/>
    <x v="5"/>
    <x v="2"/>
    <n v="3"/>
    <n v="246.48"/>
    <x v="3"/>
    <n v="591.54999999999995"/>
    <s v="Bank Transfer"/>
  </r>
  <r>
    <s v="ORD-0504"/>
    <x v="35"/>
    <s v="CUST-0137"/>
    <x v="0"/>
    <x v="0"/>
    <x v="4"/>
    <x v="2"/>
    <n v="8"/>
    <n v="13.53"/>
    <x v="4"/>
    <n v="102.83"/>
    <s v="Mobile Money"/>
  </r>
  <r>
    <s v="ORD-0003"/>
    <x v="35"/>
    <s v="CUST-0059"/>
    <x v="0"/>
    <x v="0"/>
    <x v="7"/>
    <x v="0"/>
    <n v="1"/>
    <n v="336.3"/>
    <x v="0"/>
    <n v="302.67"/>
    <s v="Mobile Money"/>
  </r>
  <r>
    <s v="ORD-0244"/>
    <x v="36"/>
    <s v="CUST-0067"/>
    <x v="0"/>
    <x v="0"/>
    <x v="7"/>
    <x v="0"/>
    <n v="4"/>
    <n v="331.36"/>
    <x v="0"/>
    <n v="1192.9000000000001"/>
    <s v="Bank Transfer"/>
  </r>
  <r>
    <s v="ORD-0298"/>
    <x v="36"/>
    <s v="CUST-0003"/>
    <x v="4"/>
    <x v="0"/>
    <x v="8"/>
    <x v="1"/>
    <n v="2"/>
    <n v="45.79"/>
    <x v="2"/>
    <n v="91.58"/>
    <s v="Card"/>
  </r>
  <r>
    <s v="ORD-0273"/>
    <x v="37"/>
    <s v="CUST-0005"/>
    <x v="2"/>
    <x v="2"/>
    <x v="0"/>
    <x v="0"/>
    <n v="3"/>
    <n v="240.71"/>
    <x v="6"/>
    <n v="541.6"/>
    <s v="Bank Transfer"/>
  </r>
  <r>
    <s v="ORD-0004"/>
    <x v="37"/>
    <s v="CUST-0108"/>
    <x v="4"/>
    <x v="0"/>
    <x v="2"/>
    <x v="0"/>
    <n v="4"/>
    <n v="53.53"/>
    <x v="0"/>
    <n v="192.71"/>
    <s v="Bank Transfer"/>
  </r>
  <r>
    <s v="ORD-0007"/>
    <x v="38"/>
    <s v="CUST-0106"/>
    <x v="0"/>
    <x v="0"/>
    <x v="10"/>
    <x v="1"/>
    <n v="4"/>
    <n v="842.8"/>
    <x v="1"/>
    <n v="2865.52"/>
    <s v="Mobile Money"/>
  </r>
  <r>
    <s v="ORD-0073"/>
    <x v="38"/>
    <s v="CUST-0118"/>
    <x v="5"/>
    <x v="4"/>
    <x v="3"/>
    <x v="1"/>
    <n v="7"/>
    <n v="666.82"/>
    <x v="1"/>
    <n v="3967.58"/>
    <s v="Mobile Money"/>
  </r>
  <r>
    <s v="ORD-0399"/>
    <x v="39"/>
    <s v="CUST-0179"/>
    <x v="3"/>
    <x v="3"/>
    <x v="3"/>
    <x v="1"/>
    <n v="7"/>
    <n v="707.59"/>
    <x v="0"/>
    <n v="4457.82"/>
    <s v="Card"/>
  </r>
  <r>
    <s v="ORD-0459"/>
    <x v="40"/>
    <s v="CUST-0033"/>
    <x v="3"/>
    <x v="3"/>
    <x v="10"/>
    <x v="1"/>
    <n v="5"/>
    <n v="941.89"/>
    <x v="0"/>
    <n v="4238.5"/>
    <s v="Card"/>
  </r>
  <r>
    <s v="ORD-0503"/>
    <x v="41"/>
    <s v="CUST-0116"/>
    <x v="4"/>
    <x v="0"/>
    <x v="11"/>
    <x v="3"/>
    <n v="6"/>
    <n v="73.09"/>
    <x v="2"/>
    <n v="438.54"/>
    <s v="Card"/>
  </r>
  <r>
    <s v="ORD-0421"/>
    <x v="42"/>
    <s v="CUST-0122"/>
    <x v="2"/>
    <x v="2"/>
    <x v="11"/>
    <x v="3"/>
    <n v="1"/>
    <n v="81.87"/>
    <x v="0"/>
    <n v="73.680000000000007"/>
    <s v="Card"/>
  </r>
  <r>
    <s v="ORD-0388"/>
    <x v="42"/>
    <s v="CUST-0083"/>
    <x v="4"/>
    <x v="0"/>
    <x v="6"/>
    <x v="1"/>
    <n v="6"/>
    <n v="127.4"/>
    <x v="6"/>
    <n v="573.29999999999995"/>
    <s v="Card"/>
  </r>
  <r>
    <s v="ORD-0090"/>
    <x v="42"/>
    <s v="CUST-0122"/>
    <x v="0"/>
    <x v="0"/>
    <x v="9"/>
    <x v="1"/>
    <n v="1"/>
    <n v="86.35"/>
    <x v="0"/>
    <n v="77.72"/>
    <s v="Mobile Money"/>
  </r>
  <r>
    <s v="ORD-0093"/>
    <x v="42"/>
    <s v="CUST-0081"/>
    <x v="1"/>
    <x v="1"/>
    <x v="8"/>
    <x v="1"/>
    <n v="6"/>
    <n v="41.24"/>
    <x v="3"/>
    <n v="197.95"/>
    <s v="Cash"/>
  </r>
  <r>
    <s v="ORD-0167"/>
    <x v="43"/>
    <s v="CUST-0145"/>
    <x v="5"/>
    <x v="4"/>
    <x v="5"/>
    <x v="2"/>
    <n v="1"/>
    <n v="233.69"/>
    <x v="0"/>
    <n v="210.32"/>
    <s v="Bank Transfer"/>
  </r>
  <r>
    <s v="ORD-0264"/>
    <x v="43"/>
    <s v="CUST-0149"/>
    <x v="0"/>
    <x v="0"/>
    <x v="1"/>
    <x v="1"/>
    <n v="5"/>
    <n v="293.22000000000003"/>
    <x v="6"/>
    <n v="1099.58"/>
    <s v="Card"/>
  </r>
  <r>
    <s v="ORD-0336"/>
    <x v="44"/>
    <s v="CUST-0073"/>
    <x v="5"/>
    <x v="4"/>
    <x v="5"/>
    <x v="2"/>
    <n v="3"/>
    <n v="265.25"/>
    <x v="2"/>
    <n v="795.75"/>
    <s v="Cash"/>
  </r>
  <r>
    <s v="ORD-0534"/>
    <x v="45"/>
    <s v="CUST-0042"/>
    <x v="1"/>
    <x v="1"/>
    <x v="0"/>
    <x v="0"/>
    <n v="4"/>
    <n v="200.95"/>
    <x v="5"/>
    <n v="562.66"/>
    <s v="Bank Transfer"/>
  </r>
  <r>
    <s v="ORD-0161"/>
    <x v="46"/>
    <s v="CUST-0177"/>
    <x v="5"/>
    <x v="4"/>
    <x v="8"/>
    <x v="1"/>
    <n v="2"/>
    <n v="41.33"/>
    <x v="4"/>
    <n v="78.53"/>
    <s v="Mobile Money"/>
  </r>
  <r>
    <s v="ORD-0541"/>
    <x v="46"/>
    <s v="CUST-0057"/>
    <x v="4"/>
    <x v="0"/>
    <x v="9"/>
    <x v="1"/>
    <n v="3"/>
    <n v="72.05"/>
    <x v="2"/>
    <n v="216.15"/>
    <s v="Bank Transfer"/>
  </r>
  <r>
    <s v="ORD-0224"/>
    <x v="46"/>
    <s v="CUST-0076"/>
    <x v="5"/>
    <x v="4"/>
    <x v="10"/>
    <x v="1"/>
    <n v="8"/>
    <n v="863.44"/>
    <x v="1"/>
    <n v="5871.39"/>
    <s v="Card"/>
  </r>
  <r>
    <s v="ORD-0342"/>
    <x v="46"/>
    <s v="CUST-0008"/>
    <x v="1"/>
    <x v="1"/>
    <x v="8"/>
    <x v="1"/>
    <n v="5"/>
    <n v="40.79"/>
    <x v="3"/>
    <n v="163.16"/>
    <s v="Card"/>
  </r>
  <r>
    <s v="ORD-0287"/>
    <x v="47"/>
    <s v="CUST-0169"/>
    <x v="3"/>
    <x v="3"/>
    <x v="8"/>
    <x v="1"/>
    <n v="2"/>
    <n v="47.18"/>
    <x v="3"/>
    <n v="75.489999999999995"/>
    <s v="Mobile Money"/>
  </r>
  <r>
    <s v="ORD-0098"/>
    <x v="48"/>
    <s v="CUST-0109"/>
    <x v="4"/>
    <x v="0"/>
    <x v="2"/>
    <x v="0"/>
    <n v="1"/>
    <n v="59.3"/>
    <x v="0"/>
    <n v="53.37"/>
    <s v="Mobile Money"/>
  </r>
  <r>
    <s v="ORD-0168"/>
    <x v="49"/>
    <s v="CUST-0142"/>
    <x v="0"/>
    <x v="0"/>
    <x v="6"/>
    <x v="1"/>
    <n v="6"/>
    <n v="122.95"/>
    <x v="1"/>
    <n v="627.04999999999995"/>
    <s v="Card"/>
  </r>
  <r>
    <s v="ORD-0068"/>
    <x v="50"/>
    <s v="CUST-0159"/>
    <x v="4"/>
    <x v="0"/>
    <x v="0"/>
    <x v="0"/>
    <n v="1"/>
    <n v="239.68"/>
    <x v="5"/>
    <n v="167.78"/>
    <s v="Bank Transfer"/>
  </r>
  <r>
    <s v="ORD-0289"/>
    <x v="50"/>
    <s v="CUST-0056"/>
    <x v="1"/>
    <x v="1"/>
    <x v="7"/>
    <x v="0"/>
    <n v="1"/>
    <n v="362.49"/>
    <x v="1"/>
    <n v="308.12"/>
    <s v="Bank Transfer"/>
  </r>
  <r>
    <s v="ORD-0558"/>
    <x v="51"/>
    <s v="CUST-0155"/>
    <x v="0"/>
    <x v="0"/>
    <x v="3"/>
    <x v="1"/>
    <n v="8"/>
    <n v="615.87"/>
    <x v="2"/>
    <n v="4926.96"/>
    <s v="Bank Transfer"/>
  </r>
  <r>
    <s v="ORD-0092"/>
    <x v="52"/>
    <s v="CUST-0026"/>
    <x v="2"/>
    <x v="2"/>
    <x v="2"/>
    <x v="0"/>
    <n v="2"/>
    <n v="59.34"/>
    <x v="2"/>
    <n v="118.68"/>
    <s v="Card"/>
  </r>
  <r>
    <s v="ORD-0470"/>
    <x v="52"/>
    <s v="CUST-0046"/>
    <x v="3"/>
    <x v="3"/>
    <x v="0"/>
    <x v="0"/>
    <n v="7"/>
    <n v="209.14"/>
    <x v="0"/>
    <n v="1317.58"/>
    <s v="Cash"/>
  </r>
  <r>
    <s v="ORD-0472"/>
    <x v="52"/>
    <s v="CUST-0155"/>
    <x v="5"/>
    <x v="4"/>
    <x v="7"/>
    <x v="0"/>
    <n v="7"/>
    <n v="371.5"/>
    <x v="3"/>
    <n v="2080.4"/>
    <s v="Bank Transfer"/>
  </r>
  <r>
    <s v="ORD-0429"/>
    <x v="53"/>
    <s v="CUST-0036"/>
    <x v="0"/>
    <x v="0"/>
    <x v="9"/>
    <x v="1"/>
    <n v="2"/>
    <n v="84.35"/>
    <x v="0"/>
    <n v="151.83000000000001"/>
    <s v="Card"/>
  </r>
  <r>
    <s v="ORD-0178"/>
    <x v="53"/>
    <s v="CUST-0063"/>
    <x v="0"/>
    <x v="0"/>
    <x v="3"/>
    <x v="1"/>
    <n v="4"/>
    <n v="586.17999999999995"/>
    <x v="3"/>
    <n v="1875.78"/>
    <s v="Card"/>
  </r>
  <r>
    <s v="ORD-0546"/>
    <x v="54"/>
    <s v="CUST-0090"/>
    <x v="2"/>
    <x v="2"/>
    <x v="9"/>
    <x v="1"/>
    <n v="5"/>
    <n v="86.24"/>
    <x v="3"/>
    <n v="344.96"/>
    <s v="Mobile Money"/>
  </r>
  <r>
    <s v="ORD-0297"/>
    <x v="55"/>
    <s v="CUST-0124"/>
    <x v="2"/>
    <x v="2"/>
    <x v="0"/>
    <x v="0"/>
    <n v="4"/>
    <n v="232.57"/>
    <x v="2"/>
    <n v="930.28"/>
    <s v="Card"/>
  </r>
  <r>
    <s v="ORD-0111"/>
    <x v="55"/>
    <s v="CUST-0154"/>
    <x v="1"/>
    <x v="1"/>
    <x v="2"/>
    <x v="0"/>
    <n v="6"/>
    <n v="58.58"/>
    <x v="2"/>
    <n v="351.48"/>
    <s v="Card"/>
  </r>
  <r>
    <s v="ORD-0453"/>
    <x v="55"/>
    <s v="CUST-0058"/>
    <x v="2"/>
    <x v="2"/>
    <x v="0"/>
    <x v="0"/>
    <n v="2"/>
    <n v="198.71"/>
    <x v="3"/>
    <n v="317.94"/>
    <s v="Card"/>
  </r>
  <r>
    <s v="ORD-0434"/>
    <x v="56"/>
    <s v="CUST-0068"/>
    <x v="3"/>
    <x v="3"/>
    <x v="10"/>
    <x v="1"/>
    <n v="2"/>
    <n v="988.64"/>
    <x v="0"/>
    <n v="1779.55"/>
    <s v="Mobile Money"/>
  </r>
  <r>
    <s v="ORD-0176"/>
    <x v="56"/>
    <s v="CUST-0100"/>
    <x v="2"/>
    <x v="2"/>
    <x v="1"/>
    <x v="1"/>
    <n v="2"/>
    <n v="277.73"/>
    <x v="4"/>
    <n v="527.69000000000005"/>
    <s v="Bank Transfer"/>
  </r>
  <r>
    <s v="ORD-0457"/>
    <x v="57"/>
    <s v="CUST-0179"/>
    <x v="2"/>
    <x v="2"/>
    <x v="9"/>
    <x v="1"/>
    <n v="7"/>
    <n v="77.010000000000005"/>
    <x v="6"/>
    <n v="404.3"/>
    <s v="Bank Transfer"/>
  </r>
  <r>
    <s v="ORD-0260"/>
    <x v="57"/>
    <s v="CUST-0137"/>
    <x v="0"/>
    <x v="0"/>
    <x v="4"/>
    <x v="2"/>
    <n v="2"/>
    <n v="13.67"/>
    <x v="1"/>
    <n v="23.24"/>
    <s v="Cash"/>
  </r>
  <r>
    <s v="ORD-0335"/>
    <x v="57"/>
    <s v="CUST-0110"/>
    <x v="0"/>
    <x v="0"/>
    <x v="9"/>
    <x v="1"/>
    <n v="6"/>
    <n v="86.69"/>
    <x v="4"/>
    <n v="494.13"/>
    <s v="Bank Transfer"/>
  </r>
  <r>
    <s v="ORD-0208"/>
    <x v="58"/>
    <s v="CUST-0130"/>
    <x v="2"/>
    <x v="2"/>
    <x v="11"/>
    <x v="3"/>
    <n v="4"/>
    <n v="73.58"/>
    <x v="0"/>
    <n v="264.89"/>
    <s v="Mobile Money"/>
  </r>
  <r>
    <s v="ORD-0355"/>
    <x v="58"/>
    <s v="CUST-0113"/>
    <x v="0"/>
    <x v="0"/>
    <x v="10"/>
    <x v="1"/>
    <n v="7"/>
    <n v="929.28"/>
    <x v="2"/>
    <n v="6504.96"/>
    <s v="Mobile Money"/>
  </r>
  <r>
    <s v="ORD-0334"/>
    <x v="58"/>
    <s v="CUST-0113"/>
    <x v="5"/>
    <x v="4"/>
    <x v="9"/>
    <x v="1"/>
    <n v="6"/>
    <n v="78.09"/>
    <x v="5"/>
    <n v="327.98"/>
    <s v="Card"/>
  </r>
  <r>
    <s v="ORD-0438"/>
    <x v="58"/>
    <s v="CUST-0143"/>
    <x v="5"/>
    <x v="4"/>
    <x v="5"/>
    <x v="2"/>
    <n v="8"/>
    <n v="245.05"/>
    <x v="1"/>
    <n v="1666.34"/>
    <s v="Bank Transfer"/>
  </r>
  <r>
    <s v="ORD-0318"/>
    <x v="59"/>
    <s v="CUST-0072"/>
    <x v="0"/>
    <x v="0"/>
    <x v="2"/>
    <x v="0"/>
    <n v="2"/>
    <n v="50.53"/>
    <x v="4"/>
    <n v="96.01"/>
    <s v="Bank Transfer"/>
  </r>
  <r>
    <s v="ORD-0498"/>
    <x v="60"/>
    <s v="CUST-0080"/>
    <x v="5"/>
    <x v="4"/>
    <x v="11"/>
    <x v="3"/>
    <n v="4"/>
    <n v="77.959999999999994"/>
    <x v="1"/>
    <n v="265.06"/>
    <s v="Mobile Money"/>
  </r>
  <r>
    <s v="ORD-0017"/>
    <x v="60"/>
    <s v="CUST-0028"/>
    <x v="3"/>
    <x v="3"/>
    <x v="4"/>
    <x v="2"/>
    <n v="5"/>
    <n v="14.19"/>
    <x v="2"/>
    <n v="70.95"/>
    <s v="Card"/>
  </r>
  <r>
    <s v="ORD-0193"/>
    <x v="60"/>
    <s v="CUST-0092"/>
    <x v="0"/>
    <x v="0"/>
    <x v="10"/>
    <x v="1"/>
    <n v="4"/>
    <n v="987.6"/>
    <x v="2"/>
    <n v="3950.4"/>
    <s v="Mobile Money"/>
  </r>
  <r>
    <s v="ORD-0570"/>
    <x v="61"/>
    <s v="CUST-0176"/>
    <x v="4"/>
    <x v="0"/>
    <x v="3"/>
    <x v="1"/>
    <n v="7"/>
    <n v="700"/>
    <x v="3"/>
    <n v="3920"/>
    <s v="Cash"/>
  </r>
  <r>
    <s v="ORD-0283"/>
    <x v="62"/>
    <s v="CUST-0044"/>
    <x v="0"/>
    <x v="0"/>
    <x v="7"/>
    <x v="0"/>
    <n v="7"/>
    <n v="321.43"/>
    <x v="6"/>
    <n v="1687.51"/>
    <s v="Mobile Money"/>
  </r>
  <r>
    <s v="ORD-0125"/>
    <x v="63"/>
    <s v="CUST-0075"/>
    <x v="0"/>
    <x v="0"/>
    <x v="8"/>
    <x v="1"/>
    <n v="5"/>
    <n v="45.93"/>
    <x v="2"/>
    <n v="229.65"/>
    <s v="Card"/>
  </r>
  <r>
    <s v="ORD-0057"/>
    <x v="63"/>
    <s v="CUST-0162"/>
    <x v="0"/>
    <x v="0"/>
    <x v="6"/>
    <x v="1"/>
    <n v="2"/>
    <n v="124.39"/>
    <x v="2"/>
    <n v="248.78"/>
    <s v="Card"/>
  </r>
  <r>
    <s v="ORD-0417"/>
    <x v="63"/>
    <s v="CUST-0106"/>
    <x v="3"/>
    <x v="3"/>
    <x v="4"/>
    <x v="2"/>
    <n v="7"/>
    <n v="15.18"/>
    <x v="1"/>
    <n v="90.32"/>
    <s v="Card"/>
  </r>
  <r>
    <s v="ORD-0232"/>
    <x v="63"/>
    <s v="CUST-0089"/>
    <x v="3"/>
    <x v="3"/>
    <x v="5"/>
    <x v="2"/>
    <n v="4"/>
    <n v="260.88"/>
    <x v="0"/>
    <n v="939.17"/>
    <s v="Cash"/>
  </r>
  <r>
    <s v="ORD-0184"/>
    <x v="64"/>
    <s v="CUST-0021"/>
    <x v="1"/>
    <x v="1"/>
    <x v="0"/>
    <x v="0"/>
    <n v="6"/>
    <n v="203.78"/>
    <x v="3"/>
    <n v="978.14"/>
    <s v="Cash"/>
  </r>
  <r>
    <s v="ORD-0480"/>
    <x v="64"/>
    <s v="CUST-0018"/>
    <x v="3"/>
    <x v="3"/>
    <x v="5"/>
    <x v="2"/>
    <n v="8"/>
    <n v="247.13"/>
    <x v="1"/>
    <n v="1680.48"/>
    <s v="Cash"/>
  </r>
  <r>
    <s v="ORD-0202"/>
    <x v="65"/>
    <s v="CUST-0097"/>
    <x v="4"/>
    <x v="0"/>
    <x v="9"/>
    <x v="1"/>
    <n v="1"/>
    <n v="79.89"/>
    <x v="2"/>
    <n v="79.89"/>
    <s v="Card"/>
  </r>
  <r>
    <s v="ORD-0494"/>
    <x v="65"/>
    <s v="CUST-0176"/>
    <x v="4"/>
    <x v="0"/>
    <x v="5"/>
    <x v="2"/>
    <n v="1"/>
    <n v="235.18"/>
    <x v="4"/>
    <n v="223.42"/>
    <s v="Mobile Money"/>
  </r>
  <r>
    <s v="ORD-0347"/>
    <x v="65"/>
    <s v="CUST-0109"/>
    <x v="0"/>
    <x v="0"/>
    <x v="11"/>
    <x v="3"/>
    <n v="2"/>
    <n v="81.11"/>
    <x v="4"/>
    <n v="154.11000000000001"/>
    <s v="Mobile Money"/>
  </r>
  <r>
    <s v="ORD-0555"/>
    <x v="66"/>
    <s v="CUST-0149"/>
    <x v="3"/>
    <x v="3"/>
    <x v="3"/>
    <x v="1"/>
    <n v="5"/>
    <n v="677.06"/>
    <x v="0"/>
    <n v="3046.77"/>
    <s v="Mobile Money"/>
  </r>
  <r>
    <s v="ORD-0037"/>
    <x v="67"/>
    <s v="CUST-0099"/>
    <x v="5"/>
    <x v="4"/>
    <x v="2"/>
    <x v="0"/>
    <n v="1"/>
    <n v="59.98"/>
    <x v="4"/>
    <n v="56.98"/>
    <s v="Mobile Money"/>
  </r>
  <r>
    <s v="ORD-0056"/>
    <x v="67"/>
    <s v="CUST-0046"/>
    <x v="4"/>
    <x v="0"/>
    <x v="10"/>
    <x v="1"/>
    <n v="8"/>
    <n v="972.96"/>
    <x v="2"/>
    <n v="7783.68"/>
    <s v="Card"/>
  </r>
  <r>
    <s v="ORD-0053"/>
    <x v="68"/>
    <s v="CUST-0001"/>
    <x v="5"/>
    <x v="4"/>
    <x v="0"/>
    <x v="0"/>
    <n v="2"/>
    <n v="209.48"/>
    <x v="2"/>
    <n v="418.96"/>
    <s v="Cash"/>
  </r>
  <r>
    <s v="ORD-0594"/>
    <x v="68"/>
    <s v="CUST-0006"/>
    <x v="4"/>
    <x v="0"/>
    <x v="1"/>
    <x v="1"/>
    <n v="6"/>
    <n v="285.07"/>
    <x v="3"/>
    <n v="1368.34"/>
    <s v="Mobile Money"/>
  </r>
  <r>
    <s v="ORD-0115"/>
    <x v="69"/>
    <s v="CUST-0155"/>
    <x v="5"/>
    <x v="4"/>
    <x v="10"/>
    <x v="1"/>
    <n v="4"/>
    <n v="943.46"/>
    <x v="0"/>
    <n v="3396.46"/>
    <s v="Cash"/>
  </r>
  <r>
    <s v="ORD-0079"/>
    <x v="70"/>
    <s v="CUST-0105"/>
    <x v="4"/>
    <x v="0"/>
    <x v="5"/>
    <x v="2"/>
    <n v="7"/>
    <n v="244.65"/>
    <x v="3"/>
    <n v="1370.04"/>
    <s v="Mobile Money"/>
  </r>
  <r>
    <s v="ORD-0600"/>
    <x v="71"/>
    <s v="CUST-0011"/>
    <x v="0"/>
    <x v="0"/>
    <x v="8"/>
    <x v="1"/>
    <n v="0"/>
    <n v="46.46"/>
    <x v="1"/>
    <n v="39.49"/>
    <s v="Card"/>
  </r>
  <r>
    <s v="ORD-0059"/>
    <x v="71"/>
    <s v="CUST-0036"/>
    <x v="5"/>
    <x v="4"/>
    <x v="0"/>
    <x v="0"/>
    <n v="2"/>
    <n v="216.63"/>
    <x v="0"/>
    <n v="389.93"/>
    <s v="Mobile Money"/>
  </r>
  <r>
    <s v="ORD-0022"/>
    <x v="72"/>
    <s v="CUST-0113"/>
    <x v="0"/>
    <x v="0"/>
    <x v="5"/>
    <x v="2"/>
    <n v="4"/>
    <n v="237.34"/>
    <x v="1"/>
    <n v="806.96"/>
    <s v="Bank Transfer"/>
  </r>
  <r>
    <s v="ORD-0055"/>
    <x v="72"/>
    <s v="CUST-0012"/>
    <x v="3"/>
    <x v="3"/>
    <x v="3"/>
    <x v="1"/>
    <n v="3"/>
    <n v="668.63"/>
    <x v="0"/>
    <n v="1805.3"/>
    <s v="Mobile Money"/>
  </r>
  <r>
    <s v="ORD-0245"/>
    <x v="73"/>
    <s v="CUST-0035"/>
    <x v="2"/>
    <x v="2"/>
    <x v="5"/>
    <x v="2"/>
    <n v="3"/>
    <n v="234.52"/>
    <x v="2"/>
    <n v="703.56"/>
    <s v="Card"/>
  </r>
  <r>
    <s v="ORD-0591"/>
    <x v="74"/>
    <s v="CUST-0125"/>
    <x v="5"/>
    <x v="4"/>
    <x v="8"/>
    <x v="1"/>
    <n v="7"/>
    <n v="42.48"/>
    <x v="3"/>
    <n v="237.89"/>
    <s v="Cash"/>
  </r>
  <r>
    <s v="ORD-0045"/>
    <x v="74"/>
    <s v="CUST-0006"/>
    <x v="2"/>
    <x v="2"/>
    <x v="7"/>
    <x v="0"/>
    <n v="1"/>
    <n v="372.95"/>
    <x v="4"/>
    <n v="354.3"/>
    <s v="Cash"/>
  </r>
  <r>
    <s v="ORD-0353"/>
    <x v="74"/>
    <s v="CUST-0008"/>
    <x v="5"/>
    <x v="4"/>
    <x v="7"/>
    <x v="0"/>
    <n v="5"/>
    <n v="357.55"/>
    <x v="4"/>
    <n v="1698.36"/>
    <s v="Bank Transfer"/>
  </r>
  <r>
    <s v="ORD-0112"/>
    <x v="75"/>
    <s v="CUST-0014"/>
    <x v="5"/>
    <x v="4"/>
    <x v="8"/>
    <x v="1"/>
    <n v="5"/>
    <n v="45.79"/>
    <x v="1"/>
    <n v="194.61"/>
    <s v="Mobile Money"/>
  </r>
  <r>
    <s v="ORD-0449"/>
    <x v="75"/>
    <s v="CUST-0015"/>
    <x v="1"/>
    <x v="1"/>
    <x v="8"/>
    <x v="1"/>
    <n v="3"/>
    <n v="43.82"/>
    <x v="6"/>
    <n v="98.6"/>
    <s v="Bank Transfer"/>
  </r>
  <r>
    <s v="ORD-0516"/>
    <x v="75"/>
    <s v="CUST-0077"/>
    <x v="3"/>
    <x v="3"/>
    <x v="11"/>
    <x v="3"/>
    <n v="1"/>
    <n v="80.97"/>
    <x v="3"/>
    <n v="64.78"/>
    <s v="Card"/>
  </r>
  <r>
    <s v="ORD-0040"/>
    <x v="75"/>
    <s v="CUST-0161"/>
    <x v="3"/>
    <x v="3"/>
    <x v="1"/>
    <x v="1"/>
    <n v="2"/>
    <n v="285.25"/>
    <x v="4"/>
    <n v="541.98"/>
    <s v="Card"/>
  </r>
  <r>
    <s v="ORD-0356"/>
    <x v="76"/>
    <s v="CUST-0051"/>
    <x v="0"/>
    <x v="0"/>
    <x v="5"/>
    <x v="2"/>
    <n v="3"/>
    <n v="242.74"/>
    <x v="6"/>
    <n v="546.16"/>
    <s v="Mobile Money"/>
  </r>
  <r>
    <s v="ORD-0569"/>
    <x v="76"/>
    <s v="CUST-0044"/>
    <x v="4"/>
    <x v="0"/>
    <x v="6"/>
    <x v="1"/>
    <n v="2"/>
    <n v="130.6"/>
    <x v="3"/>
    <n v="208.96"/>
    <s v="Mobile Money"/>
  </r>
  <r>
    <s v="ORD-0304"/>
    <x v="77"/>
    <s v="CUST-0070"/>
    <x v="4"/>
    <x v="0"/>
    <x v="2"/>
    <x v="0"/>
    <n v="6"/>
    <n v="52.25"/>
    <x v="4"/>
    <n v="297.82"/>
    <s v="Bank Transfer"/>
  </r>
  <r>
    <s v="ORD-0360"/>
    <x v="78"/>
    <s v="CUST-0146"/>
    <x v="2"/>
    <x v="2"/>
    <x v="8"/>
    <x v="1"/>
    <n v="7"/>
    <n v="47.85"/>
    <x v="2"/>
    <n v="334.95"/>
    <s v="Card"/>
  </r>
  <r>
    <s v="ORD-0423"/>
    <x v="79"/>
    <s v="CUST-0161"/>
    <x v="2"/>
    <x v="2"/>
    <x v="6"/>
    <x v="1"/>
    <n v="6"/>
    <n v="128.74"/>
    <x v="0"/>
    <n v="695.2"/>
    <s v="Bank Transfer"/>
  </r>
  <r>
    <s v="ORD-0238"/>
    <x v="79"/>
    <s v="CUST-0161"/>
    <x v="1"/>
    <x v="1"/>
    <x v="5"/>
    <x v="2"/>
    <n v="1"/>
    <n v="246.2"/>
    <x v="2"/>
    <n v="246.2"/>
    <s v="Card"/>
  </r>
  <r>
    <s v="ORD-0370"/>
    <x v="80"/>
    <s v="CUST-0022"/>
    <x v="1"/>
    <x v="1"/>
    <x v="10"/>
    <x v="1"/>
    <n v="5"/>
    <n v="861.91"/>
    <x v="6"/>
    <n v="3232.16"/>
    <s v="Card"/>
  </r>
  <r>
    <s v="ORD-0437"/>
    <x v="80"/>
    <s v="CUST-0047"/>
    <x v="3"/>
    <x v="3"/>
    <x v="4"/>
    <x v="2"/>
    <n v="8"/>
    <n v="15.24"/>
    <x v="0"/>
    <n v="109.73"/>
    <s v="Bank Transfer"/>
  </r>
  <r>
    <s v="ORD-0339"/>
    <x v="81"/>
    <s v="CUST-0086"/>
    <x v="1"/>
    <x v="1"/>
    <x v="0"/>
    <x v="0"/>
    <n v="3"/>
    <n v="237.73"/>
    <x v="3"/>
    <n v="570.54999999999995"/>
    <s v="Mobile Money"/>
  </r>
  <r>
    <s v="ORD-0120"/>
    <x v="82"/>
    <s v="CUST-0104"/>
    <x v="2"/>
    <x v="2"/>
    <x v="4"/>
    <x v="2"/>
    <n v="4"/>
    <n v="16.239999999999998"/>
    <x v="2"/>
    <n v="64.959999999999994"/>
    <s v="Card"/>
  </r>
  <r>
    <s v="ORD-0553"/>
    <x v="82"/>
    <s v="CUST-0013"/>
    <x v="2"/>
    <x v="2"/>
    <x v="3"/>
    <x v="1"/>
    <n v="3"/>
    <n v="590.21"/>
    <x v="4"/>
    <n v="1682.1"/>
    <s v="Card"/>
  </r>
  <r>
    <s v="ORD-0147"/>
    <x v="82"/>
    <s v="CUST-0152"/>
    <x v="4"/>
    <x v="0"/>
    <x v="10"/>
    <x v="1"/>
    <n v="3"/>
    <n v="863.48"/>
    <x v="0"/>
    <n v="2331.4"/>
    <s v="Mobile Money"/>
  </r>
  <r>
    <s v="ORD-0409"/>
    <x v="82"/>
    <s v="CUST-0102"/>
    <x v="4"/>
    <x v="0"/>
    <x v="11"/>
    <x v="3"/>
    <n v="1"/>
    <n v="69.37"/>
    <x v="0"/>
    <n v="62.43"/>
    <s v="Mobile Money"/>
  </r>
  <r>
    <s v="ORD-0373"/>
    <x v="82"/>
    <s v="CUST-0098"/>
    <x v="1"/>
    <x v="1"/>
    <x v="0"/>
    <x v="0"/>
    <n v="3"/>
    <n v="205.27"/>
    <x v="0"/>
    <n v="554.23"/>
    <s v="Cash"/>
  </r>
  <r>
    <s v="ORD-0101"/>
    <x v="83"/>
    <s v="CUST-0004"/>
    <x v="4"/>
    <x v="0"/>
    <x v="8"/>
    <x v="1"/>
    <n v="1"/>
    <n v="40.57"/>
    <x v="4"/>
    <n v="38.54"/>
    <s v="Card"/>
  </r>
  <r>
    <s v="ORD-0366"/>
    <x v="84"/>
    <s v="CUST-0109"/>
    <x v="3"/>
    <x v="3"/>
    <x v="3"/>
    <x v="1"/>
    <n v="8"/>
    <n v="613.33000000000004"/>
    <x v="5"/>
    <n v="3434.65"/>
    <s v="Mobile Money"/>
  </r>
  <r>
    <s v="ORD-0433"/>
    <x v="84"/>
    <s v="CUST-0103"/>
    <x v="1"/>
    <x v="1"/>
    <x v="10"/>
    <x v="1"/>
    <n v="3"/>
    <n v="880.64"/>
    <x v="1"/>
    <n v="2245.63"/>
    <s v="Cash"/>
  </r>
  <r>
    <s v="ORD-0039"/>
    <x v="85"/>
    <s v="CUST-0032"/>
    <x v="4"/>
    <x v="0"/>
    <x v="5"/>
    <x v="2"/>
    <n v="7"/>
    <n v="267.20999999999998"/>
    <x v="6"/>
    <n v="1402.85"/>
    <s v="Card"/>
  </r>
  <r>
    <s v="ORD-0491"/>
    <x v="86"/>
    <s v="CUST-0164"/>
    <x v="4"/>
    <x v="0"/>
    <x v="4"/>
    <x v="2"/>
    <n v="8"/>
    <n v="16.170000000000002"/>
    <x v="4"/>
    <n v="122.89"/>
    <s v="Card"/>
  </r>
  <r>
    <s v="ORD-0294"/>
    <x v="87"/>
    <s v="CUST-0159"/>
    <x v="4"/>
    <x v="0"/>
    <x v="6"/>
    <x v="1"/>
    <n v="6"/>
    <n v="124.69"/>
    <x v="1"/>
    <n v="635.91999999999996"/>
    <s v="Cash"/>
  </r>
  <r>
    <s v="ORD-0071"/>
    <x v="87"/>
    <s v="CUST-0134"/>
    <x v="1"/>
    <x v="1"/>
    <x v="2"/>
    <x v="0"/>
    <n v="6"/>
    <n v="53.9"/>
    <x v="0"/>
    <n v="291.06"/>
    <s v="Card"/>
  </r>
  <r>
    <s v="ORD-0190"/>
    <x v="87"/>
    <s v="CUST-0130"/>
    <x v="2"/>
    <x v="2"/>
    <x v="11"/>
    <x v="3"/>
    <n v="8"/>
    <n v="74.87"/>
    <x v="2"/>
    <n v="598.96"/>
    <s v="Mobile Money"/>
  </r>
  <r>
    <s v="ORD-0331"/>
    <x v="87"/>
    <s v="CUST-0046"/>
    <x v="3"/>
    <x v="3"/>
    <x v="8"/>
    <x v="1"/>
    <n v="7"/>
    <n v="43.25"/>
    <x v="4"/>
    <n v="287.61"/>
    <s v="Card"/>
  </r>
  <r>
    <s v="ORD-0143"/>
    <x v="87"/>
    <s v="CUST-0106"/>
    <x v="2"/>
    <x v="2"/>
    <x v="3"/>
    <x v="1"/>
    <n v="1"/>
    <n v="637.67999999999995"/>
    <x v="0"/>
    <n v="573.91"/>
    <s v="Bank Transfer"/>
  </r>
  <r>
    <s v="ORD-0210"/>
    <x v="88"/>
    <s v="CUST-0014"/>
    <x v="3"/>
    <x v="3"/>
    <x v="0"/>
    <x v="0"/>
    <n v="5"/>
    <n v="208.43"/>
    <x v="4"/>
    <n v="990.04"/>
    <s v="Bank Transfer"/>
  </r>
  <r>
    <s v="ORD-0103"/>
    <x v="88"/>
    <s v="CUST-0113"/>
    <x v="5"/>
    <x v="4"/>
    <x v="11"/>
    <x v="3"/>
    <n v="2"/>
    <n v="76.14"/>
    <x v="6"/>
    <n v="114.21"/>
    <s v="Card"/>
  </r>
  <r>
    <s v="ORD-0116"/>
    <x v="88"/>
    <s v="CUST-0038"/>
    <x v="1"/>
    <x v="1"/>
    <x v="0"/>
    <x v="0"/>
    <n v="6"/>
    <n v="229.42"/>
    <x v="0"/>
    <n v="1238.8699999999999"/>
    <s v="Bank Transfer"/>
  </r>
  <r>
    <s v="ORD-0214"/>
    <x v="89"/>
    <s v="CUST-0035"/>
    <x v="4"/>
    <x v="0"/>
    <x v="3"/>
    <x v="1"/>
    <n v="1"/>
    <n v="654.04999999999995"/>
    <x v="6"/>
    <n v="490.54"/>
    <s v="Card"/>
  </r>
  <r>
    <s v="ORD-0515"/>
    <x v="90"/>
    <s v="CUST-0046"/>
    <x v="4"/>
    <x v="0"/>
    <x v="11"/>
    <x v="3"/>
    <n v="5"/>
    <n v="80.69"/>
    <x v="4"/>
    <n v="383.28"/>
    <s v="Mobile Money"/>
  </r>
  <r>
    <s v="ORD-0268"/>
    <x v="90"/>
    <s v="CUST-0137"/>
    <x v="5"/>
    <x v="4"/>
    <x v="5"/>
    <x v="2"/>
    <n v="5"/>
    <n v="272.81"/>
    <x v="2"/>
    <n v="1364.05"/>
    <s v="Card"/>
  </r>
  <r>
    <s v="ORD-0400"/>
    <x v="90"/>
    <s v="CUST-0138"/>
    <x v="0"/>
    <x v="0"/>
    <x v="5"/>
    <x v="2"/>
    <n v="7"/>
    <n v="249.69"/>
    <x v="0"/>
    <n v="1573.05"/>
    <s v="Mobile Money"/>
  </r>
  <r>
    <s v="ORD-0593"/>
    <x v="91"/>
    <s v="CUST-0108"/>
    <x v="1"/>
    <x v="1"/>
    <x v="4"/>
    <x v="2"/>
    <n v="6"/>
    <n v="13.94"/>
    <x v="3"/>
    <n v="66.91"/>
    <s v="Mobile Money"/>
  </r>
  <r>
    <s v="ORD-0502"/>
    <x v="92"/>
    <s v="CUST-0067"/>
    <x v="0"/>
    <x v="0"/>
    <x v="3"/>
    <x v="1"/>
    <n v="5"/>
    <n v="689.5"/>
    <x v="0"/>
    <n v="3102.75"/>
    <s v="Cash"/>
  </r>
  <r>
    <s v="ORD-0196"/>
    <x v="92"/>
    <s v="CUST-0134"/>
    <x v="1"/>
    <x v="1"/>
    <x v="3"/>
    <x v="1"/>
    <n v="2"/>
    <n v="606.77"/>
    <x v="2"/>
    <n v="1213.54"/>
    <s v="Mobile Money"/>
  </r>
  <r>
    <s v="ORD-0464"/>
    <x v="93"/>
    <s v="CUST-0024"/>
    <x v="4"/>
    <x v="0"/>
    <x v="4"/>
    <x v="2"/>
    <n v="3"/>
    <n v="14.12"/>
    <x v="0"/>
    <n v="38.119999999999997"/>
    <s v="Card"/>
  </r>
  <r>
    <s v="ORD-0069"/>
    <x v="94"/>
    <s v="CUST-0173"/>
    <x v="2"/>
    <x v="2"/>
    <x v="2"/>
    <x v="0"/>
    <n v="6"/>
    <n v="57.26"/>
    <x v="4"/>
    <n v="326.38"/>
    <s v="Card"/>
  </r>
  <r>
    <s v="ORD-0450"/>
    <x v="94"/>
    <s v="CUST-0057"/>
    <x v="3"/>
    <x v="3"/>
    <x v="4"/>
    <x v="2"/>
    <n v="6"/>
    <n v="16.260000000000002"/>
    <x v="1"/>
    <n v="82.93"/>
    <s v="Bank Transfer"/>
  </r>
  <r>
    <s v="ORD-0492"/>
    <x v="95"/>
    <s v="CUST-0147"/>
    <x v="0"/>
    <x v="0"/>
    <x v="5"/>
    <x v="2"/>
    <n v="4"/>
    <n v="240.55"/>
    <x v="2"/>
    <n v="962.2"/>
    <s v="Card"/>
  </r>
  <r>
    <s v="ORD-0094"/>
    <x v="95"/>
    <s v="CUST-0056"/>
    <x v="4"/>
    <x v="0"/>
    <x v="10"/>
    <x v="1"/>
    <n v="8"/>
    <n v="944.69"/>
    <x v="2"/>
    <n v="7557.52"/>
    <s v="Card"/>
  </r>
  <r>
    <s v="ORD-0330"/>
    <x v="96"/>
    <s v="CUST-0067"/>
    <x v="3"/>
    <x v="3"/>
    <x v="11"/>
    <x v="3"/>
    <n v="1"/>
    <n v="77.33"/>
    <x v="5"/>
    <n v="54.13"/>
    <s v="Card"/>
  </r>
  <r>
    <s v="ORD-0320"/>
    <x v="97"/>
    <s v="CUST-0008"/>
    <x v="5"/>
    <x v="4"/>
    <x v="6"/>
    <x v="1"/>
    <n v="3"/>
    <n v="114.65"/>
    <x v="5"/>
    <n v="240.76"/>
    <s v="Card"/>
  </r>
  <r>
    <s v="ORD-0301"/>
    <x v="97"/>
    <s v="CUST-0024"/>
    <x v="2"/>
    <x v="2"/>
    <x v="7"/>
    <x v="0"/>
    <n v="4"/>
    <n v="324.33999999999997"/>
    <x v="2"/>
    <n v="1297.3599999999999"/>
    <s v="Bank Transfer"/>
  </r>
  <r>
    <s v="ORD-0145"/>
    <x v="98"/>
    <s v="CUST-0054"/>
    <x v="0"/>
    <x v="0"/>
    <x v="10"/>
    <x v="1"/>
    <n v="2"/>
    <n v="882.79"/>
    <x v="1"/>
    <n v="1500.74"/>
    <s v="Mobile Money"/>
  </r>
  <r>
    <s v="ORD-0014"/>
    <x v="99"/>
    <s v="CUST-0001"/>
    <x v="3"/>
    <x v="3"/>
    <x v="11"/>
    <x v="3"/>
    <n v="3"/>
    <n v="75.92"/>
    <x v="0"/>
    <n v="204.98"/>
    <s v="Cash"/>
  </r>
  <r>
    <s v="ORD-0525"/>
    <x v="100"/>
    <s v="CUST-0087"/>
    <x v="1"/>
    <x v="1"/>
    <x v="4"/>
    <x v="2"/>
    <n v="7"/>
    <n v="16.09"/>
    <x v="2"/>
    <n v="112.63"/>
    <s v="Cash"/>
  </r>
  <r>
    <s v="ORD-0324"/>
    <x v="100"/>
    <s v="CUST-0009"/>
    <x v="2"/>
    <x v="2"/>
    <x v="10"/>
    <x v="1"/>
    <n v="4"/>
    <n v="939.48"/>
    <x v="3"/>
    <n v="3006.34"/>
    <s v="Card"/>
  </r>
  <r>
    <s v="ORD-0369"/>
    <x v="101"/>
    <s v="CUST-0018"/>
    <x v="0"/>
    <x v="0"/>
    <x v="5"/>
    <x v="2"/>
    <n v="5"/>
    <n v="243.52"/>
    <x v="4"/>
    <n v="1156.72"/>
    <s v="Mobile Money"/>
  </r>
  <r>
    <s v="ORD-0033"/>
    <x v="102"/>
    <s v="CUST-0145"/>
    <x v="3"/>
    <x v="3"/>
    <x v="8"/>
    <x v="1"/>
    <n v="4"/>
    <n v="46.91"/>
    <x v="4"/>
    <n v="178.26"/>
    <s v="Card"/>
  </r>
  <r>
    <s v="ORD-0590"/>
    <x v="103"/>
    <s v="CUST-0024"/>
    <x v="0"/>
    <x v="0"/>
    <x v="5"/>
    <x v="2"/>
    <n v="4"/>
    <n v="250.91"/>
    <x v="1"/>
    <n v="853.09"/>
    <s v="Card"/>
  </r>
  <r>
    <s v="ORD-0247"/>
    <x v="103"/>
    <s v="CUST-0003"/>
    <x v="0"/>
    <x v="0"/>
    <x v="5"/>
    <x v="2"/>
    <n v="6"/>
    <n v="246.13"/>
    <x v="3"/>
    <n v="1181.42"/>
    <s v="Card"/>
  </r>
  <r>
    <s v="ORD-0505"/>
    <x v="103"/>
    <s v="CUST-0058"/>
    <x v="0"/>
    <x v="0"/>
    <x v="2"/>
    <x v="0"/>
    <n v="2"/>
    <n v="58"/>
    <x v="0"/>
    <n v="104.4"/>
    <s v="Card"/>
  </r>
  <r>
    <s v="ORD-0067"/>
    <x v="103"/>
    <s v="CUST-0109"/>
    <x v="4"/>
    <x v="0"/>
    <x v="4"/>
    <x v="2"/>
    <n v="2"/>
    <n v="13.94"/>
    <x v="0"/>
    <n v="25.09"/>
    <s v="Card"/>
  </r>
  <r>
    <s v="ORD-0566"/>
    <x v="104"/>
    <s v="CUST-0111"/>
    <x v="1"/>
    <x v="1"/>
    <x v="2"/>
    <x v="0"/>
    <n v="8"/>
    <n v="59.83"/>
    <x v="0"/>
    <n v="430.78"/>
    <s v="Card"/>
  </r>
  <r>
    <s v="ORD-0109"/>
    <x v="104"/>
    <s v="CUST-0162"/>
    <x v="4"/>
    <x v="0"/>
    <x v="10"/>
    <x v="1"/>
    <n v="5"/>
    <n v="959.51"/>
    <x v="6"/>
    <n v="3598.16"/>
    <s v="Card"/>
  </r>
  <r>
    <s v="ORD-0087"/>
    <x v="105"/>
    <s v="CUST-0145"/>
    <x v="2"/>
    <x v="2"/>
    <x v="2"/>
    <x v="0"/>
    <n v="6"/>
    <n v="56.34"/>
    <x v="3"/>
    <n v="270.43"/>
    <s v="Cash"/>
  </r>
  <r>
    <s v="ORD-0447"/>
    <x v="106"/>
    <s v="CUST-0010"/>
    <x v="0"/>
    <x v="0"/>
    <x v="5"/>
    <x v="2"/>
    <n v="2"/>
    <n v="226.03"/>
    <x v="4"/>
    <n v="429.46"/>
    <s v="Mobile Money"/>
  </r>
  <r>
    <s v="ORD-0011"/>
    <x v="106"/>
    <s v="CUST-0081"/>
    <x v="0"/>
    <x v="0"/>
    <x v="1"/>
    <x v="1"/>
    <n v="1"/>
    <n v="316.33"/>
    <x v="2"/>
    <n v="316.33"/>
    <s v="Card"/>
  </r>
  <r>
    <s v="ORD-0029"/>
    <x v="107"/>
    <s v="CUST-0037"/>
    <x v="1"/>
    <x v="1"/>
    <x v="8"/>
    <x v="1"/>
    <n v="4"/>
    <n v="45.27"/>
    <x v="4"/>
    <n v="172.03"/>
    <s v="Card"/>
  </r>
  <r>
    <s v="ORD-0588"/>
    <x v="108"/>
    <s v="CUST-0058"/>
    <x v="3"/>
    <x v="3"/>
    <x v="10"/>
    <x v="1"/>
    <n v="7"/>
    <n v="855.96"/>
    <x v="2"/>
    <n v="5991.72"/>
    <s v="Card"/>
  </r>
  <r>
    <s v="ORD-0431"/>
    <x v="108"/>
    <s v="CUST-0173"/>
    <x v="2"/>
    <x v="2"/>
    <x v="4"/>
    <x v="2"/>
    <n v="6"/>
    <n v="14.79"/>
    <x v="2"/>
    <n v="88.74"/>
    <s v="Mobile Money"/>
  </r>
  <r>
    <s v="ORD-0348"/>
    <x v="108"/>
    <s v="CUST-0049"/>
    <x v="2"/>
    <x v="2"/>
    <x v="9"/>
    <x v="1"/>
    <n v="6"/>
    <n v="81.77"/>
    <x v="4"/>
    <n v="466.09"/>
    <s v="Card"/>
  </r>
  <r>
    <s v="ORD-0527"/>
    <x v="109"/>
    <s v="CUST-0178"/>
    <x v="4"/>
    <x v="0"/>
    <x v="9"/>
    <x v="1"/>
    <n v="4"/>
    <n v="72.680000000000007"/>
    <x v="0"/>
    <n v="261.64999999999998"/>
    <s v="Mobile Money"/>
  </r>
  <r>
    <s v="ORD-0081"/>
    <x v="110"/>
    <s v="CUST-0085"/>
    <x v="5"/>
    <x v="4"/>
    <x v="7"/>
    <x v="0"/>
    <n v="7"/>
    <n v="368.83"/>
    <x v="6"/>
    <n v="1936.36"/>
    <s v="Bank Transfer"/>
  </r>
  <r>
    <s v="ORD-0219"/>
    <x v="110"/>
    <s v="CUST-0026"/>
    <x v="4"/>
    <x v="0"/>
    <x v="10"/>
    <x v="1"/>
    <n v="7"/>
    <n v="986.15"/>
    <x v="4"/>
    <n v="6557.9"/>
    <s v="Card"/>
  </r>
  <r>
    <s v="ORD-0403"/>
    <x v="111"/>
    <s v="CUST-0105"/>
    <x v="0"/>
    <x v="0"/>
    <x v="11"/>
    <x v="3"/>
    <n v="8"/>
    <n v="73.28"/>
    <x v="3"/>
    <n v="468.99"/>
    <s v="Mobile Money"/>
  </r>
  <r>
    <s v="ORD-0240"/>
    <x v="111"/>
    <s v="CUST-0067"/>
    <x v="4"/>
    <x v="0"/>
    <x v="8"/>
    <x v="1"/>
    <n v="6"/>
    <n v="41.78"/>
    <x v="4"/>
    <n v="238.15"/>
    <s v="Mobile Money"/>
  </r>
  <r>
    <s v="ORD-0078"/>
    <x v="111"/>
    <s v="CUST-0177"/>
    <x v="5"/>
    <x v="4"/>
    <x v="4"/>
    <x v="2"/>
    <n v="5"/>
    <n v="13.99"/>
    <x v="0"/>
    <n v="62.96"/>
    <s v="Bank Transfer"/>
  </r>
  <r>
    <s v="ORD-0295"/>
    <x v="111"/>
    <s v="CUST-0063"/>
    <x v="1"/>
    <x v="1"/>
    <x v="6"/>
    <x v="1"/>
    <n v="8"/>
    <n v="116.96"/>
    <x v="2"/>
    <n v="935.68"/>
    <s v="Bank Transfer"/>
  </r>
  <r>
    <s v="ORD-0499"/>
    <x v="112"/>
    <s v="CUST-0169"/>
    <x v="0"/>
    <x v="0"/>
    <x v="2"/>
    <x v="0"/>
    <n v="3"/>
    <n v="52.64"/>
    <x v="0"/>
    <n v="142.13"/>
    <s v="Mobile Money"/>
  </r>
  <r>
    <s v="ORD-0455"/>
    <x v="112"/>
    <s v="CUST-0080"/>
    <x v="2"/>
    <x v="2"/>
    <x v="7"/>
    <x v="0"/>
    <n v="3"/>
    <n v="348.76"/>
    <x v="2"/>
    <n v="1046.28"/>
    <s v="Cash"/>
  </r>
  <r>
    <s v="ORD-0343"/>
    <x v="112"/>
    <s v="CUST-0026"/>
    <x v="2"/>
    <x v="2"/>
    <x v="9"/>
    <x v="1"/>
    <n v="4"/>
    <n v="86.57"/>
    <x v="0"/>
    <n v="311.64999999999998"/>
    <s v="Card"/>
  </r>
  <r>
    <s v="ORD-0306"/>
    <x v="113"/>
    <s v="CUST-0143"/>
    <x v="4"/>
    <x v="0"/>
    <x v="1"/>
    <x v="1"/>
    <n v="6"/>
    <n v="323.99"/>
    <x v="2"/>
    <n v="1943.94"/>
    <s v="Mobile Money"/>
  </r>
  <r>
    <s v="ORD-0523"/>
    <x v="114"/>
    <s v="CUST-0012"/>
    <x v="4"/>
    <x v="0"/>
    <x v="3"/>
    <x v="1"/>
    <n v="7"/>
    <n v="665.41"/>
    <x v="1"/>
    <n v="3959.19"/>
    <s v="Mobile Money"/>
  </r>
  <r>
    <s v="ORD-0446"/>
    <x v="114"/>
    <s v="CUST-0016"/>
    <x v="4"/>
    <x v="0"/>
    <x v="11"/>
    <x v="3"/>
    <n v="4"/>
    <n v="82.27"/>
    <x v="1"/>
    <n v="279.72000000000003"/>
    <s v="Card"/>
  </r>
  <r>
    <s v="ORD-0406"/>
    <x v="114"/>
    <s v="CUST-0028"/>
    <x v="4"/>
    <x v="0"/>
    <x v="9"/>
    <x v="1"/>
    <n v="7"/>
    <n v="74.010000000000005"/>
    <x v="1"/>
    <n v="440.36"/>
    <s v="Cash"/>
  </r>
  <r>
    <s v="ORD-0030"/>
    <x v="115"/>
    <s v="CUST-0054"/>
    <x v="5"/>
    <x v="4"/>
    <x v="1"/>
    <x v="1"/>
    <n v="1"/>
    <n v="286.73"/>
    <x v="1"/>
    <n v="243.72"/>
    <s v="Bank Transfer"/>
  </r>
  <r>
    <s v="ORD-0227"/>
    <x v="116"/>
    <s v="CUST-0012"/>
    <x v="2"/>
    <x v="2"/>
    <x v="9"/>
    <x v="1"/>
    <n v="8"/>
    <n v="85.55"/>
    <x v="6"/>
    <n v="513.29999999999995"/>
    <s v="Bank Transfer"/>
  </r>
  <r>
    <s v="ORD-0278"/>
    <x v="116"/>
    <s v="CUST-0059"/>
    <x v="3"/>
    <x v="3"/>
    <x v="4"/>
    <x v="2"/>
    <n v="2"/>
    <n v="14.51"/>
    <x v="6"/>
    <n v="21.76"/>
    <s v="Card"/>
  </r>
  <r>
    <s v="ORD-0396"/>
    <x v="117"/>
    <s v="CUST-0018"/>
    <x v="0"/>
    <x v="0"/>
    <x v="2"/>
    <x v="0"/>
    <n v="1"/>
    <n v="52.99"/>
    <x v="2"/>
    <n v="52.99"/>
    <s v="Mobile Money"/>
  </r>
  <r>
    <s v="ORD-0367"/>
    <x v="118"/>
    <s v="CUST-0174"/>
    <x v="5"/>
    <x v="4"/>
    <x v="9"/>
    <x v="1"/>
    <n v="8"/>
    <n v="80.09"/>
    <x v="6"/>
    <n v="480.54"/>
    <s v="Card"/>
  </r>
  <r>
    <s v="ORD-0363"/>
    <x v="119"/>
    <s v="CUST-0165"/>
    <x v="4"/>
    <x v="0"/>
    <x v="8"/>
    <x v="1"/>
    <n v="6"/>
    <n v="46.85"/>
    <x v="7"/>
    <n v="238.94"/>
    <s v="Card"/>
  </r>
  <r>
    <s v="ORD-0231"/>
    <x v="119"/>
    <s v="CUST-0035"/>
    <x v="0"/>
    <x v="0"/>
    <x v="0"/>
    <x v="0"/>
    <n v="8"/>
    <n v="221.02"/>
    <x v="1"/>
    <n v="1502.94"/>
    <s v="Cash"/>
  </r>
  <r>
    <s v="ORD-0462"/>
    <x v="120"/>
    <s v="CUST-0017"/>
    <x v="4"/>
    <x v="0"/>
    <x v="3"/>
    <x v="1"/>
    <n v="7"/>
    <n v="641.16"/>
    <x v="5"/>
    <n v="3141.68"/>
    <s v="Card"/>
  </r>
  <r>
    <s v="ORD-0253"/>
    <x v="121"/>
    <s v="CUST-0158"/>
    <x v="4"/>
    <x v="0"/>
    <x v="2"/>
    <x v="0"/>
    <n v="7"/>
    <n v="53.87"/>
    <x v="0"/>
    <n v="339.38"/>
    <s v="Mobile Money"/>
  </r>
  <r>
    <s v="ORD-0293"/>
    <x v="122"/>
    <s v="CUST-0060"/>
    <x v="4"/>
    <x v="0"/>
    <x v="0"/>
    <x v="0"/>
    <n v="4"/>
    <n v="200.32"/>
    <x v="0"/>
    <n v="721.15"/>
    <s v="Mobile Money"/>
  </r>
  <r>
    <s v="ORD-0239"/>
    <x v="123"/>
    <s v="CUST-0011"/>
    <x v="0"/>
    <x v="0"/>
    <x v="10"/>
    <x v="1"/>
    <n v="6"/>
    <n v="814.25"/>
    <x v="1"/>
    <n v="4152.68"/>
    <s v="Mobile Money"/>
  </r>
  <r>
    <s v="ORD-0054"/>
    <x v="123"/>
    <s v="CUST-0084"/>
    <x v="2"/>
    <x v="2"/>
    <x v="0"/>
    <x v="0"/>
    <n v="8"/>
    <n v="201.11"/>
    <x v="1"/>
    <n v="1367.55"/>
    <s v="Card"/>
  </r>
  <r>
    <s v="ORD-0258"/>
    <x v="123"/>
    <s v="CUST-0093"/>
    <x v="0"/>
    <x v="0"/>
    <x v="2"/>
    <x v="0"/>
    <n v="5"/>
    <n v="59.8"/>
    <x v="3"/>
    <n v="239.2"/>
    <s v="Card"/>
  </r>
  <r>
    <s v="ORD-0432"/>
    <x v="123"/>
    <s v="CUST-0089"/>
    <x v="0"/>
    <x v="0"/>
    <x v="8"/>
    <x v="1"/>
    <n v="6"/>
    <n v="44.08"/>
    <x v="6"/>
    <n v="198.36"/>
    <s v="Cash"/>
  </r>
  <r>
    <s v="ORD-0249"/>
    <x v="124"/>
    <s v="CUST-0016"/>
    <x v="4"/>
    <x v="0"/>
    <x v="7"/>
    <x v="0"/>
    <n v="4"/>
    <n v="358.65"/>
    <x v="2"/>
    <n v="1434.6"/>
    <s v="Bank Transfer"/>
  </r>
  <r>
    <s v="ORD-0475"/>
    <x v="124"/>
    <s v="CUST-0075"/>
    <x v="4"/>
    <x v="0"/>
    <x v="3"/>
    <x v="1"/>
    <n v="8"/>
    <n v="631.13"/>
    <x v="0"/>
    <n v="4544.1400000000003"/>
    <s v="Card"/>
  </r>
  <r>
    <s v="ORD-0158"/>
    <x v="124"/>
    <s v="CUST-0016"/>
    <x v="3"/>
    <x v="3"/>
    <x v="9"/>
    <x v="1"/>
    <n v="1"/>
    <n v="80.61"/>
    <x v="1"/>
    <n v="68.52"/>
    <s v="Bank Transfer"/>
  </r>
  <r>
    <s v="ORD-0398"/>
    <x v="125"/>
    <s v="CUST-0172"/>
    <x v="1"/>
    <x v="1"/>
    <x v="2"/>
    <x v="0"/>
    <n v="3"/>
    <n v="58.59"/>
    <x v="2"/>
    <n v="175.77"/>
    <s v="Mobile Money"/>
  </r>
  <r>
    <s v="ORD-0254"/>
    <x v="126"/>
    <s v="CUST-0066"/>
    <x v="1"/>
    <x v="1"/>
    <x v="6"/>
    <x v="1"/>
    <n v="8"/>
    <n v="113.09"/>
    <x v="3"/>
    <n v="723.78"/>
    <s v="Card"/>
  </r>
  <r>
    <s v="ORD-0386"/>
    <x v="127"/>
    <s v="CUST-0035"/>
    <x v="0"/>
    <x v="0"/>
    <x v="9"/>
    <x v="1"/>
    <n v="8"/>
    <n v="84.3"/>
    <x v="1"/>
    <n v="573.24"/>
    <s v="Bank Transfer"/>
  </r>
  <r>
    <s v="ORD-0375"/>
    <x v="127"/>
    <s v="CUST-0118"/>
    <x v="3"/>
    <x v="3"/>
    <x v="7"/>
    <x v="0"/>
    <n v="7"/>
    <n v="342.66"/>
    <x v="2"/>
    <n v="2398.62"/>
    <s v="Mobile Money"/>
  </r>
  <r>
    <s v="ORD-0307"/>
    <x v="128"/>
    <s v="CUST-0058"/>
    <x v="5"/>
    <x v="4"/>
    <x v="7"/>
    <x v="0"/>
    <n v="2"/>
    <n v="372.95"/>
    <x v="3"/>
    <n v="596.72"/>
    <s v="Mobile Money"/>
  </r>
  <r>
    <s v="ORD-0408"/>
    <x v="128"/>
    <s v="CUST-0102"/>
    <x v="0"/>
    <x v="0"/>
    <x v="5"/>
    <x v="2"/>
    <n v="5"/>
    <n v="238.38"/>
    <x v="3"/>
    <n v="953.52"/>
    <s v="Card"/>
  </r>
  <r>
    <s v="ORD-0020"/>
    <x v="128"/>
    <s v="CUST-0051"/>
    <x v="1"/>
    <x v="1"/>
    <x v="8"/>
    <x v="1"/>
    <n v="3"/>
    <n v="40.56"/>
    <x v="0"/>
    <n v="109.51"/>
    <s v="Card"/>
  </r>
  <r>
    <s v="ORD-0312"/>
    <x v="129"/>
    <s v="CUST-0086"/>
    <x v="5"/>
    <x v="4"/>
    <x v="8"/>
    <x v="1"/>
    <n v="2"/>
    <n v="41.38"/>
    <x v="3"/>
    <n v="66.209999999999994"/>
    <s v="Mobile Money"/>
  </r>
  <r>
    <s v="ORD-0460"/>
    <x v="129"/>
    <s v="CUST-0033"/>
    <x v="4"/>
    <x v="0"/>
    <x v="8"/>
    <x v="1"/>
    <n v="3"/>
    <n v="46.6"/>
    <x v="2"/>
    <n v="139.80000000000001"/>
    <s v="Card"/>
  </r>
  <r>
    <s v="ORD-0066"/>
    <x v="130"/>
    <s v="CUST-0170"/>
    <x v="3"/>
    <x v="3"/>
    <x v="5"/>
    <x v="2"/>
    <n v="4"/>
    <n v="268.33999999999997"/>
    <x v="3"/>
    <n v="858.69"/>
    <s v="Mobile Money"/>
  </r>
  <r>
    <s v="ORD-0315"/>
    <x v="130"/>
    <s v="CUST-0058"/>
    <x v="0"/>
    <x v="0"/>
    <x v="7"/>
    <x v="0"/>
    <n v="7"/>
    <n v="376.57"/>
    <x v="3"/>
    <n v="2108.79"/>
    <s v="Card"/>
  </r>
  <r>
    <s v="ORD-0454"/>
    <x v="130"/>
    <s v="CUST-0083"/>
    <x v="3"/>
    <x v="3"/>
    <x v="3"/>
    <x v="1"/>
    <n v="5"/>
    <n v="597.67999999999995"/>
    <x v="0"/>
    <n v="2689.56"/>
    <s v="Mobile Money"/>
  </r>
  <r>
    <s v="ORD-0424"/>
    <x v="131"/>
    <s v="CUST-0016"/>
    <x v="0"/>
    <x v="0"/>
    <x v="4"/>
    <x v="2"/>
    <n v="5"/>
    <n v="15.08"/>
    <x v="0"/>
    <n v="67.86"/>
    <s v="Mobile Money"/>
  </r>
  <r>
    <s v="ORD-0310"/>
    <x v="131"/>
    <s v="CUST-0167"/>
    <x v="2"/>
    <x v="2"/>
    <x v="10"/>
    <x v="1"/>
    <n v="8"/>
    <n v="830.66"/>
    <x v="3"/>
    <n v="5316.22"/>
    <s v="Bank Transfer"/>
  </r>
  <r>
    <s v="ORD-0559"/>
    <x v="132"/>
    <s v="CUST-0095"/>
    <x v="0"/>
    <x v="0"/>
    <x v="10"/>
    <x v="1"/>
    <n v="3"/>
    <n v="954.26"/>
    <x v="0"/>
    <n v="2576.5"/>
    <s v="Bank Transfer"/>
  </r>
  <r>
    <s v="ORD-0211"/>
    <x v="132"/>
    <s v="CUST-0001"/>
    <x v="4"/>
    <x v="0"/>
    <x v="5"/>
    <x v="2"/>
    <n v="4"/>
    <n v="266.44"/>
    <x v="0"/>
    <n v="959.18"/>
    <s v="Card"/>
  </r>
  <r>
    <s v="ORD-0107"/>
    <x v="133"/>
    <s v="CUST-0130"/>
    <x v="2"/>
    <x v="2"/>
    <x v="10"/>
    <x v="1"/>
    <n v="6"/>
    <n v="870.59"/>
    <x v="2"/>
    <n v="5223.54"/>
    <s v="Card"/>
  </r>
  <r>
    <s v="ORD-0279"/>
    <x v="133"/>
    <s v="CUST-0032"/>
    <x v="2"/>
    <x v="2"/>
    <x v="5"/>
    <x v="2"/>
    <n v="1"/>
    <n v="233.18"/>
    <x v="4"/>
    <n v="221.52"/>
    <s v="Cash"/>
  </r>
  <r>
    <s v="ORD-0234"/>
    <x v="133"/>
    <s v="CUST-0120"/>
    <x v="0"/>
    <x v="0"/>
    <x v="9"/>
    <x v="1"/>
    <n v="4"/>
    <n v="78.790000000000006"/>
    <x v="2"/>
    <n v="315.16000000000003"/>
    <s v="Bank Transfer"/>
  </r>
  <r>
    <s v="ORD-0341"/>
    <x v="133"/>
    <s v="CUST-0161"/>
    <x v="5"/>
    <x v="4"/>
    <x v="3"/>
    <x v="1"/>
    <n v="5"/>
    <n v="652.79"/>
    <x v="2"/>
    <n v="3263.95"/>
    <s v="Bank Transfer"/>
  </r>
  <r>
    <s v="ORD-0200"/>
    <x v="134"/>
    <s v="CUST-0136"/>
    <x v="4"/>
    <x v="0"/>
    <x v="8"/>
    <x v="1"/>
    <n v="5"/>
    <n v="46.04"/>
    <x v="4"/>
    <n v="218.69"/>
    <s v="Mobile Money"/>
  </r>
  <r>
    <s v="ORD-0405"/>
    <x v="134"/>
    <s v="CUST-0162"/>
    <x v="3"/>
    <x v="3"/>
    <x v="4"/>
    <x v="2"/>
    <n v="6"/>
    <n v="16.14"/>
    <x v="4"/>
    <n v="92"/>
    <s v="Mobile Money"/>
  </r>
  <r>
    <s v="ORD-0195"/>
    <x v="135"/>
    <s v="CUST-0122"/>
    <x v="0"/>
    <x v="0"/>
    <x v="0"/>
    <x v="0"/>
    <n v="2"/>
    <n v="215.46"/>
    <x v="2"/>
    <n v="430.92"/>
    <s v="Mobile Money"/>
  </r>
  <r>
    <s v="ORD-0581"/>
    <x v="136"/>
    <s v="CUST-0017"/>
    <x v="1"/>
    <x v="1"/>
    <x v="10"/>
    <x v="1"/>
    <n v="6"/>
    <n v="895.92"/>
    <x v="4"/>
    <n v="5106.74"/>
    <s v="Card"/>
  </r>
  <r>
    <s v="ORD-0517"/>
    <x v="137"/>
    <s v="CUST-0027"/>
    <x v="1"/>
    <x v="1"/>
    <x v="3"/>
    <x v="1"/>
    <n v="8"/>
    <n v="617.37"/>
    <x v="0"/>
    <n v="4445.0600000000004"/>
    <s v="Card"/>
  </r>
  <r>
    <s v="ORD-0166"/>
    <x v="138"/>
    <s v="CUST-0009"/>
    <x v="0"/>
    <x v="0"/>
    <x v="6"/>
    <x v="1"/>
    <n v="8"/>
    <n v="116.4"/>
    <x v="2"/>
    <n v="931.2"/>
    <s v="Cash"/>
  </r>
  <r>
    <s v="ORD-0216"/>
    <x v="139"/>
    <s v="CUST-0151"/>
    <x v="0"/>
    <x v="0"/>
    <x v="8"/>
    <x v="1"/>
    <n v="2"/>
    <n v="49.26"/>
    <x v="0"/>
    <n v="88.67"/>
    <s v="Card"/>
  </r>
  <r>
    <s v="ORD-0075"/>
    <x v="139"/>
    <s v="CUST-0028"/>
    <x v="3"/>
    <x v="3"/>
    <x v="9"/>
    <x v="1"/>
    <n v="2"/>
    <n v="75.010000000000005"/>
    <x v="0"/>
    <n v="135.02000000000001"/>
    <s v="Card"/>
  </r>
  <r>
    <s v="ORD-0471"/>
    <x v="139"/>
    <s v="CUST-0163"/>
    <x v="0"/>
    <x v="0"/>
    <x v="11"/>
    <x v="3"/>
    <n v="8"/>
    <n v="77.47"/>
    <x v="0"/>
    <n v="557.78"/>
    <s v="Bank Transfer"/>
  </r>
  <r>
    <s v="ORD-0344"/>
    <x v="140"/>
    <s v="CUST-0132"/>
    <x v="0"/>
    <x v="0"/>
    <x v="11"/>
    <x v="3"/>
    <n v="8"/>
    <n v="81.72"/>
    <x v="0"/>
    <n v="588.38"/>
    <s v="Bank Transfer"/>
  </r>
  <r>
    <s v="ORD-0021"/>
    <x v="141"/>
    <s v="CUST-0113"/>
    <x v="4"/>
    <x v="0"/>
    <x v="9"/>
    <x v="1"/>
    <n v="7"/>
    <n v="74.69"/>
    <x v="4"/>
    <n v="496.69"/>
    <s v="Mobile Money"/>
  </r>
  <r>
    <s v="ORD-0441"/>
    <x v="142"/>
    <s v="CUST-0116"/>
    <x v="3"/>
    <x v="3"/>
    <x v="9"/>
    <x v="1"/>
    <n v="8"/>
    <n v="82.47"/>
    <x v="2"/>
    <n v="659.76"/>
    <s v="Bank Transfer"/>
  </r>
  <r>
    <s v="ORD-0123"/>
    <x v="143"/>
    <s v="CUST-0057"/>
    <x v="5"/>
    <x v="4"/>
    <x v="1"/>
    <x v="1"/>
    <n v="1"/>
    <n v="276.79000000000002"/>
    <x v="5"/>
    <n v="193.75"/>
    <s v="Bank Transfer"/>
  </r>
  <r>
    <s v="ORD-0157"/>
    <x v="144"/>
    <s v="CUST-0108"/>
    <x v="4"/>
    <x v="0"/>
    <x v="2"/>
    <x v="0"/>
    <n v="4"/>
    <n v="54.79"/>
    <x v="3"/>
    <n v="175.33"/>
    <s v="Mobile Money"/>
  </r>
  <r>
    <s v="ORD-0378"/>
    <x v="144"/>
    <s v="CUST-0102"/>
    <x v="0"/>
    <x v="0"/>
    <x v="6"/>
    <x v="1"/>
    <n v="2"/>
    <n v="131.54"/>
    <x v="0"/>
    <n v="236.77"/>
    <s v="Bank Transfer"/>
  </r>
  <r>
    <s v="ORD-0060"/>
    <x v="144"/>
    <s v="CUST-0013"/>
    <x v="4"/>
    <x v="0"/>
    <x v="1"/>
    <x v="1"/>
    <n v="8"/>
    <n v="290.45"/>
    <x v="6"/>
    <n v="1742.7"/>
    <s v="Bank Transfer"/>
  </r>
  <r>
    <s v="ORD-0050"/>
    <x v="145"/>
    <s v="CUST-0029"/>
    <x v="3"/>
    <x v="3"/>
    <x v="1"/>
    <x v="1"/>
    <n v="3"/>
    <n v="284.86"/>
    <x v="4"/>
    <n v="811.85"/>
    <s v="Bank Transfer"/>
  </r>
  <r>
    <s v="ORD-0411"/>
    <x v="146"/>
    <s v="CUST-0027"/>
    <x v="3"/>
    <x v="3"/>
    <x v="0"/>
    <x v="0"/>
    <n v="7"/>
    <n v="232.06"/>
    <x v="1"/>
    <n v="1380.76"/>
    <s v="Mobile Money"/>
  </r>
  <r>
    <s v="ORD-0547"/>
    <x v="147"/>
    <s v="CUST-0166"/>
    <x v="5"/>
    <x v="4"/>
    <x v="11"/>
    <x v="3"/>
    <n v="4"/>
    <n v="82.05"/>
    <x v="6"/>
    <n v="246.15"/>
    <s v="Bank Transfer"/>
  </r>
  <r>
    <s v="ORD-0410"/>
    <x v="148"/>
    <s v="CUST-0090"/>
    <x v="2"/>
    <x v="2"/>
    <x v="11"/>
    <x v="3"/>
    <n v="4"/>
    <n v="67.650000000000006"/>
    <x v="0"/>
    <n v="243.54"/>
    <s v="Cash"/>
  </r>
  <r>
    <s v="ORD-0440"/>
    <x v="149"/>
    <s v="CUST-0164"/>
    <x v="5"/>
    <x v="4"/>
    <x v="7"/>
    <x v="0"/>
    <n v="1"/>
    <n v="343.66"/>
    <x v="3"/>
    <n v="274.93"/>
    <s v="Bank Transfer"/>
  </r>
  <r>
    <s v="ORD-0550"/>
    <x v="150"/>
    <s v="CUST-0052"/>
    <x v="5"/>
    <x v="4"/>
    <x v="4"/>
    <x v="2"/>
    <n v="4"/>
    <n v="15.17"/>
    <x v="3"/>
    <n v="48.54"/>
    <s v="Bank Transfer"/>
  </r>
  <r>
    <s v="ORD-0251"/>
    <x v="150"/>
    <s v="CUST-0151"/>
    <x v="4"/>
    <x v="0"/>
    <x v="3"/>
    <x v="1"/>
    <n v="3"/>
    <n v="616.08000000000004"/>
    <x v="0"/>
    <n v="1663.42"/>
    <s v="Bank Transfer"/>
  </r>
  <r>
    <s v="ORD-0085"/>
    <x v="151"/>
    <s v="CUST-0038"/>
    <x v="2"/>
    <x v="2"/>
    <x v="7"/>
    <x v="0"/>
    <n v="5"/>
    <n v="359.76"/>
    <x v="3"/>
    <n v="1439.04"/>
    <s v="Cash"/>
  </r>
  <r>
    <s v="ORD-0049"/>
    <x v="151"/>
    <s v="CUST-0069"/>
    <x v="2"/>
    <x v="2"/>
    <x v="8"/>
    <x v="1"/>
    <n v="8"/>
    <n v="48.91"/>
    <x v="1"/>
    <n v="332.59"/>
    <s v="Mobile Money"/>
  </r>
  <r>
    <s v="ORD-0221"/>
    <x v="151"/>
    <s v="CUST-0063"/>
    <x v="0"/>
    <x v="0"/>
    <x v="7"/>
    <x v="0"/>
    <n v="8"/>
    <n v="360.59"/>
    <x v="2"/>
    <n v="2884.72"/>
    <s v="Mobile Money"/>
  </r>
  <r>
    <s v="ORD-0537"/>
    <x v="151"/>
    <s v="CUST-0136"/>
    <x v="0"/>
    <x v="0"/>
    <x v="9"/>
    <x v="1"/>
    <n v="8"/>
    <n v="72.14"/>
    <x v="2"/>
    <n v="577.12"/>
    <s v="Card"/>
  </r>
  <r>
    <s v="ORD-0506"/>
    <x v="151"/>
    <s v="CUST-0044"/>
    <x v="1"/>
    <x v="1"/>
    <x v="1"/>
    <x v="1"/>
    <n v="8"/>
    <n v="301.08"/>
    <x v="2"/>
    <n v="2408.64"/>
    <s v="Mobile Money"/>
  </r>
  <r>
    <s v="ORD-0351"/>
    <x v="151"/>
    <s v="CUST-0011"/>
    <x v="1"/>
    <x v="1"/>
    <x v="7"/>
    <x v="0"/>
    <n v="3"/>
    <n v="376.59"/>
    <x v="0"/>
    <n v="1016.79"/>
    <s v="Card"/>
  </r>
  <r>
    <s v="ORD-0162"/>
    <x v="152"/>
    <s v="CUST-0073"/>
    <x v="0"/>
    <x v="0"/>
    <x v="9"/>
    <x v="1"/>
    <n v="6"/>
    <n v="85.65"/>
    <x v="1"/>
    <n v="436.82"/>
    <s v="Mobile Money"/>
  </r>
  <r>
    <s v="ORD-0131"/>
    <x v="153"/>
    <s v="CUST-0113"/>
    <x v="4"/>
    <x v="0"/>
    <x v="9"/>
    <x v="1"/>
    <n v="3"/>
    <n v="73.05"/>
    <x v="1"/>
    <n v="186.28"/>
    <s v="Mobile Money"/>
  </r>
  <r>
    <s v="ORD-0345"/>
    <x v="153"/>
    <s v="CUST-0162"/>
    <x v="3"/>
    <x v="3"/>
    <x v="2"/>
    <x v="0"/>
    <n v="4"/>
    <n v="52.08"/>
    <x v="3"/>
    <n v="166.66"/>
    <s v="Cash"/>
  </r>
  <r>
    <s v="ORD-0169"/>
    <x v="154"/>
    <s v="CUST-0153"/>
    <x v="5"/>
    <x v="4"/>
    <x v="4"/>
    <x v="2"/>
    <n v="1"/>
    <n v="14.67"/>
    <x v="4"/>
    <n v="13.94"/>
    <s v="Mobile Money"/>
  </r>
  <r>
    <s v="ORD-0138"/>
    <x v="154"/>
    <s v="CUST-0119"/>
    <x v="2"/>
    <x v="2"/>
    <x v="3"/>
    <x v="1"/>
    <n v="1"/>
    <n v="691.27"/>
    <x v="4"/>
    <n v="656.71"/>
    <s v="Card"/>
  </r>
  <r>
    <s v="ORD-0317"/>
    <x v="155"/>
    <s v="CUST-0051"/>
    <x v="4"/>
    <x v="0"/>
    <x v="6"/>
    <x v="1"/>
    <n v="6"/>
    <n v="116.93"/>
    <x v="0"/>
    <n v="631.41999999999996"/>
    <s v="Card"/>
  </r>
  <r>
    <s v="ORD-0163"/>
    <x v="156"/>
    <s v="CUST-0039"/>
    <x v="0"/>
    <x v="0"/>
    <x v="8"/>
    <x v="1"/>
    <n v="8"/>
    <n v="41.62"/>
    <x v="6"/>
    <n v="249.72"/>
    <s v="Bank Transfer"/>
  </r>
  <r>
    <s v="ORD-0119"/>
    <x v="157"/>
    <s v="CUST-0023"/>
    <x v="4"/>
    <x v="0"/>
    <x v="7"/>
    <x v="0"/>
    <n v="4"/>
    <n v="327.71"/>
    <x v="6"/>
    <n v="983.13"/>
    <s v="Mobile Money"/>
  </r>
  <r>
    <s v="ORD-0271"/>
    <x v="157"/>
    <s v="CUST-0087"/>
    <x v="5"/>
    <x v="4"/>
    <x v="7"/>
    <x v="0"/>
    <n v="8"/>
    <n v="384.18"/>
    <x v="0"/>
    <n v="2766.1"/>
    <s v="Card"/>
  </r>
  <r>
    <s v="ORD-0544"/>
    <x v="158"/>
    <s v="CUST-0076"/>
    <x v="1"/>
    <x v="1"/>
    <x v="9"/>
    <x v="1"/>
    <n v="4"/>
    <n v="72.25"/>
    <x v="0"/>
    <n v="260.10000000000002"/>
    <s v="Mobile Money"/>
  </r>
  <r>
    <s v="ORD-0364"/>
    <x v="159"/>
    <s v="CUST-0146"/>
    <x v="3"/>
    <x v="3"/>
    <x v="7"/>
    <x v="0"/>
    <n v="8"/>
    <n v="368.33"/>
    <x v="6"/>
    <n v="2209.98"/>
    <s v="Card"/>
  </r>
  <r>
    <s v="ORD-0422"/>
    <x v="159"/>
    <s v="CUST-0046"/>
    <x v="3"/>
    <x v="3"/>
    <x v="7"/>
    <x v="0"/>
    <n v="6"/>
    <n v="334.23"/>
    <x v="3"/>
    <n v="1604.3"/>
    <s v="Mobile Money"/>
  </r>
  <r>
    <s v="ORD-0575"/>
    <x v="160"/>
    <s v="CUST-0061"/>
    <x v="3"/>
    <x v="3"/>
    <x v="9"/>
    <x v="1"/>
    <n v="2"/>
    <n v="80.97"/>
    <x v="6"/>
    <n v="121.46"/>
    <s v="Card"/>
  </r>
  <r>
    <s v="ORD-0051"/>
    <x v="161"/>
    <s v="CUST-0144"/>
    <x v="0"/>
    <x v="0"/>
    <x v="7"/>
    <x v="0"/>
    <n v="7"/>
    <n v="317.85000000000002"/>
    <x v="3"/>
    <n v="1779.96"/>
    <s v="Bank Transfer"/>
  </r>
  <r>
    <s v="ORD-0212"/>
    <x v="161"/>
    <s v="CUST-0165"/>
    <x v="4"/>
    <x v="0"/>
    <x v="11"/>
    <x v="3"/>
    <n v="4"/>
    <n v="73.19"/>
    <x v="1"/>
    <n v="248.85"/>
    <s v="Card"/>
  </r>
  <r>
    <s v="ORD-0394"/>
    <x v="162"/>
    <s v="CUST-0059"/>
    <x v="3"/>
    <x v="3"/>
    <x v="0"/>
    <x v="0"/>
    <n v="5"/>
    <n v="233.37"/>
    <x v="0"/>
    <n v="1050.1600000000001"/>
    <s v="Mobile Money"/>
  </r>
  <r>
    <s v="ORD-0415"/>
    <x v="162"/>
    <s v="CUST-0079"/>
    <x v="4"/>
    <x v="0"/>
    <x v="0"/>
    <x v="0"/>
    <n v="8"/>
    <n v="200.89"/>
    <x v="4"/>
    <n v="1526.76"/>
    <s v="Card"/>
  </r>
  <r>
    <s v="ORD-0088"/>
    <x v="162"/>
    <s v="CUST-0126"/>
    <x v="2"/>
    <x v="2"/>
    <x v="2"/>
    <x v="0"/>
    <n v="4"/>
    <n v="54.55"/>
    <x v="5"/>
    <n v="152.74"/>
    <s v="Mobile Money"/>
  </r>
  <r>
    <s v="ORD-0445"/>
    <x v="163"/>
    <s v="CUST-0126"/>
    <x v="1"/>
    <x v="1"/>
    <x v="1"/>
    <x v="1"/>
    <n v="2"/>
    <n v="288.18"/>
    <x v="4"/>
    <n v="547.54"/>
    <s v="Bank Transfer"/>
  </r>
  <r>
    <s v="ORD-0332"/>
    <x v="164"/>
    <s v="CUST-0115"/>
    <x v="1"/>
    <x v="1"/>
    <x v="0"/>
    <x v="0"/>
    <n v="4"/>
    <n v="208.24"/>
    <x v="3"/>
    <n v="666.37"/>
    <s v="Card"/>
  </r>
  <r>
    <s v="ORD-0198"/>
    <x v="165"/>
    <s v="CUST-0132"/>
    <x v="3"/>
    <x v="3"/>
    <x v="0"/>
    <x v="0"/>
    <n v="6"/>
    <n v="224.94"/>
    <x v="0"/>
    <n v="1214.68"/>
    <s v="Mobile Money"/>
  </r>
  <r>
    <s v="ORD-0589"/>
    <x v="165"/>
    <s v="CUST-0144"/>
    <x v="2"/>
    <x v="2"/>
    <x v="7"/>
    <x v="0"/>
    <n v="8"/>
    <n v="330.19"/>
    <x v="4"/>
    <n v="2509.44"/>
    <s v="Mobile Money"/>
  </r>
  <r>
    <s v="ORD-0548"/>
    <x v="165"/>
    <s v="CUST-0150"/>
    <x v="5"/>
    <x v="4"/>
    <x v="7"/>
    <x v="0"/>
    <n v="6"/>
    <n v="374.8"/>
    <x v="0"/>
    <n v="2023.92"/>
    <s v="Card"/>
  </r>
  <r>
    <s v="ORD-0554"/>
    <x v="166"/>
    <s v="CUST-0145"/>
    <x v="2"/>
    <x v="2"/>
    <x v="10"/>
    <x v="1"/>
    <n v="4"/>
    <n v="946.9"/>
    <x v="2"/>
    <n v="3787.6"/>
    <s v="Mobile Money"/>
  </r>
  <r>
    <s v="ORD-0180"/>
    <x v="166"/>
    <s v="CUST-0050"/>
    <x v="1"/>
    <x v="1"/>
    <x v="10"/>
    <x v="1"/>
    <n v="2"/>
    <n v="895.24"/>
    <x v="2"/>
    <n v="1790.48"/>
    <s v="Card"/>
  </r>
  <r>
    <s v="ORD-0565"/>
    <x v="166"/>
    <s v="CUST-0048"/>
    <x v="4"/>
    <x v="0"/>
    <x v="6"/>
    <x v="1"/>
    <n v="6"/>
    <m/>
    <x v="0"/>
    <n v="593.41"/>
    <s v="Card"/>
  </r>
  <r>
    <s v="ORD-0346"/>
    <x v="166"/>
    <s v="CUST-0145"/>
    <x v="2"/>
    <x v="2"/>
    <x v="8"/>
    <x v="1"/>
    <n v="1"/>
    <n v="42.92"/>
    <x v="0"/>
    <n v="38.630000000000003"/>
    <s v="Bank Transfer"/>
  </r>
  <r>
    <s v="ORD-0568"/>
    <x v="167"/>
    <s v="CUST-0067"/>
    <x v="4"/>
    <x v="0"/>
    <x v="11"/>
    <x v="3"/>
    <n v="2"/>
    <n v="81.069999999999993"/>
    <x v="1"/>
    <n v="137.82"/>
    <s v="Card"/>
  </r>
  <r>
    <s v="ORD-0201"/>
    <x v="167"/>
    <s v="CUST-0150"/>
    <x v="5"/>
    <x v="4"/>
    <x v="7"/>
    <x v="0"/>
    <n v="7"/>
    <n v="318.06"/>
    <x v="2"/>
    <n v="2226.42"/>
    <s v="Card"/>
  </r>
  <r>
    <s v="ORD-0076"/>
    <x v="168"/>
    <s v="CUST-0157"/>
    <x v="0"/>
    <x v="0"/>
    <x v="8"/>
    <x v="1"/>
    <n v="4"/>
    <n v="49.38"/>
    <x v="1"/>
    <n v="167.89"/>
    <s v="Mobile Money"/>
  </r>
  <r>
    <s v="ORD-0473"/>
    <x v="168"/>
    <s v="CUST-0168"/>
    <x v="0"/>
    <x v="0"/>
    <x v="9"/>
    <x v="1"/>
    <n v="4"/>
    <n v="81.81"/>
    <x v="1"/>
    <n v="278.14999999999998"/>
    <s v="Card"/>
  </r>
  <r>
    <s v="ORD-0443"/>
    <x v="168"/>
    <s v="CUST-0003"/>
    <x v="4"/>
    <x v="0"/>
    <x v="8"/>
    <x v="1"/>
    <n v="2"/>
    <n v="42.31"/>
    <x v="4"/>
    <n v="80.39"/>
    <s v="Card"/>
  </r>
  <r>
    <s v="ORD-0563"/>
    <x v="169"/>
    <s v="CUST-0177"/>
    <x v="0"/>
    <x v="0"/>
    <x v="2"/>
    <x v="0"/>
    <n v="2"/>
    <n v="56.32"/>
    <x v="0"/>
    <n v="101.38"/>
    <s v="Mobile Money"/>
  </r>
  <r>
    <s v="ORD-0314"/>
    <x v="169"/>
    <s v="CUST-0143"/>
    <x v="0"/>
    <x v="0"/>
    <x v="1"/>
    <x v="1"/>
    <n v="5"/>
    <n v="279.88"/>
    <x v="4"/>
    <n v="1329.43"/>
    <s v="Bank Transfer"/>
  </r>
  <r>
    <s v="ORD-0155"/>
    <x v="170"/>
    <s v="CUST-0082"/>
    <x v="5"/>
    <x v="4"/>
    <x v="7"/>
    <x v="0"/>
    <n v="7"/>
    <n v="335.81"/>
    <x v="6"/>
    <n v="1763"/>
    <s v="Cash"/>
  </r>
  <r>
    <s v="ORD-0507"/>
    <x v="170"/>
    <s v="CUST-0131"/>
    <x v="1"/>
    <x v="1"/>
    <x v="1"/>
    <x v="1"/>
    <n v="4"/>
    <n v="281.7"/>
    <x v="3"/>
    <n v="901.44"/>
    <s v="Bank Transfer"/>
  </r>
  <r>
    <s v="ORD-0390"/>
    <x v="170"/>
    <s v="CUST-0120"/>
    <x v="0"/>
    <x v="0"/>
    <x v="9"/>
    <x v="1"/>
    <n v="7"/>
    <n v="75.38"/>
    <x v="3"/>
    <n v="422.13"/>
    <s v="Card"/>
  </r>
  <r>
    <s v="ORD-0419"/>
    <x v="171"/>
    <s v="CUST-0057"/>
    <x v="4"/>
    <x v="0"/>
    <x v="2"/>
    <x v="0"/>
    <n v="3"/>
    <n v="52.36"/>
    <x v="4"/>
    <n v="149.22999999999999"/>
    <s v="Cash"/>
  </r>
  <r>
    <s v="ORD-0061"/>
    <x v="172"/>
    <s v="CUST-0086"/>
    <x v="1"/>
    <x v="1"/>
    <x v="6"/>
    <x v="1"/>
    <n v="1"/>
    <n v="117.07"/>
    <x v="0"/>
    <n v="105.36"/>
    <s v="Mobile Money"/>
  </r>
  <r>
    <s v="ORD-0058"/>
    <x v="172"/>
    <s v="CUST-0021"/>
    <x v="4"/>
    <x v="0"/>
    <x v="1"/>
    <x v="1"/>
    <n v="4"/>
    <n v="311.57"/>
    <x v="4"/>
    <n v="1183.97"/>
    <s v="Cash"/>
  </r>
  <r>
    <s v="ORD-0463"/>
    <x v="173"/>
    <s v="CUST-0177"/>
    <x v="0"/>
    <x v="0"/>
    <x v="5"/>
    <x v="2"/>
    <n v="5"/>
    <n v="273.95"/>
    <x v="0"/>
    <n v="1232.78"/>
    <s v="Card"/>
  </r>
  <r>
    <s v="ORD-0578"/>
    <x v="174"/>
    <s v="CUST-0122"/>
    <x v="0"/>
    <x v="0"/>
    <x v="5"/>
    <x v="2"/>
    <n v="5"/>
    <n v="253.4"/>
    <x v="4"/>
    <n v="1203.6500000000001"/>
    <s v="Cash"/>
  </r>
  <r>
    <s v="ORD-0274"/>
    <x v="174"/>
    <s v="CUST-0081"/>
    <x v="2"/>
    <x v="2"/>
    <x v="11"/>
    <x v="3"/>
    <n v="8"/>
    <n v="68.53"/>
    <x v="0"/>
    <n v="493.42"/>
    <s v="Card"/>
  </r>
  <r>
    <s v="ORD-0303"/>
    <x v="174"/>
    <s v="CUST-0135"/>
    <x v="3"/>
    <x v="3"/>
    <x v="0"/>
    <x v="0"/>
    <n v="5"/>
    <n v="201.03"/>
    <x v="2"/>
    <n v="1005.15"/>
    <s v="Card"/>
  </r>
  <r>
    <s v="ORD-0436"/>
    <x v="175"/>
    <s v="CUST-0068"/>
    <x v="0"/>
    <x v="0"/>
    <x v="5"/>
    <x v="2"/>
    <n v="1"/>
    <n v="233.76"/>
    <x v="3"/>
    <n v="187.01"/>
    <s v="Card"/>
  </r>
  <r>
    <s v="ORD-0592"/>
    <x v="175"/>
    <s v="CUST-0167"/>
    <x v="3"/>
    <x v="3"/>
    <x v="6"/>
    <x v="1"/>
    <n v="6"/>
    <n v="126.06"/>
    <x v="0"/>
    <n v="680.72"/>
    <s v="Mobile Money"/>
  </r>
  <r>
    <s v="ORD-0016"/>
    <x v="176"/>
    <s v="CUST-0151"/>
    <x v="2"/>
    <x v="2"/>
    <x v="6"/>
    <x v="1"/>
    <n v="7"/>
    <n v="129.5"/>
    <x v="0"/>
    <n v="815.85"/>
    <s v="Mobile Money"/>
  </r>
  <r>
    <s v="ORD-0136"/>
    <x v="177"/>
    <s v="CUST-0055"/>
    <x v="5"/>
    <x v="4"/>
    <x v="9"/>
    <x v="1"/>
    <n v="6"/>
    <n v="85.28"/>
    <x v="0"/>
    <n v="460.51"/>
    <s v="Mobile Money"/>
  </r>
  <r>
    <s v="ORD-0023"/>
    <x v="178"/>
    <s v="CUST-0129"/>
    <x v="5"/>
    <x v="4"/>
    <x v="4"/>
    <x v="2"/>
    <n v="1"/>
    <n v="16.43"/>
    <x v="0"/>
    <n v="14.79"/>
    <s v="Card"/>
  </r>
  <r>
    <s v="ORD-0129"/>
    <x v="178"/>
    <s v="CUST-0141"/>
    <x v="2"/>
    <x v="2"/>
    <x v="11"/>
    <x v="3"/>
    <n v="4"/>
    <n v="75.53"/>
    <x v="2"/>
    <n v="302.12"/>
    <s v="Card"/>
  </r>
  <r>
    <s v="ORD-0140"/>
    <x v="178"/>
    <s v="CUST-0114"/>
    <x v="1"/>
    <x v="1"/>
    <x v="10"/>
    <x v="1"/>
    <n v="2"/>
    <n v="911.84"/>
    <x v="5"/>
    <n v="1276.58"/>
    <s v="Mobile Money"/>
  </r>
  <r>
    <s v="ORD-0412"/>
    <x v="178"/>
    <s v="CUST-0153"/>
    <x v="3"/>
    <x v="3"/>
    <x v="5"/>
    <x v="2"/>
    <n v="3"/>
    <n v="244.13"/>
    <x v="4"/>
    <n v="695.77"/>
    <s v="Card"/>
  </r>
  <r>
    <s v="ORD-0113"/>
    <x v="179"/>
    <s v="CUST-0053"/>
    <x v="5"/>
    <x v="4"/>
    <x v="11"/>
    <x v="3"/>
    <n v="1"/>
    <n v="78.709999999999994"/>
    <x v="0"/>
    <n v="70.84"/>
    <s v="Card"/>
  </r>
  <r>
    <s v="ORD-0414"/>
    <x v="179"/>
    <s v="CUST-0045"/>
    <x v="3"/>
    <x v="3"/>
    <x v="1"/>
    <x v="1"/>
    <n v="4"/>
    <n v="320.82"/>
    <x v="2"/>
    <n v="1283.28"/>
    <s v="Bank Transfer"/>
  </r>
  <r>
    <s v="ORD-0474"/>
    <x v="179"/>
    <s v="CUST-0110"/>
    <x v="3"/>
    <x v="3"/>
    <x v="7"/>
    <x v="0"/>
    <n v="7"/>
    <n v="318.5"/>
    <x v="6"/>
    <n v="1672.12"/>
    <s v="Card"/>
  </r>
  <r>
    <s v="ORD-0170"/>
    <x v="180"/>
    <s v="CUST-0124"/>
    <x v="5"/>
    <x v="4"/>
    <x v="5"/>
    <x v="2"/>
    <n v="1"/>
    <n v="241.45"/>
    <x v="6"/>
    <n v="181.09"/>
    <s v="Bank Transfer"/>
  </r>
  <r>
    <s v="ORD-0148"/>
    <x v="181"/>
    <s v="CUST-0081"/>
    <x v="5"/>
    <x v="4"/>
    <x v="7"/>
    <x v="0"/>
    <n v="8"/>
    <n v="330.05"/>
    <x v="2"/>
    <n v="2640.4"/>
    <s v="Card"/>
  </r>
  <r>
    <s v="ORD-0072"/>
    <x v="181"/>
    <s v="CUST-0147"/>
    <x v="1"/>
    <x v="1"/>
    <x v="7"/>
    <x v="0"/>
    <n v="8"/>
    <n v="351.94"/>
    <x v="5"/>
    <n v="1970.86"/>
    <s v="Card"/>
  </r>
  <r>
    <s v="ORD-0290"/>
    <x v="181"/>
    <s v="CUST-0154"/>
    <x v="2"/>
    <x v="2"/>
    <x v="5"/>
    <x v="2"/>
    <n v="4"/>
    <n v="244.27"/>
    <x v="1"/>
    <n v="830.52"/>
    <s v="Bank Transfer"/>
  </r>
  <r>
    <s v="ORD-0102"/>
    <x v="182"/>
    <s v="CUST-0036"/>
    <x v="5"/>
    <x v="4"/>
    <x v="9"/>
    <x v="1"/>
    <n v="7"/>
    <n v="85.48"/>
    <x v="2"/>
    <n v="598.36"/>
    <s v="Card"/>
  </r>
  <r>
    <s v="ORD-0150"/>
    <x v="182"/>
    <s v="CUST-0108"/>
    <x v="4"/>
    <x v="0"/>
    <x v="4"/>
    <x v="2"/>
    <n v="8"/>
    <n v="14.8"/>
    <x v="4"/>
    <n v="112.48"/>
    <s v="Bank Transfer"/>
  </r>
  <r>
    <s v="ORD-0292"/>
    <x v="182"/>
    <s v="CUST-0080"/>
    <x v="4"/>
    <x v="0"/>
    <x v="10"/>
    <x v="1"/>
    <n v="7"/>
    <n v="967.37"/>
    <x v="0"/>
    <n v="6094.43"/>
    <s v="Bank Transfer"/>
  </r>
  <r>
    <s v="ORD-0465"/>
    <x v="183"/>
    <s v="CUST-0020"/>
    <x v="3"/>
    <x v="3"/>
    <x v="11"/>
    <x v="3"/>
    <n v="2"/>
    <n v="76.55"/>
    <x v="2"/>
    <n v="153.1"/>
    <s v="Card"/>
  </r>
  <r>
    <s v="ORD-0529"/>
    <x v="183"/>
    <s v="CUST-0066"/>
    <x v="2"/>
    <x v="2"/>
    <x v="9"/>
    <x v="1"/>
    <n v="2"/>
    <n v="78.430000000000007"/>
    <x v="2"/>
    <n v="156.86000000000001"/>
    <s v="Mobile Money"/>
  </r>
  <r>
    <s v="ORD-0097"/>
    <x v="184"/>
    <s v="CUST-0086"/>
    <x v="2"/>
    <x v="2"/>
    <x v="8"/>
    <x v="1"/>
    <n v="7"/>
    <n v="43.9"/>
    <x v="2"/>
    <n v="307.3"/>
    <s v="Card"/>
  </r>
  <r>
    <s v="ORD-0272"/>
    <x v="185"/>
    <s v="CUST-0058"/>
    <x v="3"/>
    <x v="3"/>
    <x v="6"/>
    <x v="1"/>
    <n v="8"/>
    <n v="110.53"/>
    <x v="2"/>
    <n v="884.24"/>
    <s v="Mobile Money"/>
  </r>
  <r>
    <s v="ORD-0269"/>
    <x v="185"/>
    <s v="CUST-0021"/>
    <x v="5"/>
    <x v="4"/>
    <x v="3"/>
    <x v="1"/>
    <n v="4"/>
    <n v="594.92999999999995"/>
    <x v="4"/>
    <n v="2260.73"/>
    <s v="Cash"/>
  </r>
  <r>
    <s v="ORD-0391"/>
    <x v="186"/>
    <s v="CUST-0158"/>
    <x v="4"/>
    <x v="0"/>
    <x v="4"/>
    <x v="2"/>
    <n v="6"/>
    <n v="14.46"/>
    <x v="0"/>
    <n v="78.08"/>
    <s v="Card"/>
  </r>
  <r>
    <s v="ORD-0267"/>
    <x v="186"/>
    <s v="CUST-0180"/>
    <x v="2"/>
    <x v="2"/>
    <x v="0"/>
    <x v="0"/>
    <n v="2"/>
    <n v="212.29"/>
    <x v="1"/>
    <n v="360.89"/>
    <s v="Mobile Money"/>
  </r>
  <r>
    <s v="ORD-0177"/>
    <x v="186"/>
    <s v="CUST-0017"/>
    <x v="2"/>
    <x v="2"/>
    <x v="2"/>
    <x v="0"/>
    <n v="7"/>
    <n v="51.62"/>
    <x v="2"/>
    <n v="361.34"/>
    <s v="Card"/>
  </r>
  <r>
    <s v="ORD-0217"/>
    <x v="187"/>
    <s v="CUST-0124"/>
    <x v="3"/>
    <x v="3"/>
    <x v="0"/>
    <x v="0"/>
    <n v="7"/>
    <n v="199.32"/>
    <x v="4"/>
    <n v="1325.48"/>
    <s v="Bank Transfer"/>
  </r>
  <r>
    <s v="ORD-0531"/>
    <x v="188"/>
    <s v="CUST-0007"/>
    <x v="2"/>
    <x v="2"/>
    <x v="10"/>
    <x v="1"/>
    <n v="8"/>
    <n v="920.94"/>
    <x v="4"/>
    <n v="6999.14"/>
    <s v="Mobile Money"/>
  </r>
  <r>
    <s v="ORD-0189"/>
    <x v="189"/>
    <s v="CUST-0084"/>
    <x v="5"/>
    <x v="4"/>
    <x v="0"/>
    <x v="0"/>
    <n v="6"/>
    <n v="218.33"/>
    <x v="2"/>
    <n v="1309.98"/>
    <s v="Mobile Money"/>
  </r>
  <r>
    <s v="ORD-0099"/>
    <x v="189"/>
    <s v="CUST-0083"/>
    <x v="2"/>
    <x v="2"/>
    <x v="0"/>
    <x v="0"/>
    <n v="7"/>
    <n v="230.42"/>
    <x v="0"/>
    <n v="1451.65"/>
    <s v="Mobile Money"/>
  </r>
  <r>
    <s v="ORD-0250"/>
    <x v="190"/>
    <s v="CUST-0066"/>
    <x v="2"/>
    <x v="2"/>
    <x v="0"/>
    <x v="0"/>
    <n v="2"/>
    <n v="200.78"/>
    <x v="2"/>
    <n v="401.56"/>
    <s v="Card"/>
  </r>
  <r>
    <s v="ORD-0485"/>
    <x v="190"/>
    <s v="CUST-0055"/>
    <x v="2"/>
    <x v="2"/>
    <x v="8"/>
    <x v="1"/>
    <n v="5"/>
    <n v="47.18"/>
    <x v="2"/>
    <n v="235.9"/>
    <s v="Bank Transfer"/>
  </r>
  <r>
    <s v="ORD-0144"/>
    <x v="190"/>
    <s v="CUST-0053"/>
    <x v="0"/>
    <x v="0"/>
    <x v="4"/>
    <x v="2"/>
    <n v="1"/>
    <n v="14.3"/>
    <x v="1"/>
    <n v="12.16"/>
    <s v="Card"/>
  </r>
  <r>
    <s v="ORD-0509"/>
    <x v="190"/>
    <s v="CUST-0130"/>
    <x v="4"/>
    <x v="0"/>
    <x v="4"/>
    <x v="2"/>
    <n v="6"/>
    <n v="14.66"/>
    <x v="0"/>
    <n v="79.16"/>
    <s v="Card"/>
  </r>
  <r>
    <s v="ORD-0586"/>
    <x v="191"/>
    <s v="CUST-0163"/>
    <x v="1"/>
    <x v="1"/>
    <x v="1"/>
    <x v="1"/>
    <n v="8"/>
    <n v="284.35000000000002"/>
    <x v="0"/>
    <n v="2047.32"/>
    <s v="Bank Transfer"/>
  </r>
  <r>
    <s v="ORD-0444"/>
    <x v="191"/>
    <s v="CUST-0169"/>
    <x v="5"/>
    <x v="4"/>
    <x v="11"/>
    <x v="3"/>
    <n v="7"/>
    <n v="70.37"/>
    <x v="4"/>
    <n v="467.96"/>
    <s v="Bank Transfer"/>
  </r>
  <r>
    <s v="ORD-0065"/>
    <x v="191"/>
    <s v="CUST-0076"/>
    <x v="5"/>
    <x v="4"/>
    <x v="5"/>
    <x v="2"/>
    <n v="5"/>
    <n v="261.85000000000002"/>
    <x v="0"/>
    <n v="1178.32"/>
    <s v="Bank Transfer"/>
  </r>
  <r>
    <s v="ORD-0025"/>
    <x v="192"/>
    <s v="CUST-0144"/>
    <x v="4"/>
    <x v="0"/>
    <x v="11"/>
    <x v="3"/>
    <n v="8"/>
    <n v="74.55"/>
    <x v="5"/>
    <n v="417.48"/>
    <s v="Card"/>
  </r>
  <r>
    <s v="ORD-0482"/>
    <x v="193"/>
    <s v="CUST-0121"/>
    <x v="0"/>
    <x v="0"/>
    <x v="11"/>
    <x v="3"/>
    <n v="8"/>
    <n v="81.41"/>
    <x v="2"/>
    <n v="651.28"/>
    <s v="Bank Transfer"/>
  </r>
  <r>
    <s v="ORD-0379"/>
    <x v="193"/>
    <s v="CUST-0179"/>
    <x v="2"/>
    <x v="2"/>
    <x v="9"/>
    <x v="1"/>
    <n v="7"/>
    <n v="78.180000000000007"/>
    <x v="0"/>
    <n v="492.53"/>
    <s v="Mobile Money"/>
  </r>
  <r>
    <s v="ORD-0205"/>
    <x v="194"/>
    <s v="CUST-0115"/>
    <x v="4"/>
    <x v="0"/>
    <x v="0"/>
    <x v="0"/>
    <n v="2"/>
    <n v="224.3"/>
    <x v="3"/>
    <n v="358.88"/>
    <s v="Mobile Money"/>
  </r>
  <r>
    <s v="ORD-0368"/>
    <x v="195"/>
    <s v="CUST-0030"/>
    <x v="0"/>
    <x v="0"/>
    <x v="4"/>
    <x v="2"/>
    <n v="2"/>
    <n v="14.69"/>
    <x v="4"/>
    <n v="27.91"/>
    <s v="Card"/>
  </r>
  <r>
    <s v="ORD-0349"/>
    <x v="195"/>
    <s v="CUST-0177"/>
    <x v="0"/>
    <x v="0"/>
    <x v="9"/>
    <x v="1"/>
    <n v="3"/>
    <n v="85.5"/>
    <x v="4"/>
    <n v="243.68"/>
    <s v="Mobile Money"/>
  </r>
  <r>
    <s v="ORD-0583"/>
    <x v="195"/>
    <s v="CUST-0163"/>
    <x v="4"/>
    <x v="0"/>
    <x v="9"/>
    <x v="1"/>
    <n v="5"/>
    <n v="81.22"/>
    <x v="1"/>
    <n v="345.18"/>
    <s v="Bank Transfer"/>
  </r>
  <r>
    <s v="ORD-0321"/>
    <x v="196"/>
    <s v="CUST-0019"/>
    <x v="5"/>
    <x v="4"/>
    <x v="2"/>
    <x v="0"/>
    <n v="8"/>
    <n v="51.17"/>
    <x v="0"/>
    <n v="368.42"/>
    <s v="Mobile Money"/>
  </r>
  <r>
    <s v="ORD-0376"/>
    <x v="196"/>
    <s v="CUST-0149"/>
    <x v="4"/>
    <x v="0"/>
    <x v="4"/>
    <x v="2"/>
    <n v="5"/>
    <n v="15.3"/>
    <x v="4"/>
    <n v="72.680000000000007"/>
    <s v="Mobile Money"/>
  </r>
  <r>
    <s v="ORD-0490"/>
    <x v="196"/>
    <s v="CUST-0033"/>
    <x v="1"/>
    <x v="1"/>
    <x v="7"/>
    <x v="0"/>
    <n v="2"/>
    <n v="352.23"/>
    <x v="3"/>
    <n v="563.57000000000005"/>
    <s v="Card"/>
  </r>
  <r>
    <s v="ORD-0564"/>
    <x v="197"/>
    <s v="CUST-0083"/>
    <x v="4"/>
    <x v="0"/>
    <x v="5"/>
    <x v="2"/>
    <n v="5"/>
    <n v="225.51"/>
    <x v="1"/>
    <n v="958.42"/>
    <s v="Bank Transfer"/>
  </r>
  <r>
    <s v="ORD-0427"/>
    <x v="197"/>
    <s v="CUST-0008"/>
    <x v="1"/>
    <x v="1"/>
    <x v="4"/>
    <x v="2"/>
    <n v="5"/>
    <n v="16.329999999999998"/>
    <x v="6"/>
    <n v="61.24"/>
    <s v="Mobile Money"/>
  </r>
  <r>
    <s v="ORD-0596"/>
    <x v="197"/>
    <s v="CUST-0011"/>
    <x v="0"/>
    <x v="0"/>
    <x v="11"/>
    <x v="3"/>
    <n v="8"/>
    <n v="79.58"/>
    <x v="6"/>
    <n v="477.48"/>
    <s v="Card"/>
  </r>
  <r>
    <s v="ORD-0248"/>
    <x v="198"/>
    <s v="CUST-0108"/>
    <x v="5"/>
    <x v="4"/>
    <x v="1"/>
    <x v="1"/>
    <n v="4"/>
    <n v="328.45"/>
    <x v="2"/>
    <n v="1313.8"/>
    <s v="Bank Transfer"/>
  </r>
  <r>
    <s v="ORD-0329"/>
    <x v="198"/>
    <s v="CUST-0156"/>
    <x v="4"/>
    <x v="0"/>
    <x v="10"/>
    <x v="1"/>
    <n v="4"/>
    <n v="943.07"/>
    <x v="2"/>
    <n v="3772.28"/>
    <s v="Card"/>
  </r>
  <r>
    <s v="ORD-0442"/>
    <x v="199"/>
    <s v="CUST-0054"/>
    <x v="2"/>
    <x v="2"/>
    <x v="7"/>
    <x v="0"/>
    <n v="7"/>
    <n v="323.95"/>
    <x v="1"/>
    <n v="1927.5"/>
    <s v="Card"/>
  </r>
  <r>
    <s v="ORD-0585"/>
    <x v="199"/>
    <s v="CUST-0014"/>
    <x v="4"/>
    <x v="0"/>
    <x v="11"/>
    <x v="3"/>
    <n v="6"/>
    <n v="77.31"/>
    <x v="1"/>
    <n v="394.28"/>
    <s v="Card"/>
  </r>
  <r>
    <s v="ORD-0374"/>
    <x v="199"/>
    <s v="CUST-0152"/>
    <x v="2"/>
    <x v="2"/>
    <x v="6"/>
    <x v="1"/>
    <n v="5"/>
    <n v="131.85"/>
    <x v="3"/>
    <n v="527.4"/>
    <s v="Mobile Money"/>
  </r>
  <r>
    <s v="ORD-0086"/>
    <x v="199"/>
    <s v="CUST-0166"/>
    <x v="3"/>
    <x v="3"/>
    <x v="3"/>
    <x v="1"/>
    <n v="6"/>
    <n v="657.13"/>
    <x v="2"/>
    <n v="3942.78"/>
    <s v="Bank Transfer"/>
  </r>
  <r>
    <s v="ORD-0580"/>
    <x v="199"/>
    <s v="CUST-0170"/>
    <x v="0"/>
    <x v="0"/>
    <x v="10"/>
    <x v="1"/>
    <n v="7"/>
    <n v="849.29"/>
    <x v="5"/>
    <n v="4161.5200000000004"/>
    <s v="Mobile Money"/>
  </r>
  <r>
    <s v="ORD-0052"/>
    <x v="200"/>
    <s v="CUST-0010"/>
    <x v="0"/>
    <x v="0"/>
    <x v="7"/>
    <x v="0"/>
    <n v="7"/>
    <n v="339.24"/>
    <x v="0"/>
    <n v="2137.21"/>
    <s v="Mobile Money"/>
  </r>
  <r>
    <s v="ORD-0204"/>
    <x v="200"/>
    <s v="CUST-0117"/>
    <x v="1"/>
    <x v="1"/>
    <x v="0"/>
    <x v="0"/>
    <n v="4"/>
    <n v="199.76"/>
    <x v="3"/>
    <n v="639.23"/>
    <s v="Mobile Money"/>
  </r>
  <r>
    <s v="ORD-0572"/>
    <x v="200"/>
    <s v="CUST-0110"/>
    <x v="1"/>
    <x v="1"/>
    <x v="7"/>
    <x v="0"/>
    <n v="6"/>
    <n v="349.01"/>
    <x v="2"/>
    <n v="2094.06"/>
    <s v="Mobile Money"/>
  </r>
  <r>
    <s v="ORD-0213"/>
    <x v="201"/>
    <s v="CUST-0148"/>
    <x v="1"/>
    <x v="1"/>
    <x v="9"/>
    <x v="1"/>
    <n v="4"/>
    <n v="79.14"/>
    <x v="3"/>
    <n v="253.25"/>
    <s v="Mobile Money"/>
  </r>
  <r>
    <s v="ORD-0159"/>
    <x v="201"/>
    <s v="CUST-0013"/>
    <x v="2"/>
    <x v="2"/>
    <x v="2"/>
    <x v="0"/>
    <n v="6"/>
    <n v="54.09"/>
    <x v="0"/>
    <n v="292.08999999999997"/>
    <s v="Cash"/>
  </r>
  <r>
    <s v="ORD-0261"/>
    <x v="202"/>
    <s v="CUST-0097"/>
    <x v="0"/>
    <x v="0"/>
    <x v="8"/>
    <x v="1"/>
    <n v="4"/>
    <n v="43.23"/>
    <x v="2"/>
    <n v="172.92"/>
    <s v="Mobile Money"/>
  </r>
  <r>
    <s v="ORD-0084"/>
    <x v="203"/>
    <s v="CUST-0047"/>
    <x v="1"/>
    <x v="1"/>
    <x v="2"/>
    <x v="0"/>
    <n v="5"/>
    <n v="50.47"/>
    <x v="3"/>
    <n v="201.88"/>
    <s v="Mobile Money"/>
  </r>
  <r>
    <s v="ORD-0134"/>
    <x v="203"/>
    <s v="CUST-0072"/>
    <x v="5"/>
    <x v="4"/>
    <x v="9"/>
    <x v="1"/>
    <n v="1"/>
    <n v="80.83"/>
    <x v="4"/>
    <n v="76.790000000000006"/>
    <s v="Card"/>
  </r>
  <r>
    <s v="ORD-0520"/>
    <x v="204"/>
    <s v="CUST-0099"/>
    <x v="0"/>
    <x v="0"/>
    <x v="9"/>
    <x v="1"/>
    <n v="2"/>
    <n v="83.3"/>
    <x v="4"/>
    <n v="158.27000000000001"/>
    <s v="Card"/>
  </r>
  <r>
    <s v="ORD-0532"/>
    <x v="204"/>
    <s v="CUST-0073"/>
    <x v="2"/>
    <x v="2"/>
    <x v="4"/>
    <x v="2"/>
    <n v="7"/>
    <n v="15.55"/>
    <x v="4"/>
    <n v="103.41"/>
    <s v="Bank Transfer"/>
  </r>
  <r>
    <s v="ORD-0598"/>
    <x v="204"/>
    <s v="CUST-0030"/>
    <x v="4"/>
    <x v="0"/>
    <x v="8"/>
    <x v="1"/>
    <n v="7"/>
    <n v="41.09"/>
    <x v="3"/>
    <n v="230.1"/>
    <s v="Card"/>
  </r>
  <r>
    <s v="ORD-0481"/>
    <x v="204"/>
    <s v="CUST-0135"/>
    <x v="1"/>
    <x v="1"/>
    <x v="11"/>
    <x v="3"/>
    <n v="8"/>
    <n v="74.16"/>
    <x v="2"/>
    <n v="593.28"/>
    <s v="Card"/>
  </r>
  <r>
    <s v="ORD-0185"/>
    <x v="205"/>
    <s v="CUST-0058"/>
    <x v="5"/>
    <x v="4"/>
    <x v="7"/>
    <x v="0"/>
    <n v="3"/>
    <n v="382.52"/>
    <x v="1"/>
    <n v="975.43"/>
    <s v="Mobile Money"/>
  </r>
  <r>
    <s v="ORD-0514"/>
    <x v="205"/>
    <s v="CUST-0165"/>
    <x v="0"/>
    <x v="0"/>
    <x v="0"/>
    <x v="0"/>
    <n v="2"/>
    <n v="228.75"/>
    <x v="4"/>
    <n v="434.62"/>
    <s v="Mobile Money"/>
  </r>
  <r>
    <s v="ORD-0291"/>
    <x v="206"/>
    <s v="CUST-0057"/>
    <x v="4"/>
    <x v="0"/>
    <x v="7"/>
    <x v="0"/>
    <n v="6"/>
    <n v="363.69"/>
    <x v="2"/>
    <n v="2182.14"/>
    <s v="Mobile Money"/>
  </r>
  <r>
    <s v="ORD-0426"/>
    <x v="206"/>
    <s v="CUST-0108"/>
    <x v="2"/>
    <x v="2"/>
    <x v="3"/>
    <x v="1"/>
    <n v="3"/>
    <n v="607.89"/>
    <x v="4"/>
    <n v="1732.49"/>
    <s v="Card"/>
  </r>
  <r>
    <s v="ORD-0164"/>
    <x v="206"/>
    <s v="CUST-0059"/>
    <x v="5"/>
    <x v="4"/>
    <x v="9"/>
    <x v="1"/>
    <n v="3"/>
    <n v="86.46"/>
    <x v="5"/>
    <n v="181.57"/>
    <m/>
  </r>
  <r>
    <s v="ORD-0209"/>
    <x v="207"/>
    <s v="CUST-0168"/>
    <x v="0"/>
    <x v="0"/>
    <x v="10"/>
    <x v="1"/>
    <n v="3"/>
    <n v="866.19"/>
    <x v="0"/>
    <n v="2338.71"/>
    <s v="Bank Transfer"/>
  </r>
  <r>
    <s v="ORD-0117"/>
    <x v="207"/>
    <s v="CUST-0157"/>
    <x v="2"/>
    <x v="2"/>
    <x v="0"/>
    <x v="0"/>
    <n v="5"/>
    <n v="203.61"/>
    <x v="0"/>
    <n v="916.25"/>
    <s v="Bank Transfer"/>
  </r>
  <r>
    <s v="ORD-0173"/>
    <x v="208"/>
    <s v="CUST-0147"/>
    <x v="1"/>
    <x v="1"/>
    <x v="9"/>
    <x v="1"/>
    <n v="8"/>
    <n v="82.85"/>
    <x v="0"/>
    <n v="596.52"/>
    <s v="Card"/>
  </r>
  <r>
    <s v="ORD-0582"/>
    <x v="208"/>
    <s v="CUST-0163"/>
    <x v="4"/>
    <x v="0"/>
    <x v="5"/>
    <x v="2"/>
    <n v="5"/>
    <n v="229.23"/>
    <x v="0"/>
    <n v="1031.53"/>
    <s v="Mobile Money"/>
  </r>
  <r>
    <s v="ORD-0319"/>
    <x v="209"/>
    <s v="CUST-0080"/>
    <x v="1"/>
    <x v="1"/>
    <x v="9"/>
    <x v="1"/>
    <n v="2"/>
    <n v="74.53"/>
    <x v="1"/>
    <n v="126.7"/>
    <s v="Bank Transfer"/>
  </r>
  <r>
    <s v="ORD-0028"/>
    <x v="209"/>
    <s v="CUST-0144"/>
    <x v="3"/>
    <x v="3"/>
    <x v="8"/>
    <x v="1"/>
    <n v="1"/>
    <n v="42.38"/>
    <x v="0"/>
    <n v="38.14"/>
    <s v="Mobile Money"/>
  </r>
  <r>
    <s v="ORD-0477"/>
    <x v="210"/>
    <s v="CUST-0179"/>
    <x v="1"/>
    <x v="1"/>
    <x v="6"/>
    <x v="1"/>
    <n v="2"/>
    <n v="120.33"/>
    <x v="4"/>
    <n v="228.63"/>
    <s v="Cash"/>
  </r>
  <r>
    <s v="ORD-0042"/>
    <x v="210"/>
    <s v="CUST-0144"/>
    <x v="3"/>
    <x v="3"/>
    <x v="2"/>
    <x v="0"/>
    <n v="2"/>
    <n v="49.56"/>
    <x v="1"/>
    <n v="84.25"/>
    <s v="Card"/>
  </r>
  <r>
    <s v="ORD-0384"/>
    <x v="210"/>
    <s v="CUST-0026"/>
    <x v="4"/>
    <x v="0"/>
    <x v="9"/>
    <x v="1"/>
    <n v="6"/>
    <n v="87.32"/>
    <x v="2"/>
    <n v="523.91999999999996"/>
    <s v="Cash"/>
  </r>
  <r>
    <s v="ORD-0533"/>
    <x v="210"/>
    <s v="CUST-0095"/>
    <x v="5"/>
    <x v="4"/>
    <x v="0"/>
    <x v="0"/>
    <n v="5"/>
    <n v="237.48"/>
    <x v="1"/>
    <n v="1009.29"/>
    <s v="Cash"/>
  </r>
  <r>
    <s v="ORD-0152"/>
    <x v="210"/>
    <s v="CUST-0149"/>
    <x v="5"/>
    <x v="4"/>
    <x v="1"/>
    <x v="1"/>
    <n v="1"/>
    <n v="281.11"/>
    <x v="0"/>
    <n v="253"/>
    <s v="Bank Transfer"/>
  </r>
  <r>
    <s v="ORD-0006"/>
    <x v="210"/>
    <s v="CUST-0175"/>
    <x v="5"/>
    <x v="4"/>
    <x v="3"/>
    <x v="1"/>
    <n v="2"/>
    <n v="624.6"/>
    <x v="2"/>
    <n v="1249.2"/>
    <s v="Mobile Money"/>
  </r>
  <r>
    <s v="ORD-0062"/>
    <x v="211"/>
    <s v="CUST-0028"/>
    <x v="4"/>
    <x v="0"/>
    <x v="6"/>
    <x v="1"/>
    <n v="1"/>
    <n v="109.28"/>
    <x v="6"/>
    <n v="81.96"/>
    <s v="Bank Transfer"/>
  </r>
  <r>
    <s v="ORD-0226"/>
    <x v="211"/>
    <s v="CUST-0003"/>
    <x v="0"/>
    <x v="0"/>
    <x v="4"/>
    <x v="2"/>
    <n v="3"/>
    <n v="14.01"/>
    <x v="1"/>
    <n v="35.729999999999997"/>
    <s v="Bank Transfer"/>
  </r>
  <r>
    <s v="ORD-0276"/>
    <x v="212"/>
    <s v="CUST-0149"/>
    <x v="4"/>
    <x v="0"/>
    <x v="8"/>
    <x v="1"/>
    <n v="1"/>
    <n v="49.14"/>
    <x v="0"/>
    <n v="44.23"/>
    <s v="Bank Transfer"/>
  </r>
  <r>
    <s v="ORD-0540"/>
    <x v="212"/>
    <s v="CUST-0168"/>
    <x v="1"/>
    <x v="1"/>
    <x v="4"/>
    <x v="2"/>
    <n v="4"/>
    <n v="15.35"/>
    <x v="2"/>
    <n v="61.4"/>
    <s v="Mobile Money"/>
  </r>
  <r>
    <s v="ORD-0259"/>
    <x v="212"/>
    <s v="CUST-0089"/>
    <x v="0"/>
    <x v="0"/>
    <x v="3"/>
    <x v="1"/>
    <n v="4"/>
    <n v="632.41999999999996"/>
    <x v="0"/>
    <n v="2276.71"/>
    <s v="Mobile Money"/>
  </r>
  <r>
    <s v="ORD-0577"/>
    <x v="213"/>
    <s v="CUST-0108"/>
    <x v="4"/>
    <x v="0"/>
    <x v="4"/>
    <x v="2"/>
    <n v="8"/>
    <n v="15.85"/>
    <x v="1"/>
    <n v="107.78"/>
    <s v="Mobile Money"/>
  </r>
  <r>
    <s v="ORD-0192"/>
    <x v="213"/>
    <s v="CUST-0179"/>
    <x v="2"/>
    <x v="2"/>
    <x v="11"/>
    <x v="3"/>
    <n v="8"/>
    <n v="77.349999999999994"/>
    <x v="1"/>
    <n v="525.98"/>
    <s v="Cash"/>
  </r>
  <r>
    <s v="ORD-0153"/>
    <x v="214"/>
    <s v="CUST-0143"/>
    <x v="1"/>
    <x v="1"/>
    <x v="7"/>
    <x v="0"/>
    <n v="6"/>
    <n v="359.61"/>
    <x v="5"/>
    <n v="1510.36"/>
    <s v="Cash"/>
  </r>
  <r>
    <s v="ORD-0046"/>
    <x v="215"/>
    <s v="CUST-0114"/>
    <x v="0"/>
    <x v="0"/>
    <x v="0"/>
    <x v="0"/>
    <n v="6"/>
    <n v="221.79"/>
    <x v="1"/>
    <n v="1131.1300000000001"/>
    <s v="Bank Transfer"/>
  </r>
  <r>
    <s v="ORD-0512"/>
    <x v="215"/>
    <s v="CUST-0155"/>
    <x v="1"/>
    <x v="1"/>
    <x v="10"/>
    <x v="1"/>
    <n v="6"/>
    <n v="858.51"/>
    <x v="2"/>
    <n v="5151.0600000000004"/>
    <s v="Mobile Money"/>
  </r>
  <r>
    <s v="ORD-0044"/>
    <x v="216"/>
    <s v="CUST-0054"/>
    <x v="2"/>
    <x v="2"/>
    <x v="11"/>
    <x v="3"/>
    <n v="2"/>
    <n v="80.41"/>
    <x v="4"/>
    <n v="152.78"/>
    <s v="Card"/>
  </r>
  <r>
    <s v="ORD-0552"/>
    <x v="217"/>
    <s v="CUST-0152"/>
    <x v="5"/>
    <x v="4"/>
    <x v="3"/>
    <x v="1"/>
    <n v="1"/>
    <n v="666.55"/>
    <x v="1"/>
    <n v="566.57000000000005"/>
    <s v="Card"/>
  </r>
  <r>
    <s v="ORD-0096"/>
    <x v="218"/>
    <s v="CUST-0038"/>
    <x v="0"/>
    <x v="0"/>
    <x v="6"/>
    <x v="1"/>
    <n v="7"/>
    <n v="128.27000000000001"/>
    <x v="1"/>
    <n v="763.21"/>
    <s v="Card"/>
  </r>
  <r>
    <s v="ORD-0005"/>
    <x v="218"/>
    <s v="CUST-0132"/>
    <x v="2"/>
    <x v="2"/>
    <x v="8"/>
    <x v="1"/>
    <n v="3"/>
    <n v="48.24"/>
    <x v="1"/>
    <n v="123.01"/>
    <s v="Mobile Money"/>
  </r>
  <r>
    <s v="ORD-0186"/>
    <x v="218"/>
    <s v="CUST-0015"/>
    <x v="5"/>
    <x v="4"/>
    <x v="3"/>
    <x v="1"/>
    <n v="5"/>
    <n v="611.04999999999995"/>
    <x v="3"/>
    <n v="2444.1999999999998"/>
    <s v="Bank Transfer"/>
  </r>
  <r>
    <s v="ORD-0230"/>
    <x v="219"/>
    <s v="CUST-0034"/>
    <x v="5"/>
    <x v="4"/>
    <x v="8"/>
    <x v="1"/>
    <n v="4"/>
    <n v="48.84"/>
    <x v="2"/>
    <n v="195.36"/>
    <s v="Cash"/>
  </r>
  <r>
    <s v="ORD-0215"/>
    <x v="220"/>
    <s v="CUST-0043"/>
    <x v="2"/>
    <x v="2"/>
    <x v="7"/>
    <x v="0"/>
    <n v="3"/>
    <n v="337.13"/>
    <x v="0"/>
    <n v="910.25"/>
    <s v="Card"/>
  </r>
  <r>
    <s v="ORD-0383"/>
    <x v="221"/>
    <s v="CUST-0169"/>
    <x v="2"/>
    <x v="2"/>
    <x v="11"/>
    <x v="3"/>
    <n v="3"/>
    <n v="80.58"/>
    <x v="0"/>
    <n v="217.57"/>
    <s v="Mobile Money"/>
  </r>
  <r>
    <s v="ORD-0326"/>
    <x v="221"/>
    <s v="CUST-0156"/>
    <x v="4"/>
    <x v="0"/>
    <x v="9"/>
    <x v="1"/>
    <n v="2"/>
    <n v="85.11"/>
    <x v="3"/>
    <n v="136.18"/>
    <s v="Mobile Money"/>
  </r>
  <r>
    <s v="ORD-0141"/>
    <x v="222"/>
    <s v="CUST-0004"/>
    <x v="0"/>
    <x v="0"/>
    <x v="8"/>
    <x v="1"/>
    <n v="8"/>
    <n v="46.79"/>
    <x v="0"/>
    <n v="336.89"/>
    <s v="Card"/>
  </r>
  <r>
    <s v="ORD-0539"/>
    <x v="222"/>
    <s v="CUST-0130"/>
    <x v="0"/>
    <x v="0"/>
    <x v="11"/>
    <x v="3"/>
    <n v="4"/>
    <n v="69.7"/>
    <x v="4"/>
    <n v="264.86"/>
    <s v="Bank Transfer"/>
  </r>
  <r>
    <s v="ORD-0223"/>
    <x v="223"/>
    <s v="CUST-0083"/>
    <x v="4"/>
    <x v="0"/>
    <x v="0"/>
    <x v="0"/>
    <n v="6"/>
    <n v="217.28"/>
    <x v="6"/>
    <n v="977.76"/>
    <s v="Bank Transfer"/>
  </r>
  <r>
    <s v="ORD-0513"/>
    <x v="223"/>
    <s v="CUST-0119"/>
    <x v="3"/>
    <x v="3"/>
    <x v="11"/>
    <x v="3"/>
    <n v="2"/>
    <n v="77.430000000000007"/>
    <x v="3"/>
    <n v="123.89"/>
    <s v="Bank Transfer"/>
  </r>
  <r>
    <s v="ORD-0255"/>
    <x v="224"/>
    <s v="CUST-0054"/>
    <x v="0"/>
    <x v="0"/>
    <x v="6"/>
    <x v="1"/>
    <n v="2"/>
    <n v="130.97999999999999"/>
    <x v="0"/>
    <n v="235.76"/>
    <s v="Cash"/>
  </r>
  <r>
    <s v="ORD-0154"/>
    <x v="225"/>
    <s v="CUST-0086"/>
    <x v="3"/>
    <x v="3"/>
    <x v="8"/>
    <x v="1"/>
    <n v="5"/>
    <n v="46.53"/>
    <x v="2"/>
    <n v="232.65"/>
    <s v="Mobile Money"/>
  </r>
  <r>
    <s v="ORD-0495"/>
    <x v="225"/>
    <s v="CUST-0017"/>
    <x v="5"/>
    <x v="4"/>
    <x v="10"/>
    <x v="1"/>
    <n v="5"/>
    <n v="831.1"/>
    <x v="4"/>
    <n v="3947.72"/>
    <s v="Card"/>
  </r>
  <r>
    <s v="ORD-0497"/>
    <x v="225"/>
    <s v="CUST-0124"/>
    <x v="1"/>
    <x v="1"/>
    <x v="8"/>
    <x v="1"/>
    <n v="3"/>
    <n v="44.77"/>
    <x v="0"/>
    <n v="120.88"/>
    <s v="Mobile Money"/>
  </r>
  <r>
    <s v="ORD-0484"/>
    <x v="226"/>
    <s v="CUST-0056"/>
    <x v="1"/>
    <x v="1"/>
    <x v="6"/>
    <x v="1"/>
    <n v="3"/>
    <n v="127.34"/>
    <x v="2"/>
    <n v="382.02"/>
    <s v="Cash"/>
  </r>
  <r>
    <s v="ORD-0458"/>
    <x v="226"/>
    <s v="CUST-0140"/>
    <x v="0"/>
    <x v="0"/>
    <x v="9"/>
    <x v="1"/>
    <n v="4"/>
    <n v="74.989999999999995"/>
    <x v="2"/>
    <n v="299.95999999999998"/>
    <s v="Card"/>
  </r>
  <r>
    <s v="ORD-0019"/>
    <x v="226"/>
    <s v="CUST-0121"/>
    <x v="4"/>
    <x v="0"/>
    <x v="1"/>
    <x v="1"/>
    <n v="4"/>
    <n v="291.38"/>
    <x v="6"/>
    <n v="874.14"/>
    <s v="Card"/>
  </r>
  <r>
    <s v="ORD-0323"/>
    <x v="226"/>
    <s v="CUST-0069"/>
    <x v="3"/>
    <x v="3"/>
    <x v="0"/>
    <x v="0"/>
    <n v="4"/>
    <n v="236.8"/>
    <x v="0"/>
    <n v="852.48"/>
    <s v="Card"/>
  </r>
  <r>
    <s v="ORD-0478"/>
    <x v="227"/>
    <s v="CUST-0097"/>
    <x v="1"/>
    <x v="1"/>
    <x v="10"/>
    <x v="1"/>
    <n v="1"/>
    <n v="847.12"/>
    <x v="3"/>
    <n v="677.7"/>
    <s v="Card"/>
  </r>
  <r>
    <s v="ORD-0127"/>
    <x v="228"/>
    <s v="CUST-0063"/>
    <x v="4"/>
    <x v="0"/>
    <x v="8"/>
    <x v="1"/>
    <n v="7"/>
    <n v="41.99"/>
    <x v="2"/>
    <n v="293.93"/>
    <s v="Card"/>
  </r>
  <r>
    <s v="ORD-0282"/>
    <x v="228"/>
    <s v="CUST-0013"/>
    <x v="0"/>
    <x v="0"/>
    <x v="4"/>
    <x v="2"/>
    <n v="8"/>
    <n v="15.14"/>
    <x v="5"/>
    <n v="84.78"/>
    <s v="Cash"/>
  </r>
  <r>
    <s v="ORD-0182"/>
    <x v="228"/>
    <s v="CUST-0004"/>
    <x v="1"/>
    <x v="1"/>
    <x v="6"/>
    <x v="1"/>
    <n v="3"/>
    <n v="124.4"/>
    <x v="0"/>
    <n v="335.88"/>
    <s v="Card"/>
  </r>
  <r>
    <s v="ORD-0018"/>
    <x v="229"/>
    <s v="CUST-0075"/>
    <x v="5"/>
    <x v="4"/>
    <x v="8"/>
    <x v="1"/>
    <n v="5"/>
    <n v="48.34"/>
    <x v="3"/>
    <n v="193.36"/>
    <s v="Card"/>
  </r>
  <r>
    <s v="ORD-0246"/>
    <x v="230"/>
    <s v="CUST-0047"/>
    <x v="1"/>
    <x v="1"/>
    <x v="0"/>
    <x v="0"/>
    <n v="8"/>
    <n v="223.54"/>
    <x v="2"/>
    <n v="1788.32"/>
    <s v="Cash"/>
  </r>
  <r>
    <s v="ORD-0382"/>
    <x v="230"/>
    <s v="CUST-0114"/>
    <x v="0"/>
    <x v="0"/>
    <x v="11"/>
    <x v="3"/>
    <n v="3"/>
    <n v="74.22"/>
    <x v="0"/>
    <n v="200.39"/>
    <s v="Mobile Money"/>
  </r>
  <r>
    <s v="ORD-0524"/>
    <x v="231"/>
    <s v="CUST-0139"/>
    <x v="2"/>
    <x v="2"/>
    <x v="11"/>
    <x v="3"/>
    <n v="1"/>
    <n v="74.42"/>
    <x v="6"/>
    <n v="55.82"/>
    <s v="Mobile Money"/>
  </r>
  <r>
    <s v="ORD-0082"/>
    <x v="231"/>
    <s v="CUST-0034"/>
    <x v="2"/>
    <x v="2"/>
    <x v="10"/>
    <x v="1"/>
    <n v="3"/>
    <n v="859.45"/>
    <x v="4"/>
    <n v="2449.4299999999998"/>
    <s v="Bank Transfer"/>
  </r>
  <r>
    <s v="ORD-0183"/>
    <x v="231"/>
    <s v="CUST-0130"/>
    <x v="2"/>
    <x v="2"/>
    <x v="8"/>
    <x v="1"/>
    <n v="7"/>
    <n v="45.24"/>
    <x v="3"/>
    <n v="253.34"/>
    <s v="Card"/>
  </r>
  <r>
    <s v="ORD-0133"/>
    <x v="231"/>
    <s v="CUST-0178"/>
    <x v="4"/>
    <x v="0"/>
    <x v="5"/>
    <x v="2"/>
    <n v="3"/>
    <n v="257.2"/>
    <x v="0"/>
    <n v="694.44"/>
    <s v="Card"/>
  </r>
  <r>
    <s v="ORD-0277"/>
    <x v="231"/>
    <s v="CUST-0032"/>
    <x v="0"/>
    <x v="0"/>
    <x v="4"/>
    <x v="2"/>
    <n v="8"/>
    <n v="13.84"/>
    <x v="0"/>
    <n v="99.65"/>
    <s v="Cash"/>
  </r>
  <r>
    <s v="ORD-0220"/>
    <x v="232"/>
    <s v="CUST-0001"/>
    <x v="5"/>
    <x v="4"/>
    <x v="9"/>
    <x v="1"/>
    <n v="1"/>
    <n v="72.489999999999995"/>
    <x v="6"/>
    <n v="54.37"/>
    <s v="Mobile Money"/>
  </r>
  <r>
    <s v="ORD-0194"/>
    <x v="232"/>
    <s v="CUST-0158"/>
    <x v="3"/>
    <x v="3"/>
    <x v="5"/>
    <x v="2"/>
    <n v="8"/>
    <n v="225.49"/>
    <x v="4"/>
    <n v="1713.72"/>
    <s v="Mobile Money"/>
  </r>
  <r>
    <s v="ORD-0535"/>
    <x v="233"/>
    <s v="CUST-0020"/>
    <x v="5"/>
    <x v="4"/>
    <x v="6"/>
    <x v="1"/>
    <n v="6"/>
    <n v="117.25"/>
    <x v="2"/>
    <n v="703.5"/>
    <s v="Card"/>
  </r>
  <r>
    <s v="ORD-0048"/>
    <x v="233"/>
    <s v="CUST-0096"/>
    <x v="0"/>
    <x v="0"/>
    <x v="8"/>
    <x v="1"/>
    <n v="4"/>
    <n v="44.18"/>
    <x v="2"/>
    <n v="176.72"/>
    <s v="Card"/>
  </r>
  <r>
    <s v="ORD-0567"/>
    <x v="233"/>
    <s v="CUST-0067"/>
    <x v="0"/>
    <x v="0"/>
    <x v="2"/>
    <x v="0"/>
    <n v="7"/>
    <n v="51.16"/>
    <x v="6"/>
    <n v="268.58999999999997"/>
    <s v="Mobile Money"/>
  </r>
  <r>
    <s v="ORD-0135"/>
    <x v="234"/>
    <s v="CUST-0096"/>
    <x v="0"/>
    <x v="0"/>
    <x v="7"/>
    <x v="0"/>
    <n v="3"/>
    <n v="377.12"/>
    <x v="0"/>
    <n v="1018.22"/>
    <s v="Bank Transfer"/>
  </r>
  <r>
    <s v="ORD-0225"/>
    <x v="234"/>
    <s v="CUST-0172"/>
    <x v="3"/>
    <x v="3"/>
    <x v="7"/>
    <x v="0"/>
    <n v="3"/>
    <n v="342.2"/>
    <x v="0"/>
    <n v="923.94"/>
    <s v="Card"/>
  </r>
  <r>
    <s v="ORD-0118"/>
    <x v="235"/>
    <s v="CUST-0026"/>
    <x v="4"/>
    <x v="0"/>
    <x v="2"/>
    <x v="0"/>
    <n v="5"/>
    <n v="57.42"/>
    <x v="1"/>
    <n v="244.04"/>
    <s v="Mobile Money"/>
  </r>
  <r>
    <s v="ORD-0275"/>
    <x v="235"/>
    <s v="CUST-0126"/>
    <x v="4"/>
    <x v="0"/>
    <x v="9"/>
    <x v="1"/>
    <n v="1"/>
    <n v="87.62"/>
    <x v="1"/>
    <n v="74.48"/>
    <s v="Card"/>
  </r>
  <r>
    <s v="ORD-0536"/>
    <x v="236"/>
    <s v="CUST-0126"/>
    <x v="0"/>
    <x v="0"/>
    <x v="9"/>
    <x v="1"/>
    <n v="2"/>
    <n v="73.2"/>
    <x v="0"/>
    <n v="131.76"/>
    <s v="Mobile Money"/>
  </r>
  <r>
    <s v="ORD-0013"/>
    <x v="236"/>
    <s v="CUST-0099"/>
    <x v="5"/>
    <x v="4"/>
    <x v="2"/>
    <x v="0"/>
    <n v="2"/>
    <n v="50.55"/>
    <x v="4"/>
    <n v="96.04"/>
    <s v="Mobile Money"/>
  </r>
  <r>
    <s v="ORD-0402"/>
    <x v="236"/>
    <s v="CUST-0042"/>
    <x v="3"/>
    <x v="3"/>
    <x v="8"/>
    <x v="1"/>
    <n v="6"/>
    <n v="42.92"/>
    <x v="0"/>
    <n v="231.77"/>
    <s v="Mobile Money"/>
  </r>
  <r>
    <s v="ORD-0203"/>
    <x v="236"/>
    <s v="CUST-0004"/>
    <x v="1"/>
    <x v="1"/>
    <x v="10"/>
    <x v="1"/>
    <n v="6"/>
    <n v="982.94"/>
    <x v="0"/>
    <n v="5307.88"/>
    <s v="Bank Transfer"/>
  </r>
  <r>
    <s v="ORD-0511"/>
    <x v="237"/>
    <s v="CUST-0166"/>
    <x v="4"/>
    <x v="0"/>
    <x v="5"/>
    <x v="2"/>
    <n v="7"/>
    <n v="257.98"/>
    <x v="3"/>
    <n v="1444.69"/>
    <s v="Card"/>
  </r>
  <r>
    <s v="ORD-0365"/>
    <x v="237"/>
    <s v="CUST-0064"/>
    <x v="3"/>
    <x v="3"/>
    <x v="4"/>
    <x v="2"/>
    <n v="7"/>
    <n v="13.72"/>
    <x v="0"/>
    <n v="86.44"/>
    <s v="Card"/>
  </r>
  <r>
    <s v="ORD-0002"/>
    <x v="237"/>
    <s v="CUST-0130"/>
    <x v="4"/>
    <x v="0"/>
    <x v="9"/>
    <x v="1"/>
    <n v="8"/>
    <n v="82.41"/>
    <x v="2"/>
    <n v="659.28"/>
    <s v="Bank Transfer"/>
  </r>
  <r>
    <s v="ORD-0545"/>
    <x v="238"/>
    <s v="CUST-0089"/>
    <x v="2"/>
    <x v="2"/>
    <x v="6"/>
    <x v="1"/>
    <n v="4"/>
    <n v="116.67"/>
    <x v="3"/>
    <n v="373.34"/>
    <s v="Card"/>
  </r>
  <r>
    <s v="ORD-0149"/>
    <x v="239"/>
    <s v="CUST-0017"/>
    <x v="2"/>
    <x v="2"/>
    <x v="4"/>
    <x v="2"/>
    <n v="2"/>
    <n v="15.37"/>
    <x v="0"/>
    <n v="27.67"/>
    <s v="Card"/>
  </r>
  <r>
    <s v="ORD-0358"/>
    <x v="239"/>
    <s v="CUST-0002"/>
    <x v="1"/>
    <x v="1"/>
    <x v="4"/>
    <x v="2"/>
    <n v="5"/>
    <n v="16.21"/>
    <x v="2"/>
    <n v="81.05"/>
    <s v="Mobile Money"/>
  </r>
  <r>
    <s v="ORD-0146"/>
    <x v="239"/>
    <s v="CUST-0011"/>
    <x v="1"/>
    <x v="1"/>
    <x v="6"/>
    <x v="1"/>
    <n v="5"/>
    <n v="122.48"/>
    <x v="4"/>
    <n v="581.78"/>
    <s v="Card"/>
  </r>
  <r>
    <s v="ORD-0122"/>
    <x v="239"/>
    <s v="CUST-0041"/>
    <x v="0"/>
    <x v="0"/>
    <x v="2"/>
    <x v="0"/>
    <n v="7"/>
    <n v="56.17"/>
    <x v="0"/>
    <n v="353.87"/>
    <s v="Bank Transfer"/>
  </r>
  <r>
    <s v="ORD-0296"/>
    <x v="240"/>
    <s v="CUST-0161"/>
    <x v="4"/>
    <x v="0"/>
    <x v="4"/>
    <x v="2"/>
    <n v="4"/>
    <n v="15.71"/>
    <x v="5"/>
    <n v="43.99"/>
    <s v="Cash"/>
  </r>
  <r>
    <s v="ORD-0584"/>
    <x v="241"/>
    <s v="CUST-0005"/>
    <x v="0"/>
    <x v="0"/>
    <x v="7"/>
    <x v="0"/>
    <n v="6"/>
    <n v="320.36"/>
    <x v="0"/>
    <n v="1729.94"/>
    <s v="Mobile Money"/>
  </r>
  <r>
    <s v="ORD-0229"/>
    <x v="241"/>
    <s v="CUST-0117"/>
    <x v="3"/>
    <x v="3"/>
    <x v="4"/>
    <x v="2"/>
    <n v="3"/>
    <n v="13.55"/>
    <x v="2"/>
    <n v="40.65"/>
    <s v="Card"/>
  </r>
  <r>
    <s v="ORD-0519"/>
    <x v="242"/>
    <s v="CUST-0035"/>
    <x v="4"/>
    <x v="0"/>
    <x v="10"/>
    <x v="1"/>
    <n v="3"/>
    <n v="814.04"/>
    <x v="4"/>
    <n v="2320.0100000000002"/>
    <s v="Bank Transfer"/>
  </r>
  <r>
    <s v="ORD-0151"/>
    <x v="243"/>
    <s v="CUST-0017"/>
    <x v="3"/>
    <x v="3"/>
    <x v="11"/>
    <x v="3"/>
    <n v="2"/>
    <n v="69.05"/>
    <x v="4"/>
    <n v="131.19999999999999"/>
    <s v="Bank Transfer"/>
  </r>
  <r>
    <s v="ORD-0350"/>
    <x v="243"/>
    <s v="CUST-0041"/>
    <x v="0"/>
    <x v="0"/>
    <x v="5"/>
    <x v="2"/>
    <n v="3"/>
    <n v="227.22"/>
    <x v="4"/>
    <n v="647.58000000000004"/>
    <s v="Bank Transfer"/>
  </r>
  <r>
    <s v="ORD-0130"/>
    <x v="243"/>
    <s v="CUST-0173"/>
    <x v="4"/>
    <x v="0"/>
    <x v="6"/>
    <x v="1"/>
    <n v="3"/>
    <n v="127.19"/>
    <x v="4"/>
    <n v="362.49"/>
    <s v="Mobile Money"/>
  </r>
  <r>
    <s v="ORD-0083"/>
    <x v="244"/>
    <s v="CUST-0012"/>
    <x v="4"/>
    <x v="0"/>
    <x v="9"/>
    <x v="1"/>
    <n v="7"/>
    <n v="82.75"/>
    <x v="0"/>
    <n v="521.33000000000004"/>
    <s v="Bank Transfer"/>
  </r>
  <r>
    <s v="ORD-0041"/>
    <x v="244"/>
    <s v="CUST-0153"/>
    <x v="0"/>
    <x v="0"/>
    <x v="11"/>
    <x v="3"/>
    <n v="8"/>
    <n v="75.790000000000006"/>
    <x v="4"/>
    <n v="576"/>
    <s v="Card"/>
  </r>
  <r>
    <s v="ORD-0266"/>
    <x v="245"/>
    <s v="CUST-0117"/>
    <x v="0"/>
    <x v="0"/>
    <x v="0"/>
    <x v="0"/>
    <n v="1"/>
    <n v="202.83"/>
    <x v="0"/>
    <n v="182.55"/>
    <s v="Mobile Money"/>
  </r>
  <r>
    <s v="ORD-0420"/>
    <x v="245"/>
    <s v="CUST-0105"/>
    <x v="5"/>
    <x v="4"/>
    <x v="8"/>
    <x v="1"/>
    <n v="6"/>
    <n v="41.06"/>
    <x v="2"/>
    <n v="246.36"/>
    <s v="Card"/>
  </r>
  <r>
    <s v="ORD-0451"/>
    <x v="245"/>
    <s v="CUST-0003"/>
    <x v="4"/>
    <x v="0"/>
    <x v="4"/>
    <x v="2"/>
    <n v="1"/>
    <n v="14.09"/>
    <x v="4"/>
    <n v="13.39"/>
    <s v="Card"/>
  </r>
  <r>
    <s v="ORD-0262"/>
    <x v="245"/>
    <s v="CUST-0164"/>
    <x v="2"/>
    <x v="2"/>
    <x v="1"/>
    <x v="1"/>
    <n v="8"/>
    <n v="318.83999999999997"/>
    <x v="1"/>
    <n v="2168.11"/>
    <s v="Card"/>
  </r>
  <r>
    <s v="ORD-0124"/>
    <x v="246"/>
    <s v="CUST-0137"/>
    <x v="4"/>
    <x v="0"/>
    <x v="11"/>
    <x v="3"/>
    <n v="7"/>
    <n v="70.91"/>
    <x v="1"/>
    <n v="421.91"/>
    <s v="Card"/>
  </r>
  <r>
    <s v="ORD-0468"/>
    <x v="246"/>
    <s v="CUST-0079"/>
    <x v="4"/>
    <x v="0"/>
    <x v="3"/>
    <x v="1"/>
    <n v="5"/>
    <n v="607.63"/>
    <x v="2"/>
    <n v="3038.15"/>
    <s v="Mobile Money"/>
  </r>
  <r>
    <s v="ORD-0496"/>
    <x v="246"/>
    <s v="CUST-0062"/>
    <x v="0"/>
    <x v="0"/>
    <x v="7"/>
    <x v="0"/>
    <n v="2"/>
    <n v="377.7"/>
    <x v="4"/>
    <n v="717.63"/>
    <s v="Mobile Money"/>
  </r>
  <r>
    <s v="ORD-0466"/>
    <x v="246"/>
    <s v="CUST-0034"/>
    <x v="4"/>
    <x v="0"/>
    <x v="11"/>
    <x v="3"/>
    <n v="4"/>
    <n v="76.489999999999995"/>
    <x v="1"/>
    <n v="260.07"/>
    <s v="Mobile Money"/>
  </r>
  <r>
    <s v="ORD-0338"/>
    <x v="246"/>
    <s v="CUST-0078"/>
    <x v="0"/>
    <x v="0"/>
    <x v="8"/>
    <x v="1"/>
    <n v="8"/>
    <n v="45.6"/>
    <x v="4"/>
    <n v="346.56"/>
    <s v="Bank Transfer"/>
  </r>
  <r>
    <s v="ORD-0032"/>
    <x v="247"/>
    <s v="CUST-0163"/>
    <x v="0"/>
    <x v="0"/>
    <x v="6"/>
    <x v="1"/>
    <n v="1"/>
    <n v="108.12"/>
    <x v="2"/>
    <n v="108.12"/>
    <s v="Mobile Money"/>
  </r>
  <r>
    <s v="ORD-0461"/>
    <x v="247"/>
    <s v="CUST-0148"/>
    <x v="3"/>
    <x v="3"/>
    <x v="11"/>
    <x v="3"/>
    <n v="7"/>
    <n v="76.98"/>
    <x v="2"/>
    <n v="538.86"/>
    <s v="Card"/>
  </r>
  <r>
    <s v="ORD-0233"/>
    <x v="248"/>
    <s v="CUST-0170"/>
    <x v="2"/>
    <x v="2"/>
    <x v="1"/>
    <x v="1"/>
    <n v="7"/>
    <n v="321.56"/>
    <x v="3"/>
    <n v="1800.74"/>
    <s v="Card"/>
  </r>
  <r>
    <s v="ORD-0416"/>
    <x v="248"/>
    <s v="CUST-0096"/>
    <x v="0"/>
    <x v="0"/>
    <x v="2"/>
    <x v="0"/>
    <n v="2"/>
    <n v="55.9"/>
    <x v="5"/>
    <n v="78.260000000000005"/>
    <s v="Card"/>
  </r>
  <r>
    <s v="ORD-0501"/>
    <x v="249"/>
    <s v="CUST-0049"/>
    <x v="5"/>
    <x v="4"/>
    <x v="2"/>
    <x v="0"/>
    <n v="7"/>
    <n v="55.46"/>
    <x v="6"/>
    <n v="291.17"/>
    <s v="Card"/>
  </r>
  <r>
    <s v="ORD-0407"/>
    <x v="249"/>
    <s v="CUST-0049"/>
    <x v="3"/>
    <x v="3"/>
    <x v="11"/>
    <x v="3"/>
    <n v="1"/>
    <n v="80.849999999999994"/>
    <x v="4"/>
    <n v="76.81"/>
    <s v="Card"/>
  </r>
  <r>
    <s v="ORD-0488"/>
    <x v="249"/>
    <s v="CUST-0127"/>
    <x v="2"/>
    <x v="2"/>
    <x v="7"/>
    <x v="0"/>
    <n v="2"/>
    <n v="376.91"/>
    <x v="4"/>
    <n v="716.13"/>
    <s v="Mobile Money"/>
  </r>
  <r>
    <s v="ORD-0165"/>
    <x v="249"/>
    <s v="CUST-0169"/>
    <x v="4"/>
    <x v="0"/>
    <x v="11"/>
    <x v="3"/>
    <n v="5"/>
    <n v="79.959999999999994"/>
    <x v="2"/>
    <n v="399.8"/>
    <s v="Card"/>
  </r>
  <r>
    <s v="ORD-0599"/>
    <x v="250"/>
    <s v="CUST-0094"/>
    <x v="1"/>
    <x v="1"/>
    <x v="3"/>
    <x v="1"/>
    <n v="5"/>
    <n v="658.5"/>
    <x v="0"/>
    <n v="2963.25"/>
    <s v="Bank Transfer"/>
  </r>
  <r>
    <s v="ORD-0486"/>
    <x v="250"/>
    <s v="CUST-0039"/>
    <x v="0"/>
    <x v="0"/>
    <x v="1"/>
    <x v="1"/>
    <n v="8"/>
    <n v="317.18"/>
    <x v="1"/>
    <n v="2156.8200000000002"/>
    <s v="Card"/>
  </r>
  <r>
    <s v="ORD-0435"/>
    <x v="251"/>
    <s v="CUST-0041"/>
    <x v="1"/>
    <x v="1"/>
    <x v="10"/>
    <x v="1"/>
    <n v="2"/>
    <n v="967.92"/>
    <x v="5"/>
    <n v="1355.09"/>
    <s v="Card"/>
  </r>
  <r>
    <s v="ORD-0100"/>
    <x v="251"/>
    <s v="CUST-0109"/>
    <x v="4"/>
    <x v="0"/>
    <x v="7"/>
    <x v="0"/>
    <n v="6"/>
    <n v="377.98"/>
    <x v="1"/>
    <n v="1927.7"/>
    <s v="Card"/>
  </r>
  <r>
    <s v="ORD-0252"/>
    <x v="252"/>
    <s v="CUST-0101"/>
    <x v="5"/>
    <x v="4"/>
    <x v="3"/>
    <x v="1"/>
    <n v="7"/>
    <n v="606.03"/>
    <x v="3"/>
    <n v="3393.77"/>
    <s v="Mobile Money"/>
  </r>
  <r>
    <s v="ORD-0171"/>
    <x v="252"/>
    <s v="CUST-0176"/>
    <x v="4"/>
    <x v="0"/>
    <x v="9"/>
    <x v="1"/>
    <n v="3"/>
    <n v="83.57"/>
    <x v="0"/>
    <n v="225.64"/>
    <s v="Card"/>
  </r>
  <r>
    <s v="ORD-0337"/>
    <x v="253"/>
    <s v="CUST-0164"/>
    <x v="4"/>
    <x v="0"/>
    <x v="1"/>
    <x v="1"/>
    <n v="1"/>
    <n v="286.89"/>
    <x v="3"/>
    <n v="229.51"/>
    <s v="Card"/>
  </r>
  <r>
    <s v="ORD-0035"/>
    <x v="253"/>
    <s v="CUST-0048"/>
    <x v="2"/>
    <x v="2"/>
    <x v="9"/>
    <x v="1"/>
    <n v="3"/>
    <n v="78.95"/>
    <x v="4"/>
    <n v="225.01"/>
    <s v="Mobile Money"/>
  </r>
  <r>
    <s v="ORD-0160"/>
    <x v="254"/>
    <s v="CUST-0016"/>
    <x v="2"/>
    <x v="2"/>
    <x v="6"/>
    <x v="1"/>
    <n v="3"/>
    <n v="131.94999999999999"/>
    <x v="4"/>
    <n v="376.06"/>
    <s v="Bank Transfer"/>
  </r>
  <r>
    <s v="ORD-0313"/>
    <x v="255"/>
    <s v="CUST-0049"/>
    <x v="4"/>
    <x v="0"/>
    <x v="9"/>
    <x v="1"/>
    <n v="6"/>
    <n v="84.9"/>
    <x v="0"/>
    <n v="458.46"/>
    <s v="Card"/>
  </r>
  <r>
    <s v="ORD-0476"/>
    <x v="255"/>
    <s v="CUST-0077"/>
    <x v="3"/>
    <x v="3"/>
    <x v="1"/>
    <x v="1"/>
    <n v="2"/>
    <n v="323.10000000000002"/>
    <x v="0"/>
    <n v="581.58000000000004"/>
    <s v="Mobile Money"/>
  </r>
  <r>
    <s v="ORD-0286"/>
    <x v="256"/>
    <s v="CUST-0106"/>
    <x v="1"/>
    <x v="1"/>
    <x v="2"/>
    <x v="0"/>
    <n v="5"/>
    <n v="59.2"/>
    <x v="4"/>
    <n v="281.2"/>
    <s v="Card"/>
  </r>
  <r>
    <s v="ORD-0191"/>
    <x v="256"/>
    <s v="CUST-0082"/>
    <x v="1"/>
    <x v="1"/>
    <x v="4"/>
    <x v="2"/>
    <n v="8"/>
    <n v="14.87"/>
    <x v="2"/>
    <n v="118.96"/>
    <s v="Card"/>
  </r>
  <r>
    <s v="ORD-0038"/>
    <x v="257"/>
    <s v="CUST-0128"/>
    <x v="5"/>
    <x v="4"/>
    <x v="0"/>
    <x v="0"/>
    <n v="7"/>
    <n v="211.45"/>
    <x v="2"/>
    <m/>
    <s v="Card"/>
  </r>
  <r>
    <s v="ORD-0222"/>
    <x v="258"/>
    <s v="CUST-0098"/>
    <x v="5"/>
    <x v="4"/>
    <x v="8"/>
    <x v="1"/>
    <n v="1"/>
    <n v="48.34"/>
    <x v="3"/>
    <n v="38.67"/>
    <s v="Mobile Money"/>
  </r>
  <r>
    <s v="ORD-0179"/>
    <x v="258"/>
    <s v="CUST-0017"/>
    <x v="4"/>
    <x v="0"/>
    <x v="7"/>
    <x v="0"/>
    <n v="5"/>
    <n v="370.22"/>
    <x v="2"/>
    <n v="1851.1"/>
    <s v="Bank Transfer"/>
  </r>
  <r>
    <s v="ORD-0439"/>
    <x v="258"/>
    <s v="CUST-0122"/>
    <x v="2"/>
    <x v="2"/>
    <x v="9"/>
    <x v="1"/>
    <n v="1"/>
    <n v="76.73"/>
    <x v="0"/>
    <n v="69.06"/>
    <s v="Card"/>
  </r>
  <r>
    <s v="ORD-0024"/>
    <x v="258"/>
    <s v="CUST-0123"/>
    <x v="4"/>
    <x v="0"/>
    <x v="3"/>
    <x v="1"/>
    <n v="5"/>
    <n v="648.63"/>
    <x v="5"/>
    <n v="2270.1999999999998"/>
    <s v="Card"/>
  </r>
  <r>
    <s v="ORD-0397"/>
    <x v="259"/>
    <s v="CUST-0172"/>
    <x v="4"/>
    <x v="0"/>
    <x v="11"/>
    <x v="3"/>
    <n v="1"/>
    <n v="68.44"/>
    <x v="3"/>
    <n v="54.75"/>
    <s v="Card"/>
  </r>
  <r>
    <s v="ORD-0207"/>
    <x v="259"/>
    <s v="CUST-0166"/>
    <x v="3"/>
    <x v="3"/>
    <x v="1"/>
    <x v="1"/>
    <n v="2"/>
    <n v="284.25"/>
    <x v="5"/>
    <n v="397.95"/>
    <s v="Card"/>
  </r>
  <r>
    <s v="ORD-0091"/>
    <x v="260"/>
    <s v="CUST-0001"/>
    <x v="4"/>
    <x v="0"/>
    <x v="7"/>
    <x v="0"/>
    <n v="5"/>
    <n v="339.16"/>
    <x v="4"/>
    <n v="1611.01"/>
    <s v="Card"/>
  </r>
  <r>
    <s v="ORD-0467"/>
    <x v="260"/>
    <s v="CUST-0100"/>
    <x v="3"/>
    <x v="3"/>
    <x v="11"/>
    <x v="3"/>
    <n v="7"/>
    <n v="75.95"/>
    <x v="0"/>
    <n v="478.48"/>
    <s v="Mobile Money"/>
  </r>
  <r>
    <s v="ORD-0228"/>
    <x v="260"/>
    <s v="CUST-0046"/>
    <x v="0"/>
    <x v="0"/>
    <x v="7"/>
    <x v="0"/>
    <n v="7"/>
    <n v="352.35"/>
    <x v="1"/>
    <n v="2096.48"/>
    <s v="Bank Transfer"/>
  </r>
  <r>
    <s v="ORD-0526"/>
    <x v="261"/>
    <s v="CUST-0004"/>
    <x v="3"/>
    <x v="3"/>
    <x v="8"/>
    <x v="1"/>
    <n v="1"/>
    <n v="41.13"/>
    <x v="0"/>
    <n v="37.020000000000003"/>
    <s v="Bank Transfer"/>
  </r>
  <r>
    <s v="ORD-0309"/>
    <x v="261"/>
    <s v="CUST-0086"/>
    <x v="3"/>
    <x v="3"/>
    <x v="8"/>
    <x v="1"/>
    <n v="5"/>
    <n v="41.53"/>
    <x v="2"/>
    <n v="207.65"/>
    <s v="Card"/>
  </r>
  <r>
    <s v="ORD-0110"/>
    <x v="262"/>
    <s v="CUST-0011"/>
    <x v="0"/>
    <x v="0"/>
    <x v="6"/>
    <x v="1"/>
    <n v="1"/>
    <n v="125.79"/>
    <x v="0"/>
    <n v="113.21"/>
    <s v="Bank Transfer"/>
  </r>
  <r>
    <s v="ORD-0121"/>
    <x v="262"/>
    <s v="CUST-0127"/>
    <x v="5"/>
    <x v="4"/>
    <x v="2"/>
    <x v="0"/>
    <n v="4"/>
    <n v="55.72"/>
    <x v="1"/>
    <n v="189.45"/>
    <s v="Cash"/>
  </r>
  <r>
    <s v="ORD-0197"/>
    <x v="262"/>
    <s v="CUST-0178"/>
    <x v="3"/>
    <x v="3"/>
    <x v="8"/>
    <x v="1"/>
    <n v="7"/>
    <n v="46.02"/>
    <x v="4"/>
    <n v="306.02999999999997"/>
    <s v="Cash"/>
  </r>
  <r>
    <s v="ORD-0001"/>
    <x v="263"/>
    <s v="CUST-0088"/>
    <x v="4"/>
    <x v="0"/>
    <x v="4"/>
    <x v="2"/>
    <n v="8"/>
    <n v="15.3"/>
    <x v="2"/>
    <n v="122.4"/>
    <s v="Card"/>
  </r>
  <r>
    <s v="ORD-0508"/>
    <x v="264"/>
    <s v="CUST-0170"/>
    <x v="2"/>
    <x v="2"/>
    <x v="5"/>
    <x v="2"/>
    <n v="4"/>
    <n v="267.63"/>
    <x v="0"/>
    <n v="963.47"/>
    <s v="Bank Transfer"/>
  </r>
  <r>
    <s v="ORD-0425"/>
    <x v="264"/>
    <s v="CUST-0139"/>
    <x v="3"/>
    <x v="3"/>
    <x v="2"/>
    <x v="0"/>
    <n v="8"/>
    <n v="53.97"/>
    <x v="6"/>
    <n v="323.82"/>
    <s v="Mobile Money"/>
  </r>
  <r>
    <s v="ORD-0452"/>
    <x v="265"/>
    <s v="CUST-0015"/>
    <x v="0"/>
    <x v="0"/>
    <x v="10"/>
    <x v="1"/>
    <n v="4"/>
    <n v="930.79"/>
    <x v="0"/>
    <n v="3350.84"/>
    <s v="Mobile Money"/>
  </r>
  <r>
    <s v="ORD-0595"/>
    <x v="265"/>
    <s v="CUST-0041"/>
    <x v="4"/>
    <x v="0"/>
    <x v="4"/>
    <x v="2"/>
    <n v="7"/>
    <n v="14.32"/>
    <x v="2"/>
    <n v="100.24"/>
    <s v="Cash"/>
  </r>
  <r>
    <s v="ORD-0392"/>
    <x v="265"/>
    <s v="CUST-0023"/>
    <x v="5"/>
    <x v="4"/>
    <x v="7"/>
    <x v="0"/>
    <n v="3"/>
    <n v="340.05"/>
    <x v="1"/>
    <n v="867.13"/>
    <s v="Card"/>
  </r>
  <r>
    <s v="ORD-0354"/>
    <x v="266"/>
    <s v="CUST-0146"/>
    <x v="5"/>
    <x v="4"/>
    <x v="1"/>
    <x v="1"/>
    <n v="6"/>
    <n v="285.45999999999998"/>
    <x v="2"/>
    <n v="1712.76"/>
    <s v="Mobile Money"/>
  </r>
  <r>
    <s v="ORD-0327"/>
    <x v="266"/>
    <s v="CUST-0058"/>
    <x v="1"/>
    <x v="1"/>
    <x v="10"/>
    <x v="1"/>
    <n v="5"/>
    <n v="885.62"/>
    <x v="6"/>
    <n v="3321.08"/>
    <s v="Bank Transfer"/>
  </r>
  <r>
    <s v="ORD-0009"/>
    <x v="266"/>
    <s v="CUST-0111"/>
    <x v="4"/>
    <x v="0"/>
    <x v="1"/>
    <x v="1"/>
    <n v="4"/>
    <n v="272.70999999999998"/>
    <x v="4"/>
    <n v="1036.3"/>
    <s v="Card"/>
  </r>
  <r>
    <s v="ORD-0031"/>
    <x v="267"/>
    <s v="CUST-0112"/>
    <x v="1"/>
    <x v="1"/>
    <x v="9"/>
    <x v="1"/>
    <n v="4"/>
    <n v="73.349999999999994"/>
    <x v="2"/>
    <n v="293.39999999999998"/>
    <s v="Bank Transfer"/>
  </r>
  <r>
    <s v="ORD-0571"/>
    <x v="267"/>
    <s v="CUST-0177"/>
    <x v="3"/>
    <x v="3"/>
    <x v="10"/>
    <x v="1"/>
    <n v="6"/>
    <n v="844.31"/>
    <x v="2"/>
    <n v="5065.8599999999997"/>
    <s v="Card"/>
  </r>
  <r>
    <s v="ORD-0311"/>
    <x v="268"/>
    <s v="CUST-0005"/>
    <x v="3"/>
    <x v="3"/>
    <x v="10"/>
    <x v="1"/>
    <n v="2"/>
    <n v="824.71"/>
    <x v="0"/>
    <n v="1484.48"/>
    <s v="Mobile Money"/>
  </r>
  <r>
    <s v="ORD-0043"/>
    <x v="269"/>
    <s v="CUST-0051"/>
    <x v="0"/>
    <x v="0"/>
    <x v="6"/>
    <x v="1"/>
    <n v="7"/>
    <n v="108.66"/>
    <x v="0"/>
    <n v="684.56"/>
    <s v="Mobile Money"/>
  </r>
  <r>
    <s v="ORD-0560"/>
    <x v="269"/>
    <s v="CUST-0178"/>
    <x v="1"/>
    <x v="1"/>
    <x v="5"/>
    <x v="2"/>
    <n v="5"/>
    <n v="267.82"/>
    <x v="3"/>
    <n v="1071.28"/>
    <s v="Cash"/>
  </r>
  <r>
    <s v="ORD-0270"/>
    <x v="270"/>
    <s v="CUST-0088"/>
    <x v="1"/>
    <x v="1"/>
    <x v="1"/>
    <x v="1"/>
    <n v="2"/>
    <n v="293.18"/>
    <x v="0"/>
    <n v="527.72"/>
    <s v="Card"/>
  </r>
  <r>
    <s v="ORD-0522"/>
    <x v="270"/>
    <s v="CUST-0152"/>
    <x v="1"/>
    <x v="1"/>
    <x v="3"/>
    <x v="1"/>
    <n v="2"/>
    <n v="603"/>
    <x v="0"/>
    <n v="1085.4000000000001"/>
    <s v="Mobile Money"/>
  </r>
  <r>
    <s v="ORD-0371"/>
    <x v="270"/>
    <s v="CUST-0179"/>
    <x v="2"/>
    <x v="2"/>
    <x v="7"/>
    <x v="0"/>
    <n v="1"/>
    <n v="353.76"/>
    <x v="0"/>
    <n v="318.38"/>
    <s v="Bank Transfer"/>
  </r>
  <r>
    <s v="ORD-0561"/>
    <x v="271"/>
    <s v="CUST-0049"/>
    <x v="4"/>
    <x v="0"/>
    <x v="6"/>
    <x v="1"/>
    <n v="6"/>
    <n v="110.1"/>
    <x v="4"/>
    <n v="627.57000000000005"/>
    <s v="Card"/>
  </r>
  <r>
    <s v="ORD-0237"/>
    <x v="272"/>
    <s v="CUST-0146"/>
    <x v="4"/>
    <x v="0"/>
    <x v="0"/>
    <x v="0"/>
    <n v="2"/>
    <n v="230.21"/>
    <x v="3"/>
    <n v="368.34"/>
    <s v="Mobile Money"/>
  </r>
  <r>
    <s v="ORD-0308"/>
    <x v="272"/>
    <s v="CUST-0085"/>
    <x v="5"/>
    <x v="4"/>
    <x v="7"/>
    <x v="0"/>
    <n v="3"/>
    <n v="365.76"/>
    <x v="2"/>
    <n v="1097.28"/>
    <s v="Card"/>
  </r>
  <r>
    <s v="ORD-0026"/>
    <x v="273"/>
    <s v="CUST-0147"/>
    <x v="1"/>
    <x v="1"/>
    <x v="2"/>
    <x v="0"/>
    <n v="3"/>
    <n v="51.55"/>
    <x v="2"/>
    <n v="154.65"/>
    <s v="Mobile Money"/>
  </r>
  <r>
    <s v="ORD-0047"/>
    <x v="273"/>
    <s v="CUST-0117"/>
    <x v="2"/>
    <x v="2"/>
    <x v="6"/>
    <x v="1"/>
    <n v="1"/>
    <n v="117.57"/>
    <x v="0"/>
    <n v="105.81"/>
    <s v="Bank Transfer"/>
  </r>
  <r>
    <s v="ORD-0015"/>
    <x v="273"/>
    <s v="CUST-0042"/>
    <x v="1"/>
    <x v="1"/>
    <x v="1"/>
    <x v="1"/>
    <n v="7"/>
    <n v="285.36"/>
    <x v="2"/>
    <n v="1997.52"/>
    <s v="Bank Transfer"/>
  </r>
  <r>
    <s v="ORD-0172"/>
    <x v="274"/>
    <s v="CUST-0115"/>
    <x v="3"/>
    <x v="3"/>
    <x v="7"/>
    <x v="0"/>
    <n v="5"/>
    <n v="374.58"/>
    <x v="0"/>
    <n v="1685.61"/>
    <s v="Mobile Money"/>
  </r>
  <r>
    <s v="ORD-0328"/>
    <x v="275"/>
    <s v="CUST-0015"/>
    <x v="3"/>
    <x v="3"/>
    <x v="1"/>
    <x v="1"/>
    <n v="8"/>
    <n v="304.63"/>
    <x v="1"/>
    <n v="2071.48"/>
    <s v="Bank Transfer"/>
  </r>
  <r>
    <s v="ORD-0008"/>
    <x v="276"/>
    <s v="CUST-0048"/>
    <x v="2"/>
    <x v="2"/>
    <x v="3"/>
    <x v="1"/>
    <n v="2"/>
    <n v="643.47"/>
    <x v="0"/>
    <n v="1158.25"/>
    <s v="Cash"/>
  </r>
  <r>
    <s v="ORD-0080"/>
    <x v="276"/>
    <s v="CUST-0133"/>
    <x v="4"/>
    <x v="0"/>
    <x v="10"/>
    <x v="1"/>
    <n v="5"/>
    <n v="820.15"/>
    <x v="3"/>
    <n v="3280.6"/>
    <s v="Bank Transfer"/>
  </r>
  <r>
    <s v="ORD-0381"/>
    <x v="277"/>
    <s v="CUST-0072"/>
    <x v="0"/>
    <x v="0"/>
    <x v="8"/>
    <x v="1"/>
    <n v="8"/>
    <n v="48.19"/>
    <x v="0"/>
    <n v="346.97"/>
    <s v="Bank Transfer"/>
  </r>
  <r>
    <s v="ORD-0242"/>
    <x v="278"/>
    <s v="CUST-0164"/>
    <x v="1"/>
    <x v="1"/>
    <x v="5"/>
    <x v="2"/>
    <n v="8"/>
    <n v="238.71"/>
    <x v="2"/>
    <n v="1909.68"/>
    <s v="Card"/>
  </r>
  <r>
    <s v="ORD-0361"/>
    <x v="279"/>
    <s v="CUST-0032"/>
    <x v="4"/>
    <x v="0"/>
    <x v="1"/>
    <x v="1"/>
    <n v="1"/>
    <n v="288.38"/>
    <x v="3"/>
    <n v="230.7"/>
    <s v="Mobile Money"/>
  </r>
  <r>
    <s v="ORD-0395"/>
    <x v="279"/>
    <s v="CUST-0127"/>
    <x v="1"/>
    <x v="1"/>
    <x v="3"/>
    <x v="1"/>
    <n v="4"/>
    <n v="649.57000000000005"/>
    <x v="4"/>
    <n v="2468.37"/>
    <s v="Card"/>
  </r>
  <r>
    <s v="ORD-0139"/>
    <x v="280"/>
    <s v="CUST-0086"/>
    <x v="4"/>
    <x v="0"/>
    <x v="7"/>
    <x v="0"/>
    <n v="5"/>
    <n v="343.66"/>
    <x v="0"/>
    <n v="1546.47"/>
    <s v="Mobile Money"/>
  </r>
  <r>
    <s v="ORD-0206"/>
    <x v="280"/>
    <s v="CUST-0026"/>
    <x v="4"/>
    <x v="0"/>
    <x v="2"/>
    <x v="0"/>
    <n v="3"/>
    <n v="56.35"/>
    <x v="1"/>
    <n v="143.69"/>
    <s v="Bank Transfer"/>
  </r>
  <r>
    <s v="ORD-0106"/>
    <x v="281"/>
    <s v="CUST-0077"/>
    <x v="2"/>
    <x v="2"/>
    <x v="10"/>
    <x v="1"/>
    <n v="2"/>
    <n v="948.2"/>
    <x v="2"/>
    <n v="1896.4"/>
    <s v="Mobile Money"/>
  </r>
  <r>
    <s v="ORD-0359"/>
    <x v="282"/>
    <s v="CUST-0062"/>
    <x v="0"/>
    <x v="0"/>
    <x v="2"/>
    <x v="0"/>
    <n v="3"/>
    <n v="54.44"/>
    <x v="2"/>
    <n v="163.32"/>
    <s v="Card"/>
  </r>
  <r>
    <s v="ORD-0448"/>
    <x v="282"/>
    <s v="CUST-0102"/>
    <x v="2"/>
    <x v="2"/>
    <x v="10"/>
    <x v="1"/>
    <n v="4"/>
    <n v="980.86"/>
    <x v="1"/>
    <n v="3334.92"/>
    <s v="Card"/>
  </r>
  <r>
    <s v="ORD-0389"/>
    <x v="283"/>
    <s v="CUST-0066"/>
    <x v="2"/>
    <x v="2"/>
    <x v="3"/>
    <x v="1"/>
    <n v="8"/>
    <n v="599.67999999999995"/>
    <x v="3"/>
    <n v="3837.95"/>
    <s v="Card"/>
  </r>
  <r>
    <s v="ORD-0576"/>
    <x v="283"/>
    <s v="CUST-0093"/>
    <x v="1"/>
    <x v="1"/>
    <x v="5"/>
    <x v="2"/>
    <n v="5"/>
    <n v="228.78"/>
    <x v="4"/>
    <n v="1086.7"/>
    <s v="Card"/>
  </r>
  <r>
    <s v="ORD-0387"/>
    <x v="283"/>
    <s v="CUST-0075"/>
    <x v="3"/>
    <x v="3"/>
    <x v="9"/>
    <x v="1"/>
    <n v="7"/>
    <n v="79.8"/>
    <x v="2"/>
    <n v="558.6"/>
    <s v="Card"/>
  </r>
  <r>
    <s v="ORD-0074"/>
    <x v="283"/>
    <s v="CUST-0152"/>
    <x v="4"/>
    <x v="0"/>
    <x v="1"/>
    <x v="1"/>
    <n v="1"/>
    <n v="324.92"/>
    <x v="6"/>
    <n v="243.69"/>
    <s v="Card"/>
  </r>
  <r>
    <s v="ORD-0132"/>
    <x v="284"/>
    <s v="CUST-0131"/>
    <x v="4"/>
    <x v="0"/>
    <x v="11"/>
    <x v="3"/>
    <n v="3"/>
    <n v="69.83"/>
    <x v="2"/>
    <n v="209.49"/>
    <s v="Bank Transfer"/>
  </r>
  <r>
    <s v="ORD-0430"/>
    <x v="285"/>
    <s v="CUST-0066"/>
    <x v="4"/>
    <x v="0"/>
    <x v="2"/>
    <x v="0"/>
    <n v="2"/>
    <n v="58.35"/>
    <x v="2"/>
    <n v="116.7"/>
    <s v="Bank Transfer"/>
  </r>
  <r>
    <s v="ORD-0574"/>
    <x v="285"/>
    <s v="CUST-0151"/>
    <x v="0"/>
    <x v="0"/>
    <x v="1"/>
    <x v="1"/>
    <n v="4"/>
    <n v="304.89"/>
    <x v="2"/>
    <n v="1219.56"/>
    <s v="Bank Transfer"/>
  </r>
  <r>
    <s v="ORD-0281"/>
    <x v="285"/>
    <s v="CUST-0135"/>
    <x v="5"/>
    <x v="4"/>
    <x v="3"/>
    <x v="1"/>
    <n v="5"/>
    <n v="683.16"/>
    <x v="0"/>
    <n v="3074.22"/>
    <s v="Bank Transfer"/>
  </r>
  <r>
    <s v="ORD-0587"/>
    <x v="285"/>
    <s v="CUST-0152"/>
    <x v="0"/>
    <x v="0"/>
    <x v="6"/>
    <x v="1"/>
    <n v="4"/>
    <n v="121.22"/>
    <x v="0"/>
    <n v="436.39"/>
    <s v="Bank Transfer"/>
  </r>
  <r>
    <s v="ORD-0418"/>
    <x v="285"/>
    <s v="CUST-0068"/>
    <x v="5"/>
    <x v="4"/>
    <x v="8"/>
    <x v="1"/>
    <n v="2"/>
    <n v="43.34"/>
    <x v="4"/>
    <n v="82.35"/>
    <s v="Cash"/>
  </r>
  <r>
    <s v="ORD-0027"/>
    <x v="285"/>
    <s v="CUST-0129"/>
    <x v="4"/>
    <x v="0"/>
    <x v="1"/>
    <x v="1"/>
    <n v="4"/>
    <n v="326.43"/>
    <x v="0"/>
    <n v="1175.1500000000001"/>
    <s v="Mobile Money"/>
  </r>
  <r>
    <s v="ORD-0128"/>
    <x v="286"/>
    <s v="CUST-0177"/>
    <x v="4"/>
    <x v="0"/>
    <x v="5"/>
    <x v="2"/>
    <n v="4"/>
    <n v="235.63"/>
    <x v="0"/>
    <n v="848.27"/>
    <s v="Cash"/>
  </r>
  <r>
    <s v="ORD-0070"/>
    <x v="286"/>
    <s v="CUST-0167"/>
    <x v="0"/>
    <x v="0"/>
    <x v="2"/>
    <x v="0"/>
    <n v="6"/>
    <n v="50.12"/>
    <x v="2"/>
    <n v="300.72000000000003"/>
    <s v="Card"/>
  </r>
  <r>
    <s v="ORD-0285"/>
    <x v="287"/>
    <s v="CUST-0144"/>
    <x v="3"/>
    <x v="3"/>
    <x v="1"/>
    <x v="1"/>
    <n v="4"/>
    <n v="308.18"/>
    <x v="1"/>
    <n v="1047.81"/>
    <s v="Card"/>
  </r>
  <r>
    <s v="ORD-0479"/>
    <x v="288"/>
    <s v="CUST-0123"/>
    <x v="5"/>
    <x v="4"/>
    <x v="8"/>
    <x v="1"/>
    <n v="2"/>
    <n v="47.59"/>
    <x v="0"/>
    <n v="85.66"/>
    <s v="Mobile Money"/>
  </r>
  <r>
    <s v="ORD-0573"/>
    <x v="288"/>
    <s v="CUST-0112"/>
    <x v="3"/>
    <x v="3"/>
    <x v="8"/>
    <x v="1"/>
    <n v="5"/>
    <n v="45.75"/>
    <x v="0"/>
    <n v="205.88"/>
    <s v="Card"/>
  </r>
  <r>
    <s v="ORD-0126"/>
    <x v="289"/>
    <s v="CUST-0179"/>
    <x v="5"/>
    <x v="4"/>
    <x v="1"/>
    <x v="1"/>
    <n v="2"/>
    <n v="298.85000000000002"/>
    <x v="6"/>
    <n v="448.28"/>
    <s v="Mobile Money"/>
  </r>
  <r>
    <s v="ORD-0325"/>
    <x v="289"/>
    <s v="CUST-0108"/>
    <x v="1"/>
    <x v="1"/>
    <x v="3"/>
    <x v="1"/>
    <n v="6"/>
    <n v="677.33"/>
    <x v="4"/>
    <n v="3860.78"/>
    <s v="Mobile Money"/>
  </r>
  <r>
    <s v="ORD-0556"/>
    <x v="289"/>
    <s v="CUST-0053"/>
    <x v="0"/>
    <x v="0"/>
    <x v="10"/>
    <x v="1"/>
    <n v="8"/>
    <n v="850.81"/>
    <x v="1"/>
    <n v="5785.51"/>
    <s v="Mobile Money"/>
  </r>
  <r>
    <s v="ORD-0518"/>
    <x v="290"/>
    <s v="CUST-0091"/>
    <x v="5"/>
    <x v="4"/>
    <x v="4"/>
    <x v="2"/>
    <n v="5"/>
    <n v="15.74"/>
    <x v="3"/>
    <n v="62.96"/>
    <s v="Bank Transfer"/>
  </r>
  <r>
    <s v="ORD-0299"/>
    <x v="290"/>
    <s v="CUST-0051"/>
    <x v="0"/>
    <x v="0"/>
    <x v="10"/>
    <x v="1"/>
    <n v="6"/>
    <n v="959.71"/>
    <x v="4"/>
    <n v="5470.35"/>
    <s v="Mobile Money"/>
  </r>
  <r>
    <s v="ORD-0380"/>
    <x v="290"/>
    <s v="CUST-0163"/>
    <x v="5"/>
    <x v="4"/>
    <x v="4"/>
    <x v="2"/>
    <n v="2"/>
    <n v="14.83"/>
    <x v="1"/>
    <n v="25.21"/>
    <s v="Mobile Mone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s v="ORD-0557"/>
    <d v="2025-01-01T00:00:00"/>
    <s v="CUST-0044"/>
    <s v="Ghana"/>
    <s v="West Africa"/>
    <x v="0"/>
    <s v="Furniture"/>
    <n v="6"/>
    <n v="222.25"/>
    <n v="0.1"/>
    <n v="1200.1500000000001"/>
    <s v="Bank Transfer"/>
  </r>
  <r>
    <s v="ORD-0385"/>
    <d v="2025-01-01T00:00:00"/>
    <s v="CUST-0143"/>
    <s v="United Kingdom"/>
    <s v="Europe"/>
    <x v="1"/>
    <s v="Electronics"/>
    <n v="6"/>
    <n v="270.86"/>
    <n v="0.15"/>
    <n v="1381.39"/>
    <s v="Bank Transfer"/>
  </r>
  <r>
    <s v="ORD-0510"/>
    <d v="2025-01-02T00:00:00"/>
    <s v="CUST-0178"/>
    <s v="Kenya"/>
    <s v="East Africa"/>
    <x v="2"/>
    <s v="Furniture"/>
    <n v="2"/>
    <n v="55.08"/>
    <n v="0"/>
    <n v="110.16"/>
    <s v="Card"/>
  </r>
  <r>
    <s v="ORD-0218"/>
    <d v="2025-01-05T00:00:00"/>
    <s v="CUST-0086"/>
    <s v="South Africa"/>
    <s v="Southern Africa"/>
    <x v="3"/>
    <s v="Electronics"/>
    <n v="5"/>
    <n v="597.21"/>
    <n v="0.15"/>
    <n v="2538.14"/>
    <s v="Mobile Money"/>
  </r>
  <r>
    <s v="ORD-0562"/>
    <d v="2025-01-06T00:00:00"/>
    <s v="CUST-0147"/>
    <s v="Nigeria"/>
    <s v="West Africa"/>
    <x v="3"/>
    <s v="Electronics"/>
    <n v="7"/>
    <n v="590.39"/>
    <n v="0.15"/>
    <n v="3512.82"/>
    <s v="Mobile Money"/>
  </r>
  <r>
    <s v="ORD-0263"/>
    <d v="2025-01-07T00:00:00"/>
    <s v="CUST-0155"/>
    <s v="Kenya"/>
    <s v="East Africa"/>
    <x v="1"/>
    <s v="Electronics"/>
    <n v="2"/>
    <n v="277.83999999999997"/>
    <n v="0.2"/>
    <n v="444.54"/>
    <s v="Mobile Money"/>
  </r>
  <r>
    <s v="ORD-0089"/>
    <d v="2025-01-08T00:00:00"/>
    <s v="CUST-0132"/>
    <s v="South Africa"/>
    <s v="Southern Africa"/>
    <x v="4"/>
    <s v="Office Supplies"/>
    <n v="3"/>
    <n v="15.11"/>
    <n v="0.1"/>
    <n v="40.799999999999997"/>
    <s v="Mobile Money"/>
  </r>
  <r>
    <s v="ORD-0530"/>
    <d v="2025-01-08T00:00:00"/>
    <s v="CUST-0029"/>
    <s v="United States"/>
    <s v="North America"/>
    <x v="5"/>
    <s v="Office Supplies"/>
    <n v="3"/>
    <n v="254.64"/>
    <n v="0.05"/>
    <n v="725.72"/>
    <s v="Card"/>
  </r>
  <r>
    <s v="ORD-0187"/>
    <d v="2025-01-08T00:00:00"/>
    <s v="CUST-0079"/>
    <s v="Kenya"/>
    <s v="East Africa"/>
    <x v="4"/>
    <s v="Office Supplies"/>
    <n v="8"/>
    <n v="13.98"/>
    <n v="0.05"/>
    <n v="106.25"/>
    <s v="Card"/>
  </r>
  <r>
    <s v="ORD-0077"/>
    <d v="2025-01-10T00:00:00"/>
    <s v="CUST-0056"/>
    <s v="Ghana"/>
    <s v="West Africa"/>
    <x v="6"/>
    <s v="Electronics"/>
    <n v="5"/>
    <n v="130.57"/>
    <n v="0.1"/>
    <n v="587.55999999999995"/>
    <s v="Mobile Money"/>
  </r>
  <r>
    <s v="ORD-0401"/>
    <d v="2025-01-11T00:00:00"/>
    <s v="CUST-0017"/>
    <s v="Ghana"/>
    <s v="West Africa"/>
    <x v="7"/>
    <s v="Furniture"/>
    <n v="5"/>
    <n v="376.29"/>
    <n v="0"/>
    <n v="1881.45"/>
    <s v="Card"/>
  </r>
  <r>
    <s v="ORD-0288"/>
    <d v="2025-01-12T00:00:00"/>
    <s v="CUST-0014"/>
    <s v="Nigeria"/>
    <s v="West Africa"/>
    <x v="8"/>
    <s v="Electronics"/>
    <n v="4"/>
    <n v="45.22"/>
    <n v="0.2"/>
    <n v="144.69999999999999"/>
    <s v="Bank Transfer"/>
  </r>
  <r>
    <s v="ORD-0257"/>
    <d v="2025-01-12T00:00:00"/>
    <s v="CUST-0032"/>
    <s v="Nigeria"/>
    <s v="West Africa"/>
    <x v="9"/>
    <s v="Electronics"/>
    <n v="5"/>
    <n v="72.41"/>
    <n v="0"/>
    <n v="362.05"/>
    <s v="Cash"/>
  </r>
  <r>
    <s v="ORD-0377"/>
    <d v="2025-01-12T00:00:00"/>
    <s v="CUST-0070"/>
    <s v="United Kingdom"/>
    <s v="Europe"/>
    <x v="1"/>
    <s v="Electronics"/>
    <n v="4"/>
    <n v="273.45999999999998"/>
    <n v="0.15"/>
    <n v="929.76"/>
    <s v="Mobile Money"/>
  </r>
  <r>
    <s v="ORD-0543"/>
    <d v="2025-01-13T00:00:00"/>
    <s v="CUST-0081"/>
    <s v="United States"/>
    <s v="North America"/>
    <x v="10"/>
    <s v="Electronics"/>
    <n v="7"/>
    <n v="845.86"/>
    <n v="0"/>
    <n v="5921.02"/>
    <s v="Card"/>
  </r>
  <r>
    <s v="ORD-0265"/>
    <d v="2025-01-13T00:00:00"/>
    <s v="CUST-0082"/>
    <s v="Ghana"/>
    <s v="West Africa"/>
    <x v="7"/>
    <s v="Furniture"/>
    <n v="2"/>
    <n v="362.67"/>
    <n v="0"/>
    <n v="725.34"/>
    <s v="Mobile Money"/>
  </r>
  <r>
    <s v="ORD-0551"/>
    <d v="2025-01-13T00:00:00"/>
    <s v="CUST-0045"/>
    <s v="South Africa"/>
    <s v="Southern Africa"/>
    <x v="8"/>
    <s v="Electronics"/>
    <n v="7"/>
    <n v="42.46"/>
    <n v="0.2"/>
    <n v="237.78"/>
    <s v="Card"/>
  </r>
  <r>
    <s v="ORD-0538"/>
    <d v="2025-01-13T00:00:00"/>
    <s v="CUST-0036"/>
    <s v="Ghana"/>
    <s v="West Africa"/>
    <x v="9"/>
    <s v="Electronics"/>
    <n v="4"/>
    <n v="85.23"/>
    <n v="0.05"/>
    <n v="323.87"/>
    <s v="Card"/>
  </r>
  <r>
    <s v="ORD-0095"/>
    <d v="2025-01-14T00:00:00"/>
    <s v="CUST-0056"/>
    <s v="Kenya"/>
    <s v="East Africa"/>
    <x v="5"/>
    <s v="Office Supplies"/>
    <n v="4"/>
    <n v="243.45"/>
    <n v="0.1"/>
    <n v="876.42"/>
    <s v="Bank Transfer"/>
  </r>
  <r>
    <s v="ORD-0393"/>
    <d v="2025-01-14T00:00:00"/>
    <s v="CUST-0178"/>
    <s v="United States"/>
    <s v="North America"/>
    <x v="5"/>
    <s v="Office Supplies"/>
    <n v="2"/>
    <n v="266.07"/>
    <n v="0.1"/>
    <n v="478.93"/>
    <s v="Mobile Money"/>
  </r>
  <r>
    <s v="ORD-0156"/>
    <d v="2025-01-14T00:00:00"/>
    <s v="CUST-0159"/>
    <s v="United Kingdom"/>
    <s v="Europe"/>
    <x v="0"/>
    <s v="Furniture"/>
    <n v="7"/>
    <n v="218.03"/>
    <n v="0.1"/>
    <n v="1373.59"/>
    <s v="Mobile Money"/>
  </r>
  <r>
    <s v="ORD-0199"/>
    <d v="2025-01-14T00:00:00"/>
    <s v="CUST-0012"/>
    <s v="South Africa"/>
    <s v="Southern Africa"/>
    <x v="11"/>
    <s v="Accessories"/>
    <n v="2"/>
    <n v="74.709999999999994"/>
    <n v="0"/>
    <n v="149.41999999999999"/>
    <s v="Card"/>
  </r>
  <r>
    <s v="ORD-0010"/>
    <d v="2025-01-15T00:00:00"/>
    <s v="CUST-0045"/>
    <s v="United Kingdom"/>
    <s v="Europe"/>
    <x v="5"/>
    <s v="Office Supplies"/>
    <n v="1"/>
    <n v="239.05"/>
    <n v="0.1"/>
    <n v="215.14"/>
    <s v="Card"/>
  </r>
  <r>
    <s v="ORD-0404"/>
    <d v="2025-01-16T00:00:00"/>
    <s v="CUST-0137"/>
    <s v="Ghana"/>
    <s v="West Africa"/>
    <x v="8"/>
    <s v="Electronics"/>
    <n v="5"/>
    <n v="44.25"/>
    <n v="0.2"/>
    <n v="177"/>
    <s v="Bank Transfer"/>
  </r>
  <r>
    <s v="ORD-0597"/>
    <d v="2025-01-18T00:00:00"/>
    <s v="CUST-0113"/>
    <s v="Kenya"/>
    <s v="East Africa"/>
    <x v="5"/>
    <s v="Office Supplies"/>
    <n v="3"/>
    <n v="274.88"/>
    <n v="0"/>
    <n v="824.64"/>
    <s v="Mobile Money"/>
  </r>
  <r>
    <s v="ORD-0542"/>
    <d v="2025-01-18T00:00:00"/>
    <s v="CUST-0115"/>
    <s v="South Africa"/>
    <s v="Southern Africa"/>
    <x v="7"/>
    <s v="Furniture"/>
    <n v="8"/>
    <n v="340.47"/>
    <n v="0"/>
    <n v="2723.76"/>
    <s v="Card"/>
  </r>
  <r>
    <s v="ORD-0241"/>
    <d v="2025-01-19T00:00:00"/>
    <s v="CUST-0068"/>
    <s v="Kenya"/>
    <s v="East Africa"/>
    <x v="1"/>
    <s v="Electronics"/>
    <n v="1"/>
    <n v="311.55"/>
    <n v="0.3"/>
    <n v="218.08"/>
    <s v="Card"/>
  </r>
  <r>
    <s v="ORD-0352"/>
    <d v="2025-01-19T00:00:00"/>
    <s v="CUST-0076"/>
    <s v="Ghana"/>
    <s v="West Africa"/>
    <x v="4"/>
    <s v="Office Supplies"/>
    <n v="5"/>
    <n v="16.29"/>
    <n v="0"/>
    <n v="81.45"/>
    <s v="Card"/>
  </r>
  <r>
    <s v="ORD-0493"/>
    <d v="2025-01-19T00:00:00"/>
    <s v="CUST-0074"/>
    <s v="Nigeria"/>
    <s v="West Africa"/>
    <x v="2"/>
    <s v="Furniture"/>
    <n v="8"/>
    <n v="56.28"/>
    <n v="0.1"/>
    <n v="405.22"/>
    <s v="Card"/>
  </r>
  <r>
    <s v="ORD-0284"/>
    <d v="2025-01-19T00:00:00"/>
    <s v="CUST-0023"/>
    <s v="United Kingdom"/>
    <s v="Europe"/>
    <x v="4"/>
    <s v="Office Supplies"/>
    <n v="5"/>
    <n v="15.27"/>
    <n v="0.1"/>
    <n v="68.72"/>
    <s v="Card"/>
  </r>
  <r>
    <s v="ORD-0528"/>
    <d v="2025-01-20T00:00:00"/>
    <s v="CUST-0166"/>
    <s v="Ghana"/>
    <s v="West Africa"/>
    <x v="10"/>
    <s v="Electronics"/>
    <n v="7"/>
    <n v="840.86"/>
    <n v="0.1"/>
    <n v="5297.42"/>
    <s v="Mobile Money"/>
  </r>
  <r>
    <s v="ORD-0105"/>
    <d v="2025-01-20T00:00:00"/>
    <s v="CUST-0113"/>
    <s v="United Kingdom"/>
    <s v="Europe"/>
    <x v="7"/>
    <s v="Furniture"/>
    <n v="6"/>
    <n v="382.76"/>
    <n v="0.15"/>
    <n v="1952.08"/>
    <s v="Card"/>
  </r>
  <r>
    <s v="ORD-0305"/>
    <d v="2025-01-21T00:00:00"/>
    <s v="CUST-0178"/>
    <s v="Ghana"/>
    <s v="West Africa"/>
    <x v="0"/>
    <s v="Furniture"/>
    <n v="8"/>
    <n v="200.05"/>
    <n v="0.15"/>
    <n v="1360.34"/>
    <s v="Mobile Money"/>
  </r>
  <r>
    <s v="ORD-0372"/>
    <d v="2025-01-21T00:00:00"/>
    <s v="CUST-0044"/>
    <s v="Nigeria"/>
    <s v="West Africa"/>
    <x v="3"/>
    <s v="Electronics"/>
    <n v="8"/>
    <n v="677.17"/>
    <n v="0"/>
    <n v="5417.36"/>
    <s v="Mobile Money"/>
  </r>
  <r>
    <s v="ORD-0322"/>
    <d v="2025-01-21T00:00:00"/>
    <s v="CUST-0158"/>
    <s v="United States"/>
    <s v="North America"/>
    <x v="2"/>
    <s v="Furniture"/>
    <n v="3"/>
    <n v="55.06"/>
    <n v="0.25"/>
    <n v="123.88"/>
    <s v="Card"/>
  </r>
  <r>
    <s v="ORD-0483"/>
    <d v="2025-01-21T00:00:00"/>
    <s v="CUST-0109"/>
    <s v="Nigeria"/>
    <s v="West Africa"/>
    <x v="11"/>
    <s v="Accessories"/>
    <n v="5"/>
    <n v="69.91"/>
    <n v="0"/>
    <n v="349.55"/>
    <s v="Card"/>
  </r>
  <r>
    <s v="ORD-0456"/>
    <d v="2025-01-22T00:00:00"/>
    <s v="CUST-0115"/>
    <s v="Ghana"/>
    <s v="West Africa"/>
    <x v="5"/>
    <s v="Office Supplies"/>
    <n v="1"/>
    <n v="232.86"/>
    <n v="0.05"/>
    <n v="221.22"/>
    <s v="Card"/>
  </r>
  <r>
    <s v="ORD-0188"/>
    <d v="2025-01-24T00:00:00"/>
    <s v="CUST-0060"/>
    <s v="Kenya"/>
    <s v="East Africa"/>
    <x v="3"/>
    <s v="Electronics"/>
    <n v="4"/>
    <n v="587.32000000000005"/>
    <n v="0.2"/>
    <n v="1879.42"/>
    <s v="Card"/>
  </r>
  <r>
    <s v="ORD-0469"/>
    <d v="2025-01-25T00:00:00"/>
    <s v="CUST-0028"/>
    <s v="Ghana"/>
    <s v="West Africa"/>
    <x v="6"/>
    <s v="Electronics"/>
    <n v="8"/>
    <n v="108.16"/>
    <n v="0.15"/>
    <n v="735.49"/>
    <s v="Mobile Money"/>
  </r>
  <r>
    <s v="ORD-0063"/>
    <d v="2025-01-25T00:00:00"/>
    <s v="CUST-0180"/>
    <s v="United States"/>
    <s v="North America"/>
    <x v="0"/>
    <s v="Furniture"/>
    <n v="3"/>
    <n v="219.69"/>
    <n v="0"/>
    <n v="659.07"/>
    <s v="Card"/>
  </r>
  <r>
    <s v="ORD-0256"/>
    <d v="2025-01-25T00:00:00"/>
    <s v="CUST-0141"/>
    <s v="Nigeria"/>
    <s v="West Africa"/>
    <x v="10"/>
    <s v="Electronics"/>
    <n v="6"/>
    <n v="971.69"/>
    <n v="0.2"/>
    <n v="4664.1099999999997"/>
    <s v="Card"/>
  </r>
  <r>
    <s v="ORD-0235"/>
    <d v="2025-01-26T00:00:00"/>
    <s v="CUST-0009"/>
    <s v="Kenya"/>
    <s v="East Africa"/>
    <x v="4"/>
    <s v="Office Supplies"/>
    <n v="5"/>
    <n v="15.3"/>
    <n v="0.2"/>
    <n v="61.2"/>
    <s v="Bank Transfer"/>
  </r>
  <r>
    <s v="ORD-0104"/>
    <d v="2025-01-26T00:00:00"/>
    <s v="CUST-0179"/>
    <s v="Kenya"/>
    <s v="East Africa"/>
    <x v="11"/>
    <s v="Accessories"/>
    <n v="3"/>
    <n v="79.81"/>
    <n v="0.15"/>
    <n v="203.52"/>
    <s v="Mobile Money"/>
  </r>
  <r>
    <s v="ORD-0357"/>
    <d v="2025-01-28T00:00:00"/>
    <s v="CUST-0003"/>
    <s v="South Africa"/>
    <s v="Southern Africa"/>
    <x v="5"/>
    <s v="Office Supplies"/>
    <n v="6"/>
    <n v="256.8"/>
    <n v="0.25"/>
    <n v="1155.5999999999999"/>
    <s v="Mobile Money"/>
  </r>
  <r>
    <s v="ORD-0012"/>
    <d v="2025-01-28T00:00:00"/>
    <s v="CUST-0135"/>
    <s v="South Africa"/>
    <s v="Southern Africa"/>
    <x v="6"/>
    <s v="Electronics"/>
    <n v="1"/>
    <n v="122.54"/>
    <n v="0.25"/>
    <n v="91.9"/>
    <s v="Mobile Money"/>
  </r>
  <r>
    <s v="ORD-0181"/>
    <d v="2025-01-29T00:00:00"/>
    <s v="CUST-0139"/>
    <s v="United States"/>
    <s v="North America"/>
    <x v="2"/>
    <s v="Furniture"/>
    <n v="4"/>
    <n v="56.62"/>
    <n v="0.1"/>
    <n v="203.83"/>
    <s v="Card"/>
  </r>
  <r>
    <s v="ORD-0521"/>
    <d v="2025-01-29T00:00:00"/>
    <s v="CUST-0127"/>
    <s v="United States"/>
    <s v="North America"/>
    <x v="7"/>
    <s v="Furniture"/>
    <n v="5"/>
    <n v="343.16"/>
    <n v="0.1"/>
    <n v="1544.22"/>
    <s v="Card"/>
  </r>
  <r>
    <s v="ORD-0579"/>
    <d v="2025-01-31T00:00:00"/>
    <s v="CUST-0052"/>
    <s v="United Kingdom"/>
    <s v="Europe"/>
    <x v="1"/>
    <s v="Electronics"/>
    <n v="7"/>
    <n v="316.92"/>
    <n v="0.05"/>
    <n v="2107.52"/>
    <s v="Card"/>
  </r>
  <r>
    <s v="ORD-0302"/>
    <d v="2025-01-31T00:00:00"/>
    <s v="CUST-0084"/>
    <s v="United Kingdom"/>
    <s v="Europe"/>
    <x v="11"/>
    <s v="Accessories"/>
    <n v="1"/>
    <n v="69.88"/>
    <n v="0.15"/>
    <n v="59.4"/>
    <s v="Card"/>
  </r>
  <r>
    <s v="ORD-0549"/>
    <d v="2025-02-01T00:00:00"/>
    <s v="CUST-0099"/>
    <s v="South Africa"/>
    <s v="Southern Africa"/>
    <x v="11"/>
    <s v="Accessories"/>
    <n v="8"/>
    <n v="75.88"/>
    <n v="0.05"/>
    <n v="576.69000000000005"/>
    <s v="Bank Transfer"/>
  </r>
  <r>
    <s v="ORD-0340"/>
    <d v="2025-02-04T00:00:00"/>
    <s v="CUST-0011"/>
    <s v="United States"/>
    <s v="North America"/>
    <x v="1"/>
    <s v="Electronics"/>
    <n v="8"/>
    <n v="284.37"/>
    <n v="0.2"/>
    <n v="1819.97"/>
    <s v="Card"/>
  </r>
  <r>
    <s v="ORD-0137"/>
    <d v="2025-02-05T00:00:00"/>
    <s v="CUST-0029"/>
    <s v="United States"/>
    <s v="North America"/>
    <x v="1"/>
    <s v="Electronics"/>
    <n v="2"/>
    <n v="275.13"/>
    <n v="0.05"/>
    <n v="522.75"/>
    <s v="Card"/>
  </r>
  <r>
    <s v="ORD-0333"/>
    <d v="2025-02-07T00:00:00"/>
    <s v="CUST-0142"/>
    <s v="United States"/>
    <s v="North America"/>
    <x v="4"/>
    <s v="Office Supplies"/>
    <n v="3"/>
    <n v="15.18"/>
    <n v="0"/>
    <n v="45.54"/>
    <s v="Mobile Money"/>
  </r>
  <r>
    <s v="ORD-0108"/>
    <d v="2025-02-07T00:00:00"/>
    <s v="CUST-0163"/>
    <s v="Nigeria"/>
    <s v="West Africa"/>
    <x v="3"/>
    <s v="Electronics"/>
    <n v="4"/>
    <n v="618.1"/>
    <n v="0.15"/>
    <n v="2101.54"/>
    <s v="Bank Transfer"/>
  </r>
  <r>
    <s v="ORD-0034"/>
    <d v="2025-02-07T00:00:00"/>
    <s v="CUST-0109"/>
    <s v="Nigeria"/>
    <s v="West Africa"/>
    <x v="2"/>
    <s v="Furniture"/>
    <n v="3"/>
    <n v="53.54"/>
    <n v="0.05"/>
    <n v="152.59"/>
    <s v="Card"/>
  </r>
  <r>
    <s v="ORD-0487"/>
    <d v="2025-02-08T00:00:00"/>
    <s v="CUST-0150"/>
    <s v="Nigeria"/>
    <s v="West Africa"/>
    <x v="10"/>
    <s v="Electronics"/>
    <n v="5"/>
    <n v="972.64"/>
    <n v="0"/>
    <n v="4863.2"/>
    <s v="Bank Transfer"/>
  </r>
  <r>
    <s v="ORD-0280"/>
    <d v="2025-02-08T00:00:00"/>
    <s v="CUST-0012"/>
    <s v="Kenya"/>
    <s v="East Africa"/>
    <x v="10"/>
    <s v="Electronics"/>
    <n v="8"/>
    <n v="988.63"/>
    <n v="0.15"/>
    <n v="6722.68"/>
    <s v="Card"/>
  </r>
  <r>
    <s v="ORD-0428"/>
    <d v="2025-02-08T00:00:00"/>
    <s v="CUST-0081"/>
    <s v="Ghana"/>
    <s v="West Africa"/>
    <x v="9"/>
    <s v="Electronics"/>
    <n v="6"/>
    <n v="83.49"/>
    <n v="0.05"/>
    <n v="475.89"/>
    <s v="Mobile Money"/>
  </r>
  <r>
    <s v="ORD-0064"/>
    <d v="2025-02-11T00:00:00"/>
    <s v="CUST-0167"/>
    <s v="South Africa"/>
    <s v="Southern Africa"/>
    <x v="0"/>
    <s v="Furniture"/>
    <n v="5"/>
    <n v="232.83"/>
    <n v="0.2"/>
    <n v="931.32"/>
    <s v="Card"/>
  </r>
  <r>
    <s v="ORD-0142"/>
    <d v="2025-02-11T00:00:00"/>
    <s v="CUST-0100"/>
    <s v="Ghana"/>
    <s v="West Africa"/>
    <x v="3"/>
    <s v="Electronics"/>
    <n v="7"/>
    <n v="673.81"/>
    <n v="0.2"/>
    <n v="3773.34"/>
    <s v="Mobile Money"/>
  </r>
  <r>
    <s v="ORD-0114"/>
    <d v="2025-02-11T00:00:00"/>
    <s v="CUST-0015"/>
    <s v="United States"/>
    <s v="North America"/>
    <x v="6"/>
    <s v="Electronics"/>
    <n v="7"/>
    <n v="110.81"/>
    <n v="0.25"/>
    <n v="581.75"/>
    <s v="Mobile Money"/>
  </r>
  <r>
    <s v="ORD-0413"/>
    <d v="2025-02-12T00:00:00"/>
    <s v="CUST-0117"/>
    <s v="United Kingdom"/>
    <s v="Europe"/>
    <x v="5"/>
    <s v="Office Supplies"/>
    <n v="7"/>
    <n v="242.4"/>
    <n v="0.05"/>
    <n v="1611.96"/>
    <s v="Card"/>
  </r>
  <r>
    <s v="ORD-0316"/>
    <d v="2025-02-13T00:00:00"/>
    <s v="CUST-0097"/>
    <s v="United Kingdom"/>
    <s v="Europe"/>
    <x v="10"/>
    <s v="Electronics"/>
    <n v="7"/>
    <n v="909.45"/>
    <n v="0"/>
    <n v="6366.15"/>
    <s v="Card"/>
  </r>
  <r>
    <s v="ORD-0489"/>
    <d v="2025-02-14T00:00:00"/>
    <s v="CUST-0145"/>
    <s v="South Africa"/>
    <s v="Southern Africa"/>
    <x v="7"/>
    <s v="Furniture"/>
    <n v="7"/>
    <n v="327.55"/>
    <n v="0.15"/>
    <n v="1948.92"/>
    <s v="Card"/>
  </r>
  <r>
    <s v="ORD-0175"/>
    <d v="2025-02-14T00:00:00"/>
    <s v="CUST-0058"/>
    <s v="United States"/>
    <s v="North America"/>
    <x v="0"/>
    <s v="Furniture"/>
    <n v="7"/>
    <n v="228.76"/>
    <n v="0"/>
    <n v="1601.32"/>
    <s v="Bank Transfer"/>
  </r>
  <r>
    <s v="ORD-0174"/>
    <d v="2025-02-14T00:00:00"/>
    <s v="CUST-0089"/>
    <s v="United States"/>
    <s v="North America"/>
    <x v="2"/>
    <s v="Furniture"/>
    <n v="1"/>
    <n v="51.23"/>
    <n v="0"/>
    <n v="51.23"/>
    <s v="Card"/>
  </r>
  <r>
    <s v="ORD-0036"/>
    <d v="2025-02-15T00:00:00"/>
    <s v="CUST-0117"/>
    <s v="Nigeria"/>
    <s v="West Africa"/>
    <x v="6"/>
    <s v="Electronics"/>
    <n v="8"/>
    <n v="123.49"/>
    <n v="0"/>
    <n v="987.92"/>
    <s v="Cash"/>
  </r>
  <r>
    <s v="ORD-0500"/>
    <d v="2025-02-17T00:00:00"/>
    <s v="CUST-0136"/>
    <s v="United States"/>
    <s v="North America"/>
    <x v="6"/>
    <s v="Electronics"/>
    <n v="3"/>
    <n v="109.82"/>
    <n v="0.1"/>
    <n v="296.51"/>
    <s v="Bank Transfer"/>
  </r>
  <r>
    <s v="ORD-0362"/>
    <d v="2025-02-17T00:00:00"/>
    <s v="CUST-0160"/>
    <s v="United Kingdom"/>
    <s v="Europe"/>
    <x v="2"/>
    <s v="Furniture"/>
    <n v="4"/>
    <n v="59.58"/>
    <n v="0.1"/>
    <n v="214.49"/>
    <s v="Card"/>
  </r>
  <r>
    <s v="ORD-0243"/>
    <d v="2025-02-18T00:00:00"/>
    <s v="CUST-0060"/>
    <s v="Ghana"/>
    <s v="West Africa"/>
    <x v="9"/>
    <s v="Electronics"/>
    <n v="1"/>
    <n v="75.63"/>
    <n v="0.05"/>
    <n v="71.849999999999994"/>
    <s v="Card"/>
  </r>
  <r>
    <s v="ORD-0236"/>
    <d v="2025-02-18T00:00:00"/>
    <s v="CUST-0154"/>
    <s v="South Africa"/>
    <s v="Southern Africa"/>
    <x v="9"/>
    <s v="Electronics"/>
    <n v="2"/>
    <n v="77.77"/>
    <n v="0.25"/>
    <n v="116.66"/>
    <s v="Bank Transfer"/>
  </r>
  <r>
    <s v="ORD-0300"/>
    <d v="2025-02-18T00:00:00"/>
    <s v="CUST-0149"/>
    <s v="United States"/>
    <s v="North America"/>
    <x v="5"/>
    <s v="Office Supplies"/>
    <n v="3"/>
    <n v="246.48"/>
    <n v="0.2"/>
    <n v="591.54999999999995"/>
    <s v="Bank Transfer"/>
  </r>
  <r>
    <s v="ORD-0504"/>
    <d v="2025-02-18T00:00:00"/>
    <s v="CUST-0137"/>
    <s v="Ghana"/>
    <s v="West Africa"/>
    <x v="4"/>
    <s v="Office Supplies"/>
    <n v="8"/>
    <n v="13.53"/>
    <n v="0.05"/>
    <n v="102.83"/>
    <s v="Mobile Money"/>
  </r>
  <r>
    <s v="ORD-0003"/>
    <d v="2025-02-18T00:00:00"/>
    <s v="CUST-0059"/>
    <s v="Ghana"/>
    <s v="West Africa"/>
    <x v="7"/>
    <s v="Furniture"/>
    <n v="1"/>
    <n v="336.3"/>
    <n v="0.1"/>
    <n v="302.67"/>
    <s v="Mobile Money"/>
  </r>
  <r>
    <s v="ORD-0244"/>
    <d v="2025-02-19T00:00:00"/>
    <s v="CUST-0067"/>
    <s v="Ghana"/>
    <s v="West Africa"/>
    <x v="7"/>
    <s v="Furniture"/>
    <n v="4"/>
    <n v="331.36"/>
    <n v="0.1"/>
    <n v="1192.9000000000001"/>
    <s v="Bank Transfer"/>
  </r>
  <r>
    <s v="ORD-0298"/>
    <d v="2025-02-19T00:00:00"/>
    <s v="CUST-0003"/>
    <s v="Nigeria"/>
    <s v="West Africa"/>
    <x v="8"/>
    <s v="Electronics"/>
    <n v="2"/>
    <n v="45.79"/>
    <n v="0"/>
    <n v="91.58"/>
    <s v="Card"/>
  </r>
  <r>
    <s v="ORD-0273"/>
    <d v="2025-02-20T00:00:00"/>
    <s v="CUST-0005"/>
    <s v="Kenya"/>
    <s v="East Africa"/>
    <x v="0"/>
    <s v="Furniture"/>
    <n v="3"/>
    <n v="240.71"/>
    <n v="0.25"/>
    <n v="541.6"/>
    <s v="Bank Transfer"/>
  </r>
  <r>
    <s v="ORD-0004"/>
    <d v="2025-02-20T00:00:00"/>
    <s v="CUST-0108"/>
    <s v="Nigeria"/>
    <s v="West Africa"/>
    <x v="2"/>
    <s v="Furniture"/>
    <n v="4"/>
    <n v="53.53"/>
    <n v="0.1"/>
    <n v="192.71"/>
    <s v="Bank Transfer"/>
  </r>
  <r>
    <s v="ORD-0007"/>
    <d v="2025-02-23T00:00:00"/>
    <s v="CUST-0106"/>
    <s v="Ghana"/>
    <s v="West Africa"/>
    <x v="10"/>
    <s v="Electronics"/>
    <n v="4"/>
    <n v="842.8"/>
    <n v="0.15"/>
    <n v="2865.52"/>
    <s v="Mobile Money"/>
  </r>
  <r>
    <s v="ORD-0073"/>
    <d v="2025-02-23T00:00:00"/>
    <s v="CUST-0118"/>
    <s v="United States"/>
    <s v="North America"/>
    <x v="3"/>
    <s v="Electronics"/>
    <n v="7"/>
    <n v="666.82"/>
    <n v="0.15"/>
    <n v="3967.58"/>
    <s v="Mobile Money"/>
  </r>
  <r>
    <s v="ORD-0399"/>
    <d v="2025-02-25T00:00:00"/>
    <s v="CUST-0179"/>
    <s v="South Africa"/>
    <s v="Southern Africa"/>
    <x v="3"/>
    <s v="Electronics"/>
    <n v="7"/>
    <n v="707.59"/>
    <n v="0.1"/>
    <n v="4457.82"/>
    <s v="Card"/>
  </r>
  <r>
    <s v="ORD-0459"/>
    <d v="2025-02-28T00:00:00"/>
    <s v="CUST-0033"/>
    <s v="South Africa"/>
    <s v="Southern Africa"/>
    <x v="10"/>
    <s v="Electronics"/>
    <n v="5"/>
    <n v="941.89"/>
    <n v="0.1"/>
    <n v="4238.5"/>
    <s v="Card"/>
  </r>
  <r>
    <s v="ORD-0503"/>
    <d v="2025-03-01T00:00:00"/>
    <s v="CUST-0116"/>
    <s v="Nigeria"/>
    <s v="West Africa"/>
    <x v="11"/>
    <s v="Accessories"/>
    <n v="6"/>
    <n v="73.09"/>
    <n v="0"/>
    <n v="438.54"/>
    <s v="Card"/>
  </r>
  <r>
    <s v="ORD-0421"/>
    <d v="2025-03-02T00:00:00"/>
    <s v="CUST-0122"/>
    <s v="Kenya"/>
    <s v="East Africa"/>
    <x v="11"/>
    <s v="Accessories"/>
    <n v="1"/>
    <n v="81.87"/>
    <n v="0.1"/>
    <n v="73.680000000000007"/>
    <s v="Card"/>
  </r>
  <r>
    <s v="ORD-0388"/>
    <d v="2025-03-02T00:00:00"/>
    <s v="CUST-0083"/>
    <s v="Nigeria"/>
    <s v="West Africa"/>
    <x v="6"/>
    <s v="Electronics"/>
    <n v="6"/>
    <n v="127.4"/>
    <n v="0.25"/>
    <n v="573.29999999999995"/>
    <s v="Card"/>
  </r>
  <r>
    <s v="ORD-0090"/>
    <d v="2025-03-02T00:00:00"/>
    <s v="CUST-0122"/>
    <s v="Ghana"/>
    <s v="West Africa"/>
    <x v="9"/>
    <s v="Electronics"/>
    <n v="1"/>
    <n v="86.35"/>
    <n v="0.1"/>
    <n v="77.72"/>
    <s v="Mobile Money"/>
  </r>
  <r>
    <s v="ORD-0093"/>
    <d v="2025-03-02T00:00:00"/>
    <s v="CUST-0081"/>
    <s v="United Kingdom"/>
    <s v="Europe"/>
    <x v="8"/>
    <s v="Electronics"/>
    <n v="6"/>
    <n v="41.24"/>
    <n v="0.2"/>
    <n v="197.95"/>
    <s v="Cash"/>
  </r>
  <r>
    <s v="ORD-0167"/>
    <d v="2025-03-03T00:00:00"/>
    <s v="CUST-0145"/>
    <s v="United States"/>
    <s v="North America"/>
    <x v="5"/>
    <s v="Office Supplies"/>
    <n v="1"/>
    <n v="233.69"/>
    <n v="0.1"/>
    <n v="210.32"/>
    <s v="Bank Transfer"/>
  </r>
  <r>
    <s v="ORD-0264"/>
    <d v="2025-03-03T00:00:00"/>
    <s v="CUST-0149"/>
    <s v="Ghana"/>
    <s v="West Africa"/>
    <x v="1"/>
    <s v="Electronics"/>
    <n v="5"/>
    <n v="293.22000000000003"/>
    <n v="0.25"/>
    <n v="1099.58"/>
    <s v="Card"/>
  </r>
  <r>
    <s v="ORD-0336"/>
    <d v="2025-03-04T00:00:00"/>
    <s v="CUST-0073"/>
    <s v="United States"/>
    <s v="North America"/>
    <x v="5"/>
    <s v="Office Supplies"/>
    <n v="3"/>
    <n v="265.25"/>
    <n v="0"/>
    <n v="795.75"/>
    <s v="Cash"/>
  </r>
  <r>
    <s v="ORD-0534"/>
    <d v="2025-03-05T00:00:00"/>
    <s v="CUST-0042"/>
    <s v="United Kingdom"/>
    <s v="Europe"/>
    <x v="0"/>
    <s v="Furniture"/>
    <n v="4"/>
    <n v="200.95"/>
    <n v="0.3"/>
    <n v="562.66"/>
    <s v="Bank Transfer"/>
  </r>
  <r>
    <s v="ORD-0161"/>
    <d v="2025-03-06T00:00:00"/>
    <s v="CUST-0177"/>
    <s v="United States"/>
    <s v="North America"/>
    <x v="8"/>
    <s v="Electronics"/>
    <n v="2"/>
    <n v="41.33"/>
    <n v="0.05"/>
    <n v="78.53"/>
    <s v="Mobile Money"/>
  </r>
  <r>
    <s v="ORD-0541"/>
    <d v="2025-03-06T00:00:00"/>
    <s v="CUST-0057"/>
    <s v="Nigeria"/>
    <s v="West Africa"/>
    <x v="9"/>
    <s v="Electronics"/>
    <n v="3"/>
    <n v="72.05"/>
    <n v="0"/>
    <n v="216.15"/>
    <s v="Bank Transfer"/>
  </r>
  <r>
    <s v="ORD-0224"/>
    <d v="2025-03-06T00:00:00"/>
    <s v="CUST-0076"/>
    <s v="United States"/>
    <s v="North America"/>
    <x v="10"/>
    <s v="Electronics"/>
    <n v="8"/>
    <n v="863.44"/>
    <n v="0.15"/>
    <n v="5871.39"/>
    <s v="Card"/>
  </r>
  <r>
    <s v="ORD-0342"/>
    <d v="2025-03-06T00:00:00"/>
    <s v="CUST-0008"/>
    <s v="United Kingdom"/>
    <s v="Europe"/>
    <x v="8"/>
    <s v="Electronics"/>
    <n v="5"/>
    <n v="40.79"/>
    <n v="0.2"/>
    <n v="163.16"/>
    <s v="Card"/>
  </r>
  <r>
    <s v="ORD-0287"/>
    <d v="2025-03-07T00:00:00"/>
    <s v="CUST-0169"/>
    <s v="South Africa"/>
    <s v="Southern Africa"/>
    <x v="8"/>
    <s v="Electronics"/>
    <n v="2"/>
    <n v="47.18"/>
    <n v="0.2"/>
    <n v="75.489999999999995"/>
    <s v="Mobile Money"/>
  </r>
  <r>
    <s v="ORD-0098"/>
    <d v="2025-03-08T00:00:00"/>
    <s v="CUST-0109"/>
    <s v="Nigeria"/>
    <s v="West Africa"/>
    <x v="2"/>
    <s v="Furniture"/>
    <n v="1"/>
    <n v="59.3"/>
    <n v="0.1"/>
    <n v="53.37"/>
    <s v="Mobile Money"/>
  </r>
  <r>
    <s v="ORD-0168"/>
    <d v="2025-03-09T00:00:00"/>
    <s v="CUST-0142"/>
    <s v="Ghana"/>
    <s v="West Africa"/>
    <x v="6"/>
    <s v="Electronics"/>
    <n v="6"/>
    <n v="122.95"/>
    <n v="0.15"/>
    <n v="627.04999999999995"/>
    <s v="Card"/>
  </r>
  <r>
    <s v="ORD-0068"/>
    <d v="2025-03-11T00:00:00"/>
    <s v="CUST-0159"/>
    <s v="Nigeria"/>
    <s v="West Africa"/>
    <x v="0"/>
    <s v="Furniture"/>
    <n v="1"/>
    <n v="239.68"/>
    <n v="0.3"/>
    <n v="167.78"/>
    <s v="Bank Transfer"/>
  </r>
  <r>
    <s v="ORD-0289"/>
    <d v="2025-03-11T00:00:00"/>
    <s v="CUST-0056"/>
    <s v="United Kingdom"/>
    <s v="Europe"/>
    <x v="7"/>
    <s v="Furniture"/>
    <n v="1"/>
    <n v="362.49"/>
    <n v="0.15"/>
    <n v="308.12"/>
    <s v="Bank Transfer"/>
  </r>
  <r>
    <s v="ORD-0558"/>
    <d v="2025-03-13T00:00:00"/>
    <s v="CUST-0155"/>
    <s v="Ghana"/>
    <s v="West Africa"/>
    <x v="3"/>
    <s v="Electronics"/>
    <n v="8"/>
    <n v="615.87"/>
    <n v="0"/>
    <n v="4926.96"/>
    <s v="Bank Transfer"/>
  </r>
  <r>
    <s v="ORD-0092"/>
    <d v="2025-03-14T00:00:00"/>
    <s v="CUST-0026"/>
    <s v="Kenya"/>
    <s v="East Africa"/>
    <x v="2"/>
    <s v="Furniture"/>
    <n v="2"/>
    <n v="59.34"/>
    <n v="0"/>
    <n v="118.68"/>
    <s v="Card"/>
  </r>
  <r>
    <s v="ORD-0470"/>
    <d v="2025-03-14T00:00:00"/>
    <s v="CUST-0046"/>
    <s v="South Africa"/>
    <s v="Southern Africa"/>
    <x v="0"/>
    <s v="Furniture"/>
    <n v="7"/>
    <n v="209.14"/>
    <n v="0.1"/>
    <n v="1317.58"/>
    <s v="Cash"/>
  </r>
  <r>
    <s v="ORD-0472"/>
    <d v="2025-03-14T00:00:00"/>
    <s v="CUST-0155"/>
    <s v="United States"/>
    <s v="North America"/>
    <x v="7"/>
    <s v="Furniture"/>
    <n v="7"/>
    <n v="371.5"/>
    <n v="0.2"/>
    <n v="2080.4"/>
    <s v="Bank Transfer"/>
  </r>
  <r>
    <s v="ORD-0429"/>
    <d v="2025-03-15T00:00:00"/>
    <s v="CUST-0036"/>
    <s v="Ghana"/>
    <s v="West Africa"/>
    <x v="9"/>
    <s v="Electronics"/>
    <n v="2"/>
    <n v="84.35"/>
    <n v="0.1"/>
    <n v="151.83000000000001"/>
    <s v="Card"/>
  </r>
  <r>
    <s v="ORD-0178"/>
    <d v="2025-03-15T00:00:00"/>
    <s v="CUST-0063"/>
    <s v="Ghana"/>
    <s v="West Africa"/>
    <x v="3"/>
    <s v="Electronics"/>
    <n v="4"/>
    <n v="586.17999999999995"/>
    <n v="0.2"/>
    <n v="1875.78"/>
    <s v="Card"/>
  </r>
  <r>
    <s v="ORD-0546"/>
    <d v="2025-03-18T00:00:00"/>
    <s v="CUST-0090"/>
    <s v="Kenya"/>
    <s v="East Africa"/>
    <x v="9"/>
    <s v="Electronics"/>
    <n v="5"/>
    <n v="86.24"/>
    <n v="0.2"/>
    <n v="344.96"/>
    <s v="Mobile Money"/>
  </r>
  <r>
    <s v="ORD-0297"/>
    <d v="2025-03-19T00:00:00"/>
    <s v="CUST-0124"/>
    <s v="Kenya"/>
    <s v="East Africa"/>
    <x v="0"/>
    <s v="Furniture"/>
    <n v="4"/>
    <n v="232.57"/>
    <n v="0"/>
    <n v="930.28"/>
    <s v="Card"/>
  </r>
  <r>
    <s v="ORD-0111"/>
    <d v="2025-03-19T00:00:00"/>
    <s v="CUST-0154"/>
    <s v="United Kingdom"/>
    <s v="Europe"/>
    <x v="2"/>
    <s v="Furniture"/>
    <n v="6"/>
    <n v="58.58"/>
    <n v="0"/>
    <n v="351.48"/>
    <s v="Card"/>
  </r>
  <r>
    <s v="ORD-0453"/>
    <d v="2025-03-19T00:00:00"/>
    <s v="CUST-0058"/>
    <s v="Kenya"/>
    <s v="East Africa"/>
    <x v="0"/>
    <s v="Furniture"/>
    <n v="2"/>
    <n v="198.71"/>
    <n v="0.2"/>
    <n v="317.94"/>
    <s v="Card"/>
  </r>
  <r>
    <s v="ORD-0434"/>
    <d v="2025-03-23T00:00:00"/>
    <s v="CUST-0068"/>
    <s v="South Africa"/>
    <s v="Southern Africa"/>
    <x v="10"/>
    <s v="Electronics"/>
    <n v="2"/>
    <n v="988.64"/>
    <n v="0.1"/>
    <n v="1779.55"/>
    <s v="Mobile Money"/>
  </r>
  <r>
    <s v="ORD-0176"/>
    <d v="2025-03-23T00:00:00"/>
    <s v="CUST-0100"/>
    <s v="Kenya"/>
    <s v="East Africa"/>
    <x v="1"/>
    <s v="Electronics"/>
    <n v="2"/>
    <n v="277.73"/>
    <n v="0.05"/>
    <n v="527.69000000000005"/>
    <s v="Bank Transfer"/>
  </r>
  <r>
    <s v="ORD-0457"/>
    <d v="2025-03-24T00:00:00"/>
    <s v="CUST-0179"/>
    <s v="Kenya"/>
    <s v="East Africa"/>
    <x v="9"/>
    <s v="Electronics"/>
    <n v="7"/>
    <n v="77.010000000000005"/>
    <n v="0.25"/>
    <n v="404.3"/>
    <s v="Bank Transfer"/>
  </r>
  <r>
    <s v="ORD-0260"/>
    <d v="2025-03-24T00:00:00"/>
    <s v="CUST-0137"/>
    <s v="Ghana"/>
    <s v="West Africa"/>
    <x v="4"/>
    <s v="Office Supplies"/>
    <n v="2"/>
    <n v="13.67"/>
    <n v="0.15"/>
    <n v="23.24"/>
    <s v="Cash"/>
  </r>
  <r>
    <s v="ORD-0335"/>
    <d v="2025-03-24T00:00:00"/>
    <s v="CUST-0110"/>
    <s v="Ghana"/>
    <s v="West Africa"/>
    <x v="9"/>
    <s v="Electronics"/>
    <n v="6"/>
    <n v="86.69"/>
    <n v="0.05"/>
    <n v="494.13"/>
    <s v="Bank Transfer"/>
  </r>
  <r>
    <s v="ORD-0208"/>
    <d v="2025-03-25T00:00:00"/>
    <s v="CUST-0130"/>
    <s v="Kenya"/>
    <s v="East Africa"/>
    <x v="11"/>
    <s v="Accessories"/>
    <n v="4"/>
    <n v="73.58"/>
    <n v="0.1"/>
    <n v="264.89"/>
    <s v="Mobile Money"/>
  </r>
  <r>
    <s v="ORD-0355"/>
    <d v="2025-03-25T00:00:00"/>
    <s v="CUST-0113"/>
    <s v="Ghana"/>
    <s v="West Africa"/>
    <x v="10"/>
    <s v="Electronics"/>
    <n v="7"/>
    <n v="929.28"/>
    <n v="0"/>
    <n v="6504.96"/>
    <s v="Mobile Money"/>
  </r>
  <r>
    <s v="ORD-0334"/>
    <d v="2025-03-25T00:00:00"/>
    <s v="CUST-0113"/>
    <s v="United States"/>
    <s v="North America"/>
    <x v="9"/>
    <s v="Electronics"/>
    <n v="6"/>
    <n v="78.09"/>
    <n v="0.3"/>
    <n v="327.98"/>
    <s v="Card"/>
  </r>
  <r>
    <s v="ORD-0438"/>
    <d v="2025-03-25T00:00:00"/>
    <s v="CUST-0143"/>
    <s v="United States"/>
    <s v="North America"/>
    <x v="5"/>
    <s v="Office Supplies"/>
    <n v="8"/>
    <n v="245.05"/>
    <n v="0.15"/>
    <n v="1666.34"/>
    <s v="Bank Transfer"/>
  </r>
  <r>
    <s v="ORD-0318"/>
    <d v="2025-03-26T00:00:00"/>
    <s v="CUST-0072"/>
    <s v="Ghana"/>
    <s v="West Africa"/>
    <x v="2"/>
    <s v="Furniture"/>
    <n v="2"/>
    <n v="50.53"/>
    <n v="0.05"/>
    <n v="96.01"/>
    <s v="Bank Transfer"/>
  </r>
  <r>
    <s v="ORD-0498"/>
    <d v="2025-03-27T00:00:00"/>
    <s v="CUST-0080"/>
    <s v="United States"/>
    <s v="North America"/>
    <x v="11"/>
    <s v="Accessories"/>
    <n v="4"/>
    <n v="77.959999999999994"/>
    <n v="0.15"/>
    <n v="265.06"/>
    <s v="Mobile Money"/>
  </r>
  <r>
    <s v="ORD-0017"/>
    <d v="2025-03-27T00:00:00"/>
    <s v="CUST-0028"/>
    <s v="South Africa"/>
    <s v="Southern Africa"/>
    <x v="4"/>
    <s v="Office Supplies"/>
    <n v="5"/>
    <n v="14.19"/>
    <n v="0"/>
    <n v="70.95"/>
    <s v="Card"/>
  </r>
  <r>
    <s v="ORD-0193"/>
    <d v="2025-03-27T00:00:00"/>
    <s v="CUST-0092"/>
    <s v="Ghana"/>
    <s v="West Africa"/>
    <x v="10"/>
    <s v="Electronics"/>
    <n v="4"/>
    <n v="987.6"/>
    <n v="0"/>
    <n v="3950.4"/>
    <s v="Mobile Money"/>
  </r>
  <r>
    <s v="ORD-0570"/>
    <d v="2025-03-28T00:00:00"/>
    <s v="CUST-0176"/>
    <s v="Nigeria"/>
    <s v="West Africa"/>
    <x v="3"/>
    <s v="Electronics"/>
    <n v="7"/>
    <n v="700"/>
    <n v="0.2"/>
    <n v="3920"/>
    <s v="Cash"/>
  </r>
  <r>
    <s v="ORD-0283"/>
    <d v="2025-03-29T00:00:00"/>
    <s v="CUST-0044"/>
    <s v="Ghana"/>
    <s v="West Africa"/>
    <x v="7"/>
    <s v="Furniture"/>
    <n v="7"/>
    <n v="321.43"/>
    <n v="0.25"/>
    <n v="1687.51"/>
    <s v="Mobile Money"/>
  </r>
  <r>
    <s v="ORD-0125"/>
    <d v="2025-03-31T00:00:00"/>
    <s v="CUST-0075"/>
    <s v="Ghana"/>
    <s v="West Africa"/>
    <x v="8"/>
    <s v="Electronics"/>
    <n v="5"/>
    <n v="45.93"/>
    <n v="0"/>
    <n v="229.65"/>
    <s v="Card"/>
  </r>
  <r>
    <s v="ORD-0057"/>
    <d v="2025-03-31T00:00:00"/>
    <s v="CUST-0162"/>
    <s v="Ghana"/>
    <s v="West Africa"/>
    <x v="6"/>
    <s v="Electronics"/>
    <n v="2"/>
    <n v="124.39"/>
    <n v="0"/>
    <n v="248.78"/>
    <s v="Card"/>
  </r>
  <r>
    <s v="ORD-0417"/>
    <d v="2025-03-31T00:00:00"/>
    <s v="CUST-0106"/>
    <s v="South Africa"/>
    <s v="Southern Africa"/>
    <x v="4"/>
    <s v="Office Supplies"/>
    <n v="7"/>
    <n v="15.18"/>
    <n v="0.15"/>
    <n v="90.32"/>
    <s v="Card"/>
  </r>
  <r>
    <s v="ORD-0232"/>
    <d v="2025-03-31T00:00:00"/>
    <s v="CUST-0089"/>
    <s v="South Africa"/>
    <s v="Southern Africa"/>
    <x v="5"/>
    <s v="Office Supplies"/>
    <n v="4"/>
    <n v="260.88"/>
    <n v="0.1"/>
    <n v="939.17"/>
    <s v="Cash"/>
  </r>
  <r>
    <s v="ORD-0184"/>
    <d v="2025-04-02T00:00:00"/>
    <s v="CUST-0021"/>
    <s v="United Kingdom"/>
    <s v="Europe"/>
    <x v="0"/>
    <s v="Furniture"/>
    <n v="6"/>
    <n v="203.78"/>
    <n v="0.2"/>
    <n v="978.14"/>
    <s v="Cash"/>
  </r>
  <r>
    <s v="ORD-0480"/>
    <d v="2025-04-02T00:00:00"/>
    <s v="CUST-0018"/>
    <s v="South Africa"/>
    <s v="Southern Africa"/>
    <x v="5"/>
    <s v="Office Supplies"/>
    <n v="8"/>
    <n v="247.13"/>
    <n v="0.15"/>
    <n v="1680.48"/>
    <s v="Cash"/>
  </r>
  <r>
    <s v="ORD-0202"/>
    <d v="2025-04-03T00:00:00"/>
    <s v="CUST-0097"/>
    <s v="Nigeria"/>
    <s v="West Africa"/>
    <x v="9"/>
    <s v="Electronics"/>
    <n v="1"/>
    <n v="79.89"/>
    <n v="0"/>
    <n v="79.89"/>
    <s v="Card"/>
  </r>
  <r>
    <s v="ORD-0494"/>
    <d v="2025-04-03T00:00:00"/>
    <s v="CUST-0176"/>
    <s v="Nigeria"/>
    <s v="West Africa"/>
    <x v="5"/>
    <s v="Office Supplies"/>
    <n v="1"/>
    <n v="235.18"/>
    <n v="0.05"/>
    <n v="223.42"/>
    <s v="Mobile Money"/>
  </r>
  <r>
    <s v="ORD-0347"/>
    <d v="2025-04-03T00:00:00"/>
    <s v="CUST-0109"/>
    <s v="Ghana"/>
    <s v="West Africa"/>
    <x v="11"/>
    <s v="Accessories"/>
    <n v="2"/>
    <n v="81.11"/>
    <n v="0.05"/>
    <n v="154.11000000000001"/>
    <s v="Mobile Money"/>
  </r>
  <r>
    <s v="ORD-0555"/>
    <d v="2025-04-04T00:00:00"/>
    <s v="CUST-0149"/>
    <s v="South Africa"/>
    <s v="Southern Africa"/>
    <x v="3"/>
    <s v="Electronics"/>
    <n v="5"/>
    <n v="677.06"/>
    <n v="0.1"/>
    <n v="3046.77"/>
    <s v="Mobile Money"/>
  </r>
  <r>
    <s v="ORD-0037"/>
    <d v="2025-04-05T00:00:00"/>
    <s v="CUST-0099"/>
    <s v="United States"/>
    <s v="North America"/>
    <x v="2"/>
    <s v="Furniture"/>
    <n v="1"/>
    <n v="59.98"/>
    <n v="0.05"/>
    <n v="56.98"/>
    <s v="Mobile Money"/>
  </r>
  <r>
    <s v="ORD-0056"/>
    <d v="2025-04-05T00:00:00"/>
    <s v="CUST-0046"/>
    <s v="Nigeria"/>
    <s v="West Africa"/>
    <x v="10"/>
    <s v="Electronics"/>
    <n v="8"/>
    <n v="972.96"/>
    <n v="0"/>
    <n v="7783.68"/>
    <s v="Card"/>
  </r>
  <r>
    <s v="ORD-0053"/>
    <d v="2025-04-06T00:00:00"/>
    <s v="CUST-0001"/>
    <s v="United States"/>
    <s v="North America"/>
    <x v="0"/>
    <s v="Furniture"/>
    <n v="2"/>
    <n v="209.48"/>
    <n v="0"/>
    <n v="418.96"/>
    <s v="Cash"/>
  </r>
  <r>
    <s v="ORD-0594"/>
    <d v="2025-04-06T00:00:00"/>
    <s v="CUST-0006"/>
    <s v="Nigeria"/>
    <s v="West Africa"/>
    <x v="1"/>
    <s v="Electronics"/>
    <n v="6"/>
    <n v="285.07"/>
    <n v="0.2"/>
    <n v="1368.34"/>
    <s v="Mobile Money"/>
  </r>
  <r>
    <s v="ORD-0115"/>
    <d v="2025-04-07T00:00:00"/>
    <s v="CUST-0155"/>
    <s v="United States"/>
    <s v="North America"/>
    <x v="10"/>
    <s v="Electronics"/>
    <n v="4"/>
    <n v="943.46"/>
    <n v="0.1"/>
    <n v="3396.46"/>
    <s v="Cash"/>
  </r>
  <r>
    <s v="ORD-0079"/>
    <d v="2025-04-08T00:00:00"/>
    <s v="CUST-0105"/>
    <s v="Nigeria"/>
    <s v="West Africa"/>
    <x v="5"/>
    <s v="Office Supplies"/>
    <n v="7"/>
    <n v="244.65"/>
    <n v="0.2"/>
    <n v="1370.04"/>
    <s v="Mobile Money"/>
  </r>
  <r>
    <s v="ORD-0600"/>
    <d v="2025-04-09T00:00:00"/>
    <s v="CUST-0011"/>
    <s v="Ghana"/>
    <s v="West Africa"/>
    <x v="8"/>
    <s v="Electronics"/>
    <n v="0"/>
    <n v="46.46"/>
    <n v="0.15"/>
    <n v="39.49"/>
    <s v="Card"/>
  </r>
  <r>
    <s v="ORD-0059"/>
    <d v="2025-04-09T00:00:00"/>
    <s v="CUST-0036"/>
    <s v="United States"/>
    <s v="North America"/>
    <x v="0"/>
    <s v="Furniture"/>
    <n v="2"/>
    <n v="216.63"/>
    <n v="0.1"/>
    <n v="389.93"/>
    <s v="Mobile Money"/>
  </r>
  <r>
    <s v="ORD-0022"/>
    <d v="2025-04-11T00:00:00"/>
    <s v="CUST-0113"/>
    <s v="Ghana"/>
    <s v="West Africa"/>
    <x v="5"/>
    <s v="Office Supplies"/>
    <n v="4"/>
    <n v="237.34"/>
    <n v="0.15"/>
    <n v="806.96"/>
    <s v="Bank Transfer"/>
  </r>
  <r>
    <s v="ORD-0055"/>
    <d v="2025-04-11T00:00:00"/>
    <s v="CUST-0012"/>
    <s v="South Africa"/>
    <s v="Southern Africa"/>
    <x v="3"/>
    <s v="Electronics"/>
    <n v="3"/>
    <n v="668.63"/>
    <n v="0.1"/>
    <n v="1805.3"/>
    <s v="Mobile Money"/>
  </r>
  <r>
    <s v="ORD-0245"/>
    <d v="2025-04-12T00:00:00"/>
    <s v="CUST-0035"/>
    <s v="Kenya"/>
    <s v="East Africa"/>
    <x v="5"/>
    <s v="Office Supplies"/>
    <n v="3"/>
    <n v="234.52"/>
    <n v="0"/>
    <n v="703.56"/>
    <s v="Card"/>
  </r>
  <r>
    <s v="ORD-0591"/>
    <d v="2025-04-13T00:00:00"/>
    <s v="CUST-0125"/>
    <s v="United States"/>
    <s v="North America"/>
    <x v="8"/>
    <s v="Electronics"/>
    <n v="7"/>
    <n v="42.48"/>
    <n v="0.2"/>
    <n v="237.89"/>
    <s v="Cash"/>
  </r>
  <r>
    <s v="ORD-0045"/>
    <d v="2025-04-13T00:00:00"/>
    <s v="CUST-0006"/>
    <s v="Kenya"/>
    <s v="East Africa"/>
    <x v="7"/>
    <s v="Furniture"/>
    <n v="1"/>
    <n v="372.95"/>
    <n v="0.05"/>
    <n v="354.3"/>
    <s v="Cash"/>
  </r>
  <r>
    <s v="ORD-0353"/>
    <d v="2025-04-13T00:00:00"/>
    <s v="CUST-0008"/>
    <s v="United States"/>
    <s v="North America"/>
    <x v="7"/>
    <s v="Furniture"/>
    <n v="5"/>
    <n v="357.55"/>
    <n v="0.05"/>
    <n v="1698.36"/>
    <s v="Bank Transfer"/>
  </r>
  <r>
    <s v="ORD-0112"/>
    <d v="2025-04-14T00:00:00"/>
    <s v="CUST-0014"/>
    <s v="United States"/>
    <s v="North America"/>
    <x v="8"/>
    <s v="Electronics"/>
    <n v="5"/>
    <n v="45.79"/>
    <n v="0.15"/>
    <n v="194.61"/>
    <s v="Mobile Money"/>
  </r>
  <r>
    <s v="ORD-0449"/>
    <d v="2025-04-14T00:00:00"/>
    <s v="CUST-0015"/>
    <s v="United Kingdom"/>
    <s v="Europe"/>
    <x v="8"/>
    <s v="Electronics"/>
    <n v="3"/>
    <n v="43.82"/>
    <n v="0.25"/>
    <n v="98.6"/>
    <s v="Bank Transfer"/>
  </r>
  <r>
    <s v="ORD-0516"/>
    <d v="2025-04-14T00:00:00"/>
    <s v="CUST-0077"/>
    <s v="South Africa"/>
    <s v="Southern Africa"/>
    <x v="11"/>
    <s v="Accessories"/>
    <n v="1"/>
    <n v="80.97"/>
    <n v="0.2"/>
    <n v="64.78"/>
    <s v="Card"/>
  </r>
  <r>
    <s v="ORD-0040"/>
    <d v="2025-04-14T00:00:00"/>
    <s v="CUST-0161"/>
    <s v="South Africa"/>
    <s v="Southern Africa"/>
    <x v="1"/>
    <s v="Electronics"/>
    <n v="2"/>
    <n v="285.25"/>
    <n v="0.05"/>
    <n v="541.98"/>
    <s v="Card"/>
  </r>
  <r>
    <s v="ORD-0356"/>
    <d v="2025-04-15T00:00:00"/>
    <s v="CUST-0051"/>
    <s v="Ghana"/>
    <s v="West Africa"/>
    <x v="5"/>
    <s v="Office Supplies"/>
    <n v="3"/>
    <n v="242.74"/>
    <n v="0.25"/>
    <n v="546.16"/>
    <s v="Mobile Money"/>
  </r>
  <r>
    <s v="ORD-0569"/>
    <d v="2025-04-15T00:00:00"/>
    <s v="CUST-0044"/>
    <s v="Nigeria"/>
    <s v="West Africa"/>
    <x v="6"/>
    <s v="Electronics"/>
    <n v="2"/>
    <n v="130.6"/>
    <n v="0.2"/>
    <n v="208.96"/>
    <s v="Mobile Money"/>
  </r>
  <r>
    <s v="ORD-0304"/>
    <d v="2025-04-16T00:00:00"/>
    <s v="CUST-0070"/>
    <s v="Nigeria"/>
    <s v="West Africa"/>
    <x v="2"/>
    <s v="Furniture"/>
    <n v="6"/>
    <n v="52.25"/>
    <n v="0.05"/>
    <n v="297.82"/>
    <s v="Bank Transfer"/>
  </r>
  <r>
    <s v="ORD-0360"/>
    <d v="2025-04-17T00:00:00"/>
    <s v="CUST-0146"/>
    <s v="Kenya"/>
    <s v="East Africa"/>
    <x v="8"/>
    <s v="Electronics"/>
    <n v="7"/>
    <n v="47.85"/>
    <n v="0"/>
    <n v="334.95"/>
    <s v="Card"/>
  </r>
  <r>
    <s v="ORD-0423"/>
    <d v="2025-04-18T00:00:00"/>
    <s v="CUST-0161"/>
    <s v="Kenya"/>
    <s v="East Africa"/>
    <x v="6"/>
    <s v="Electronics"/>
    <n v="6"/>
    <n v="128.74"/>
    <n v="0.1"/>
    <n v="695.2"/>
    <s v="Bank Transfer"/>
  </r>
  <r>
    <s v="ORD-0238"/>
    <d v="2025-04-18T00:00:00"/>
    <s v="CUST-0161"/>
    <s v="United Kingdom"/>
    <s v="Europe"/>
    <x v="5"/>
    <s v="Office Supplies"/>
    <n v="1"/>
    <n v="246.2"/>
    <n v="0"/>
    <n v="246.2"/>
    <s v="Card"/>
  </r>
  <r>
    <s v="ORD-0370"/>
    <d v="2025-04-19T00:00:00"/>
    <s v="CUST-0022"/>
    <s v="United Kingdom"/>
    <s v="Europe"/>
    <x v="10"/>
    <s v="Electronics"/>
    <n v="5"/>
    <n v="861.91"/>
    <n v="0.25"/>
    <n v="3232.16"/>
    <s v="Card"/>
  </r>
  <r>
    <s v="ORD-0437"/>
    <d v="2025-04-19T00:00:00"/>
    <s v="CUST-0047"/>
    <s v="South Africa"/>
    <s v="Southern Africa"/>
    <x v="4"/>
    <s v="Office Supplies"/>
    <n v="8"/>
    <n v="15.24"/>
    <n v="0.1"/>
    <n v="109.73"/>
    <s v="Bank Transfer"/>
  </r>
  <r>
    <s v="ORD-0339"/>
    <d v="2025-04-20T00:00:00"/>
    <s v="CUST-0086"/>
    <s v="United Kingdom"/>
    <s v="Europe"/>
    <x v="0"/>
    <s v="Furniture"/>
    <n v="3"/>
    <n v="237.73"/>
    <n v="0.2"/>
    <n v="570.54999999999995"/>
    <s v="Mobile Money"/>
  </r>
  <r>
    <s v="ORD-0120"/>
    <d v="2025-04-21T00:00:00"/>
    <s v="CUST-0104"/>
    <s v="Kenya"/>
    <s v="East Africa"/>
    <x v="4"/>
    <s v="Office Supplies"/>
    <n v="4"/>
    <n v="16.239999999999998"/>
    <n v="0"/>
    <n v="64.959999999999994"/>
    <s v="Card"/>
  </r>
  <r>
    <s v="ORD-0553"/>
    <d v="2025-04-21T00:00:00"/>
    <s v="CUST-0013"/>
    <s v="Kenya"/>
    <s v="East Africa"/>
    <x v="3"/>
    <s v="Electronics"/>
    <n v="3"/>
    <n v="590.21"/>
    <n v="0.05"/>
    <n v="1682.1"/>
    <s v="Card"/>
  </r>
  <r>
    <s v="ORD-0147"/>
    <d v="2025-04-21T00:00:00"/>
    <s v="CUST-0152"/>
    <s v="Nigeria"/>
    <s v="West Africa"/>
    <x v="10"/>
    <s v="Electronics"/>
    <n v="3"/>
    <n v="863.48"/>
    <n v="0.1"/>
    <n v="2331.4"/>
    <s v="Mobile Money"/>
  </r>
  <r>
    <s v="ORD-0409"/>
    <d v="2025-04-21T00:00:00"/>
    <s v="CUST-0102"/>
    <s v="Nigeria"/>
    <s v="West Africa"/>
    <x v="11"/>
    <s v="Accessories"/>
    <n v="1"/>
    <n v="69.37"/>
    <n v="0.1"/>
    <n v="62.43"/>
    <s v="Mobile Money"/>
  </r>
  <r>
    <s v="ORD-0373"/>
    <d v="2025-04-21T00:00:00"/>
    <s v="CUST-0098"/>
    <s v="United Kingdom"/>
    <s v="Europe"/>
    <x v="0"/>
    <s v="Furniture"/>
    <n v="3"/>
    <n v="205.27"/>
    <n v="0.1"/>
    <n v="554.23"/>
    <s v="Cash"/>
  </r>
  <r>
    <s v="ORD-0101"/>
    <d v="2025-04-22T00:00:00"/>
    <s v="CUST-0004"/>
    <s v="Nigeria"/>
    <s v="West Africa"/>
    <x v="8"/>
    <s v="Electronics"/>
    <n v="1"/>
    <n v="40.57"/>
    <n v="0.05"/>
    <n v="38.54"/>
    <s v="Card"/>
  </r>
  <r>
    <s v="ORD-0366"/>
    <d v="2025-04-23T00:00:00"/>
    <s v="CUST-0109"/>
    <s v="South Africa"/>
    <s v="Southern Africa"/>
    <x v="3"/>
    <s v="Electronics"/>
    <n v="8"/>
    <n v="613.33000000000004"/>
    <n v="0.3"/>
    <n v="3434.65"/>
    <s v="Mobile Money"/>
  </r>
  <r>
    <s v="ORD-0433"/>
    <d v="2025-04-23T00:00:00"/>
    <s v="CUST-0103"/>
    <s v="United Kingdom"/>
    <s v="Europe"/>
    <x v="10"/>
    <s v="Electronics"/>
    <n v="3"/>
    <n v="880.64"/>
    <n v="0.15"/>
    <n v="2245.63"/>
    <s v="Cash"/>
  </r>
  <r>
    <s v="ORD-0039"/>
    <d v="2025-04-24T00:00:00"/>
    <s v="CUST-0032"/>
    <s v="Nigeria"/>
    <s v="West Africa"/>
    <x v="5"/>
    <s v="Office Supplies"/>
    <n v="7"/>
    <n v="267.20999999999998"/>
    <n v="0.25"/>
    <n v="1402.85"/>
    <s v="Card"/>
  </r>
  <r>
    <s v="ORD-0491"/>
    <d v="2025-04-25T00:00:00"/>
    <s v="CUST-0164"/>
    <s v="Nigeria"/>
    <s v="West Africa"/>
    <x v="4"/>
    <s v="Office Supplies"/>
    <n v="8"/>
    <n v="16.170000000000002"/>
    <n v="0.05"/>
    <n v="122.89"/>
    <s v="Card"/>
  </r>
  <r>
    <s v="ORD-0294"/>
    <d v="2025-04-27T00:00:00"/>
    <s v="CUST-0159"/>
    <s v="Nigeria"/>
    <s v="West Africa"/>
    <x v="6"/>
    <s v="Electronics"/>
    <n v="6"/>
    <n v="124.69"/>
    <n v="0.15"/>
    <n v="635.91999999999996"/>
    <s v="Cash"/>
  </r>
  <r>
    <s v="ORD-0071"/>
    <d v="2025-04-27T00:00:00"/>
    <s v="CUST-0134"/>
    <s v="United Kingdom"/>
    <s v="Europe"/>
    <x v="2"/>
    <s v="Furniture"/>
    <n v="6"/>
    <n v="53.9"/>
    <n v="0.1"/>
    <n v="291.06"/>
    <s v="Card"/>
  </r>
  <r>
    <s v="ORD-0190"/>
    <d v="2025-04-27T00:00:00"/>
    <s v="CUST-0130"/>
    <s v="Kenya"/>
    <s v="East Africa"/>
    <x v="11"/>
    <s v="Accessories"/>
    <n v="8"/>
    <n v="74.87"/>
    <n v="0"/>
    <n v="598.96"/>
    <s v="Mobile Money"/>
  </r>
  <r>
    <s v="ORD-0331"/>
    <d v="2025-04-27T00:00:00"/>
    <s v="CUST-0046"/>
    <s v="South Africa"/>
    <s v="Southern Africa"/>
    <x v="8"/>
    <s v="Electronics"/>
    <n v="7"/>
    <n v="43.25"/>
    <n v="0.05"/>
    <n v="287.61"/>
    <s v="Card"/>
  </r>
  <r>
    <s v="ORD-0143"/>
    <d v="2025-04-27T00:00:00"/>
    <s v="CUST-0106"/>
    <s v="Kenya"/>
    <s v="East Africa"/>
    <x v="3"/>
    <s v="Electronics"/>
    <n v="1"/>
    <n v="637.67999999999995"/>
    <n v="0.1"/>
    <n v="573.91"/>
    <s v="Bank Transfer"/>
  </r>
  <r>
    <s v="ORD-0210"/>
    <d v="2025-04-28T00:00:00"/>
    <s v="CUST-0014"/>
    <s v="South Africa"/>
    <s v="Southern Africa"/>
    <x v="0"/>
    <s v="Furniture"/>
    <n v="5"/>
    <n v="208.43"/>
    <n v="0.05"/>
    <n v="990.04"/>
    <s v="Bank Transfer"/>
  </r>
  <r>
    <s v="ORD-0103"/>
    <d v="2025-04-28T00:00:00"/>
    <s v="CUST-0113"/>
    <s v="United States"/>
    <s v="North America"/>
    <x v="11"/>
    <s v="Accessories"/>
    <n v="2"/>
    <n v="76.14"/>
    <n v="0.25"/>
    <n v="114.21"/>
    <s v="Card"/>
  </r>
  <r>
    <s v="ORD-0116"/>
    <d v="2025-04-28T00:00:00"/>
    <s v="CUST-0038"/>
    <s v="United Kingdom"/>
    <s v="Europe"/>
    <x v="0"/>
    <s v="Furniture"/>
    <n v="6"/>
    <n v="229.42"/>
    <n v="0.1"/>
    <n v="1238.8699999999999"/>
    <s v="Bank Transfer"/>
  </r>
  <r>
    <s v="ORD-0214"/>
    <d v="2025-04-29T00:00:00"/>
    <s v="CUST-0035"/>
    <s v="Nigeria"/>
    <s v="West Africa"/>
    <x v="3"/>
    <s v="Electronics"/>
    <n v="1"/>
    <n v="654.04999999999995"/>
    <n v="0.25"/>
    <n v="490.54"/>
    <s v="Card"/>
  </r>
  <r>
    <s v="ORD-0515"/>
    <d v="2025-04-30T00:00:00"/>
    <s v="CUST-0046"/>
    <s v="Nigeria"/>
    <s v="West Africa"/>
    <x v="11"/>
    <s v="Accessories"/>
    <n v="5"/>
    <n v="80.69"/>
    <n v="0.05"/>
    <n v="383.28"/>
    <s v="Mobile Money"/>
  </r>
  <r>
    <s v="ORD-0268"/>
    <d v="2025-04-30T00:00:00"/>
    <s v="CUST-0137"/>
    <s v="United States"/>
    <s v="North America"/>
    <x v="5"/>
    <s v="Office Supplies"/>
    <n v="5"/>
    <n v="272.81"/>
    <n v="0"/>
    <n v="1364.05"/>
    <s v="Card"/>
  </r>
  <r>
    <s v="ORD-0400"/>
    <d v="2025-04-30T00:00:00"/>
    <s v="CUST-0138"/>
    <s v="Ghana"/>
    <s v="West Africa"/>
    <x v="5"/>
    <s v="Office Supplies"/>
    <n v="7"/>
    <n v="249.69"/>
    <n v="0.1"/>
    <n v="1573.05"/>
    <s v="Mobile Money"/>
  </r>
  <r>
    <s v="ORD-0593"/>
    <d v="2025-05-02T00:00:00"/>
    <s v="CUST-0108"/>
    <s v="United Kingdom"/>
    <s v="Europe"/>
    <x v="4"/>
    <s v="Office Supplies"/>
    <n v="6"/>
    <n v="13.94"/>
    <n v="0.2"/>
    <n v="66.91"/>
    <s v="Mobile Money"/>
  </r>
  <r>
    <s v="ORD-0502"/>
    <d v="2025-05-03T00:00:00"/>
    <s v="CUST-0067"/>
    <s v="Ghana"/>
    <s v="West Africa"/>
    <x v="3"/>
    <s v="Electronics"/>
    <n v="5"/>
    <n v="689.5"/>
    <n v="0.1"/>
    <n v="3102.75"/>
    <s v="Cash"/>
  </r>
  <r>
    <s v="ORD-0196"/>
    <d v="2025-05-03T00:00:00"/>
    <s v="CUST-0134"/>
    <s v="United Kingdom"/>
    <s v="Europe"/>
    <x v="3"/>
    <s v="Electronics"/>
    <n v="2"/>
    <n v="606.77"/>
    <n v="0"/>
    <n v="1213.54"/>
    <s v="Mobile Money"/>
  </r>
  <r>
    <s v="ORD-0464"/>
    <d v="2025-05-04T00:00:00"/>
    <s v="CUST-0024"/>
    <s v="Nigeria"/>
    <s v="West Africa"/>
    <x v="4"/>
    <s v="Office Supplies"/>
    <n v="3"/>
    <n v="14.12"/>
    <n v="0.1"/>
    <n v="38.119999999999997"/>
    <s v="Card"/>
  </r>
  <r>
    <s v="ORD-0069"/>
    <d v="2025-05-06T00:00:00"/>
    <s v="CUST-0173"/>
    <s v="Kenya"/>
    <s v="East Africa"/>
    <x v="2"/>
    <s v="Furniture"/>
    <n v="6"/>
    <n v="57.26"/>
    <n v="0.05"/>
    <n v="326.38"/>
    <s v="Card"/>
  </r>
  <r>
    <s v="ORD-0450"/>
    <d v="2025-05-06T00:00:00"/>
    <s v="CUST-0057"/>
    <s v="South Africa"/>
    <s v="Southern Africa"/>
    <x v="4"/>
    <s v="Office Supplies"/>
    <n v="6"/>
    <n v="16.260000000000002"/>
    <n v="0.15"/>
    <n v="82.93"/>
    <s v="Bank Transfer"/>
  </r>
  <r>
    <s v="ORD-0492"/>
    <d v="2025-05-07T00:00:00"/>
    <s v="CUST-0147"/>
    <s v="Ghana"/>
    <s v="West Africa"/>
    <x v="5"/>
    <s v="Office Supplies"/>
    <n v="4"/>
    <n v="240.55"/>
    <n v="0"/>
    <n v="962.2"/>
    <s v="Card"/>
  </r>
  <r>
    <s v="ORD-0094"/>
    <d v="2025-05-07T00:00:00"/>
    <s v="CUST-0056"/>
    <s v="Nigeria"/>
    <s v="West Africa"/>
    <x v="10"/>
    <s v="Electronics"/>
    <n v="8"/>
    <n v="944.69"/>
    <n v="0"/>
    <n v="7557.52"/>
    <s v="Card"/>
  </r>
  <r>
    <s v="ORD-0330"/>
    <d v="2025-05-08T00:00:00"/>
    <s v="CUST-0067"/>
    <s v="South Africa"/>
    <s v="Southern Africa"/>
    <x v="11"/>
    <s v="Accessories"/>
    <n v="1"/>
    <n v="77.33"/>
    <n v="0.3"/>
    <n v="54.13"/>
    <s v="Card"/>
  </r>
  <r>
    <s v="ORD-0320"/>
    <d v="2025-05-09T00:00:00"/>
    <s v="CUST-0008"/>
    <s v="United States"/>
    <s v="North America"/>
    <x v="6"/>
    <s v="Electronics"/>
    <n v="3"/>
    <n v="114.65"/>
    <n v="0.3"/>
    <n v="240.76"/>
    <s v="Card"/>
  </r>
  <r>
    <s v="ORD-0301"/>
    <d v="2025-05-09T00:00:00"/>
    <s v="CUST-0024"/>
    <s v="Kenya"/>
    <s v="East Africa"/>
    <x v="7"/>
    <s v="Furniture"/>
    <n v="4"/>
    <n v="324.33999999999997"/>
    <n v="0"/>
    <n v="1297.3599999999999"/>
    <s v="Bank Transfer"/>
  </r>
  <r>
    <s v="ORD-0145"/>
    <d v="2025-05-10T00:00:00"/>
    <s v="CUST-0054"/>
    <s v="Ghana"/>
    <s v="West Africa"/>
    <x v="10"/>
    <s v="Electronics"/>
    <n v="2"/>
    <n v="882.79"/>
    <n v="0.15"/>
    <n v="1500.74"/>
    <s v="Mobile Money"/>
  </r>
  <r>
    <s v="ORD-0014"/>
    <d v="2025-05-11T00:00:00"/>
    <s v="CUST-0001"/>
    <s v="South Africa"/>
    <s v="Southern Africa"/>
    <x v="11"/>
    <s v="Accessories"/>
    <n v="3"/>
    <n v="75.92"/>
    <n v="0.1"/>
    <n v="204.98"/>
    <s v="Cash"/>
  </r>
  <r>
    <s v="ORD-0525"/>
    <d v="2025-05-13T00:00:00"/>
    <s v="CUST-0087"/>
    <s v="United Kingdom"/>
    <s v="Europe"/>
    <x v="4"/>
    <s v="Office Supplies"/>
    <n v="7"/>
    <n v="16.09"/>
    <n v="0"/>
    <n v="112.63"/>
    <s v="Cash"/>
  </r>
  <r>
    <s v="ORD-0324"/>
    <d v="2025-05-13T00:00:00"/>
    <s v="CUST-0009"/>
    <s v="Kenya"/>
    <s v="East Africa"/>
    <x v="10"/>
    <s v="Electronics"/>
    <n v="4"/>
    <n v="939.48"/>
    <n v="0.2"/>
    <n v="3006.34"/>
    <s v="Card"/>
  </r>
  <r>
    <s v="ORD-0369"/>
    <d v="2025-05-14T00:00:00"/>
    <s v="CUST-0018"/>
    <s v="Ghana"/>
    <s v="West Africa"/>
    <x v="5"/>
    <s v="Office Supplies"/>
    <n v="5"/>
    <n v="243.52"/>
    <n v="0.05"/>
    <n v="1156.72"/>
    <s v="Mobile Money"/>
  </r>
  <r>
    <s v="ORD-0033"/>
    <d v="2025-05-15T00:00:00"/>
    <s v="CUST-0145"/>
    <s v="South Africa"/>
    <s v="Southern Africa"/>
    <x v="8"/>
    <s v="Electronics"/>
    <n v="4"/>
    <n v="46.91"/>
    <n v="0.05"/>
    <n v="178.26"/>
    <s v="Card"/>
  </r>
  <r>
    <s v="ORD-0590"/>
    <d v="2025-05-16T00:00:00"/>
    <s v="CUST-0024"/>
    <s v="Ghana"/>
    <s v="West Africa"/>
    <x v="5"/>
    <s v="Office Supplies"/>
    <n v="4"/>
    <n v="250.91"/>
    <n v="0.15"/>
    <n v="853.09"/>
    <s v="Card"/>
  </r>
  <r>
    <s v="ORD-0247"/>
    <d v="2025-05-16T00:00:00"/>
    <s v="CUST-0003"/>
    <s v="Ghana"/>
    <s v="West Africa"/>
    <x v="5"/>
    <s v="Office Supplies"/>
    <n v="6"/>
    <n v="246.13"/>
    <n v="0.2"/>
    <n v="1181.42"/>
    <s v="Card"/>
  </r>
  <r>
    <s v="ORD-0505"/>
    <d v="2025-05-16T00:00:00"/>
    <s v="CUST-0058"/>
    <s v="Ghana"/>
    <s v="West Africa"/>
    <x v="2"/>
    <s v="Furniture"/>
    <n v="2"/>
    <n v="58"/>
    <n v="0.1"/>
    <n v="104.4"/>
    <s v="Card"/>
  </r>
  <r>
    <s v="ORD-0067"/>
    <d v="2025-05-16T00:00:00"/>
    <s v="CUST-0109"/>
    <s v="Nigeria"/>
    <s v="West Africa"/>
    <x v="4"/>
    <s v="Office Supplies"/>
    <n v="2"/>
    <n v="13.94"/>
    <n v="0.1"/>
    <n v="25.09"/>
    <s v="Card"/>
  </r>
  <r>
    <s v="ORD-0566"/>
    <d v="2025-05-17T00:00:00"/>
    <s v="CUST-0111"/>
    <s v="United Kingdom"/>
    <s v="Europe"/>
    <x v="2"/>
    <s v="Furniture"/>
    <n v="8"/>
    <n v="59.83"/>
    <n v="0.1"/>
    <n v="430.78"/>
    <s v="Card"/>
  </r>
  <r>
    <s v="ORD-0109"/>
    <d v="2025-05-17T00:00:00"/>
    <s v="CUST-0162"/>
    <s v="Nigeria"/>
    <s v="West Africa"/>
    <x v="10"/>
    <s v="Electronics"/>
    <n v="5"/>
    <n v="959.51"/>
    <n v="0.25"/>
    <n v="3598.16"/>
    <s v="Card"/>
  </r>
  <r>
    <s v="ORD-0087"/>
    <d v="2025-05-18T00:00:00"/>
    <s v="CUST-0145"/>
    <s v="Kenya"/>
    <s v="East Africa"/>
    <x v="2"/>
    <s v="Furniture"/>
    <n v="6"/>
    <n v="56.34"/>
    <n v="0.2"/>
    <n v="270.43"/>
    <s v="Cash"/>
  </r>
  <r>
    <s v="ORD-0447"/>
    <d v="2025-05-19T00:00:00"/>
    <s v="CUST-0010"/>
    <s v="Ghana"/>
    <s v="West Africa"/>
    <x v="5"/>
    <s v="Office Supplies"/>
    <n v="2"/>
    <n v="226.03"/>
    <n v="0.05"/>
    <n v="429.46"/>
    <s v="Mobile Money"/>
  </r>
  <r>
    <s v="ORD-0011"/>
    <d v="2025-05-19T00:00:00"/>
    <s v="CUST-0081"/>
    <s v="Ghana"/>
    <s v="West Africa"/>
    <x v="1"/>
    <s v="Electronics"/>
    <n v="1"/>
    <n v="316.33"/>
    <n v="0"/>
    <n v="316.33"/>
    <s v="Card"/>
  </r>
  <r>
    <s v="ORD-0029"/>
    <d v="2025-05-20T00:00:00"/>
    <s v="CUST-0037"/>
    <s v="United Kingdom"/>
    <s v="Europe"/>
    <x v="8"/>
    <s v="Electronics"/>
    <n v="4"/>
    <n v="45.27"/>
    <n v="0.05"/>
    <n v="172.03"/>
    <s v="Card"/>
  </r>
  <r>
    <s v="ORD-0588"/>
    <d v="2025-05-21T00:00:00"/>
    <s v="CUST-0058"/>
    <s v="South Africa"/>
    <s v="Southern Africa"/>
    <x v="10"/>
    <s v="Electronics"/>
    <n v="7"/>
    <n v="855.96"/>
    <n v="0"/>
    <n v="5991.72"/>
    <s v="Card"/>
  </r>
  <r>
    <s v="ORD-0431"/>
    <d v="2025-05-21T00:00:00"/>
    <s v="CUST-0173"/>
    <s v="Kenya"/>
    <s v="East Africa"/>
    <x v="4"/>
    <s v="Office Supplies"/>
    <n v="6"/>
    <n v="14.79"/>
    <n v="0"/>
    <n v="88.74"/>
    <s v="Mobile Money"/>
  </r>
  <r>
    <s v="ORD-0348"/>
    <d v="2025-05-21T00:00:00"/>
    <s v="CUST-0049"/>
    <s v="Kenya"/>
    <s v="East Africa"/>
    <x v="9"/>
    <s v="Electronics"/>
    <n v="6"/>
    <n v="81.77"/>
    <n v="0.05"/>
    <n v="466.09"/>
    <s v="Card"/>
  </r>
  <r>
    <s v="ORD-0527"/>
    <d v="2025-05-22T00:00:00"/>
    <s v="CUST-0178"/>
    <s v="Nigeria"/>
    <s v="West Africa"/>
    <x v="9"/>
    <s v="Electronics"/>
    <n v="4"/>
    <n v="72.680000000000007"/>
    <n v="0.1"/>
    <n v="261.64999999999998"/>
    <s v="Mobile Money"/>
  </r>
  <r>
    <s v="ORD-0081"/>
    <d v="2025-05-25T00:00:00"/>
    <s v="CUST-0085"/>
    <s v="United States"/>
    <s v="North America"/>
    <x v="7"/>
    <s v="Furniture"/>
    <n v="7"/>
    <n v="368.83"/>
    <n v="0.25"/>
    <n v="1936.36"/>
    <s v="Bank Transfer"/>
  </r>
  <r>
    <s v="ORD-0219"/>
    <d v="2025-05-25T00:00:00"/>
    <s v="CUST-0026"/>
    <s v="Nigeria"/>
    <s v="West Africa"/>
    <x v="10"/>
    <s v="Electronics"/>
    <n v="7"/>
    <n v="986.15"/>
    <n v="0.05"/>
    <n v="6557.9"/>
    <s v="Card"/>
  </r>
  <r>
    <s v="ORD-0403"/>
    <d v="2025-05-26T00:00:00"/>
    <s v="CUST-0105"/>
    <s v="Ghana"/>
    <s v="West Africa"/>
    <x v="11"/>
    <s v="Accessories"/>
    <n v="8"/>
    <n v="73.28"/>
    <n v="0.2"/>
    <n v="468.99"/>
    <s v="Mobile Money"/>
  </r>
  <r>
    <s v="ORD-0240"/>
    <d v="2025-05-26T00:00:00"/>
    <s v="CUST-0067"/>
    <s v="Nigeria"/>
    <s v="West Africa"/>
    <x v="8"/>
    <s v="Electronics"/>
    <n v="6"/>
    <n v="41.78"/>
    <n v="0.05"/>
    <n v="238.15"/>
    <s v="Mobile Money"/>
  </r>
  <r>
    <s v="ORD-0078"/>
    <d v="2025-05-26T00:00:00"/>
    <s v="CUST-0177"/>
    <s v="United States"/>
    <s v="North America"/>
    <x v="4"/>
    <s v="Office Supplies"/>
    <n v="5"/>
    <n v="13.99"/>
    <n v="0.1"/>
    <n v="62.96"/>
    <s v="Bank Transfer"/>
  </r>
  <r>
    <s v="ORD-0295"/>
    <d v="2025-05-26T00:00:00"/>
    <s v="CUST-0063"/>
    <s v="United Kingdom"/>
    <s v="Europe"/>
    <x v="6"/>
    <s v="Electronics"/>
    <n v="8"/>
    <n v="116.96"/>
    <n v="0"/>
    <n v="935.68"/>
    <s v="Bank Transfer"/>
  </r>
  <r>
    <s v="ORD-0499"/>
    <d v="2025-05-27T00:00:00"/>
    <s v="CUST-0169"/>
    <s v="Ghana"/>
    <s v="West Africa"/>
    <x v="2"/>
    <s v="Furniture"/>
    <n v="3"/>
    <n v="52.64"/>
    <n v="0.1"/>
    <n v="142.13"/>
    <s v="Mobile Money"/>
  </r>
  <r>
    <s v="ORD-0455"/>
    <d v="2025-05-27T00:00:00"/>
    <s v="CUST-0080"/>
    <s v="Kenya"/>
    <s v="East Africa"/>
    <x v="7"/>
    <s v="Furniture"/>
    <n v="3"/>
    <n v="348.76"/>
    <n v="0"/>
    <n v="1046.28"/>
    <s v="Cash"/>
  </r>
  <r>
    <s v="ORD-0343"/>
    <d v="2025-05-27T00:00:00"/>
    <s v="CUST-0026"/>
    <s v="Kenya"/>
    <s v="East Africa"/>
    <x v="9"/>
    <s v="Electronics"/>
    <n v="4"/>
    <n v="86.57"/>
    <n v="0.1"/>
    <n v="311.64999999999998"/>
    <s v="Card"/>
  </r>
  <r>
    <s v="ORD-0306"/>
    <d v="2025-05-28T00:00:00"/>
    <s v="CUST-0143"/>
    <s v="Nigeria"/>
    <s v="West Africa"/>
    <x v="1"/>
    <s v="Electronics"/>
    <n v="6"/>
    <n v="323.99"/>
    <n v="0"/>
    <n v="1943.94"/>
    <s v="Mobile Money"/>
  </r>
  <r>
    <s v="ORD-0523"/>
    <d v="2025-05-29T00:00:00"/>
    <s v="CUST-0012"/>
    <s v="Nigeria"/>
    <s v="West Africa"/>
    <x v="3"/>
    <s v="Electronics"/>
    <n v="7"/>
    <n v="665.41"/>
    <n v="0.15"/>
    <n v="3959.19"/>
    <s v="Mobile Money"/>
  </r>
  <r>
    <s v="ORD-0446"/>
    <d v="2025-05-29T00:00:00"/>
    <s v="CUST-0016"/>
    <s v="Nigeria"/>
    <s v="West Africa"/>
    <x v="11"/>
    <s v="Accessories"/>
    <n v="4"/>
    <n v="82.27"/>
    <n v="0.15"/>
    <n v="279.72000000000003"/>
    <s v="Card"/>
  </r>
  <r>
    <s v="ORD-0406"/>
    <d v="2025-05-29T00:00:00"/>
    <s v="CUST-0028"/>
    <s v="Nigeria"/>
    <s v="West Africa"/>
    <x v="9"/>
    <s v="Electronics"/>
    <n v="7"/>
    <n v="74.010000000000005"/>
    <n v="0.15"/>
    <n v="440.36"/>
    <s v="Cash"/>
  </r>
  <r>
    <s v="ORD-0030"/>
    <d v="2025-06-01T00:00:00"/>
    <s v="CUST-0054"/>
    <s v="United States"/>
    <s v="North America"/>
    <x v="1"/>
    <s v="Electronics"/>
    <n v="1"/>
    <n v="286.73"/>
    <n v="0.15"/>
    <n v="243.72"/>
    <s v="Bank Transfer"/>
  </r>
  <r>
    <s v="ORD-0227"/>
    <d v="2025-06-02T00:00:00"/>
    <s v="CUST-0012"/>
    <s v="Kenya"/>
    <s v="East Africa"/>
    <x v="9"/>
    <s v="Electronics"/>
    <n v="8"/>
    <n v="85.55"/>
    <n v="0.25"/>
    <n v="513.29999999999995"/>
    <s v="Bank Transfer"/>
  </r>
  <r>
    <s v="ORD-0278"/>
    <d v="2025-06-02T00:00:00"/>
    <s v="CUST-0059"/>
    <s v="South Africa"/>
    <s v="Southern Africa"/>
    <x v="4"/>
    <s v="Office Supplies"/>
    <n v="2"/>
    <n v="14.51"/>
    <n v="0.25"/>
    <n v="21.76"/>
    <s v="Card"/>
  </r>
  <r>
    <s v="ORD-0396"/>
    <d v="2025-06-03T00:00:00"/>
    <s v="CUST-0018"/>
    <s v="Ghana"/>
    <s v="West Africa"/>
    <x v="2"/>
    <s v="Furniture"/>
    <n v="1"/>
    <n v="52.99"/>
    <n v="0"/>
    <n v="52.99"/>
    <s v="Mobile Money"/>
  </r>
  <r>
    <s v="ORD-0367"/>
    <d v="2025-06-04T00:00:00"/>
    <s v="CUST-0174"/>
    <s v="United States"/>
    <s v="North America"/>
    <x v="9"/>
    <s v="Electronics"/>
    <n v="8"/>
    <n v="80.09"/>
    <n v="0.25"/>
    <n v="480.54"/>
    <s v="Card"/>
  </r>
  <r>
    <s v="ORD-0363"/>
    <d v="2025-06-05T00:00:00"/>
    <s v="CUST-0165"/>
    <s v="Nigeria"/>
    <s v="West Africa"/>
    <x v="8"/>
    <s v="Electronics"/>
    <n v="6"/>
    <n v="46.85"/>
    <n v="0.45"/>
    <n v="238.94"/>
    <s v="Card"/>
  </r>
  <r>
    <s v="ORD-0231"/>
    <d v="2025-06-05T00:00:00"/>
    <s v="CUST-0035"/>
    <s v="Ghana"/>
    <s v="West Africa"/>
    <x v="0"/>
    <s v="Furniture"/>
    <n v="8"/>
    <n v="221.02"/>
    <n v="0.15"/>
    <n v="1502.94"/>
    <s v="Cash"/>
  </r>
  <r>
    <s v="ORD-0462"/>
    <d v="2025-06-06T00:00:00"/>
    <s v="CUST-0017"/>
    <s v="Nigeria"/>
    <s v="West Africa"/>
    <x v="3"/>
    <s v="Electronics"/>
    <n v="7"/>
    <n v="641.16"/>
    <n v="0.3"/>
    <n v="3141.68"/>
    <s v="Card"/>
  </r>
  <r>
    <s v="ORD-0253"/>
    <d v="2025-06-07T00:00:00"/>
    <s v="CUST-0158"/>
    <s v="Nigeria"/>
    <s v="West Africa"/>
    <x v="2"/>
    <s v="Furniture"/>
    <n v="7"/>
    <n v="53.87"/>
    <n v="0.1"/>
    <n v="339.38"/>
    <s v="Mobile Money"/>
  </r>
  <r>
    <s v="ORD-0293"/>
    <d v="2025-06-08T00:00:00"/>
    <s v="CUST-0060"/>
    <s v="Nigeria"/>
    <s v="West Africa"/>
    <x v="0"/>
    <s v="Furniture"/>
    <n v="4"/>
    <n v="200.32"/>
    <n v="0.1"/>
    <n v="721.15"/>
    <s v="Mobile Money"/>
  </r>
  <r>
    <s v="ORD-0239"/>
    <d v="2025-06-09T00:00:00"/>
    <s v="CUST-0011"/>
    <s v="Ghana"/>
    <s v="West Africa"/>
    <x v="10"/>
    <s v="Electronics"/>
    <n v="6"/>
    <n v="814.25"/>
    <n v="0.15"/>
    <n v="4152.68"/>
    <s v="Mobile Money"/>
  </r>
  <r>
    <s v="ORD-0054"/>
    <d v="2025-06-09T00:00:00"/>
    <s v="CUST-0084"/>
    <s v="Kenya"/>
    <s v="East Africa"/>
    <x v="0"/>
    <s v="Furniture"/>
    <n v="8"/>
    <n v="201.11"/>
    <n v="0.15"/>
    <n v="1367.55"/>
    <s v="Card"/>
  </r>
  <r>
    <s v="ORD-0258"/>
    <d v="2025-06-09T00:00:00"/>
    <s v="CUST-0093"/>
    <s v="Ghana"/>
    <s v="West Africa"/>
    <x v="2"/>
    <s v="Furniture"/>
    <n v="5"/>
    <n v="59.8"/>
    <n v="0.2"/>
    <n v="239.2"/>
    <s v="Card"/>
  </r>
  <r>
    <s v="ORD-0432"/>
    <d v="2025-06-09T00:00:00"/>
    <s v="CUST-0089"/>
    <s v="Ghana"/>
    <s v="West Africa"/>
    <x v="8"/>
    <s v="Electronics"/>
    <n v="6"/>
    <n v="44.08"/>
    <n v="0.25"/>
    <n v="198.36"/>
    <s v="Cash"/>
  </r>
  <r>
    <s v="ORD-0249"/>
    <d v="2025-06-10T00:00:00"/>
    <s v="CUST-0016"/>
    <s v="Nigeria"/>
    <s v="West Africa"/>
    <x v="7"/>
    <s v="Furniture"/>
    <n v="4"/>
    <n v="358.65"/>
    <n v="0"/>
    <n v="1434.6"/>
    <s v="Bank Transfer"/>
  </r>
  <r>
    <s v="ORD-0475"/>
    <d v="2025-06-10T00:00:00"/>
    <s v="CUST-0075"/>
    <s v="Nigeria"/>
    <s v="West Africa"/>
    <x v="3"/>
    <s v="Electronics"/>
    <n v="8"/>
    <n v="631.13"/>
    <n v="0.1"/>
    <n v="4544.1400000000003"/>
    <s v="Card"/>
  </r>
  <r>
    <s v="ORD-0158"/>
    <d v="2025-06-10T00:00:00"/>
    <s v="CUST-0016"/>
    <s v="South Africa"/>
    <s v="Southern Africa"/>
    <x v="9"/>
    <s v="Electronics"/>
    <n v="1"/>
    <n v="80.61"/>
    <n v="0.15"/>
    <n v="68.52"/>
    <s v="Bank Transfer"/>
  </r>
  <r>
    <s v="ORD-0398"/>
    <d v="2025-06-11T00:00:00"/>
    <s v="CUST-0172"/>
    <s v="United Kingdom"/>
    <s v="Europe"/>
    <x v="2"/>
    <s v="Furniture"/>
    <n v="3"/>
    <n v="58.59"/>
    <n v="0"/>
    <n v="175.77"/>
    <s v="Mobile Money"/>
  </r>
  <r>
    <s v="ORD-0254"/>
    <d v="2025-06-12T00:00:00"/>
    <s v="CUST-0066"/>
    <s v="United Kingdom"/>
    <s v="Europe"/>
    <x v="6"/>
    <s v="Electronics"/>
    <n v="8"/>
    <n v="113.09"/>
    <n v="0.2"/>
    <n v="723.78"/>
    <s v="Card"/>
  </r>
  <r>
    <s v="ORD-0386"/>
    <d v="2025-06-13T00:00:00"/>
    <s v="CUST-0035"/>
    <s v="Ghana"/>
    <s v="West Africa"/>
    <x v="9"/>
    <s v="Electronics"/>
    <n v="8"/>
    <n v="84.3"/>
    <n v="0.15"/>
    <n v="573.24"/>
    <s v="Bank Transfer"/>
  </r>
  <r>
    <s v="ORD-0375"/>
    <d v="2025-06-13T00:00:00"/>
    <s v="CUST-0118"/>
    <s v="South Africa"/>
    <s v="Southern Africa"/>
    <x v="7"/>
    <s v="Furniture"/>
    <n v="7"/>
    <n v="342.66"/>
    <n v="0"/>
    <n v="2398.62"/>
    <s v="Mobile Money"/>
  </r>
  <r>
    <s v="ORD-0307"/>
    <d v="2025-06-14T00:00:00"/>
    <s v="CUST-0058"/>
    <s v="United States"/>
    <s v="North America"/>
    <x v="7"/>
    <s v="Furniture"/>
    <n v="2"/>
    <n v="372.95"/>
    <n v="0.2"/>
    <n v="596.72"/>
    <s v="Mobile Money"/>
  </r>
  <r>
    <s v="ORD-0408"/>
    <d v="2025-06-14T00:00:00"/>
    <s v="CUST-0102"/>
    <s v="Ghana"/>
    <s v="West Africa"/>
    <x v="5"/>
    <s v="Office Supplies"/>
    <n v="5"/>
    <n v="238.38"/>
    <n v="0.2"/>
    <n v="953.52"/>
    <s v="Card"/>
  </r>
  <r>
    <s v="ORD-0020"/>
    <d v="2025-06-14T00:00:00"/>
    <s v="CUST-0051"/>
    <s v="United Kingdom"/>
    <s v="Europe"/>
    <x v="8"/>
    <s v="Electronics"/>
    <n v="3"/>
    <n v="40.56"/>
    <n v="0.1"/>
    <n v="109.51"/>
    <s v="Card"/>
  </r>
  <r>
    <s v="ORD-0312"/>
    <d v="2025-06-16T00:00:00"/>
    <s v="CUST-0086"/>
    <s v="United States"/>
    <s v="North America"/>
    <x v="8"/>
    <s v="Electronics"/>
    <n v="2"/>
    <n v="41.38"/>
    <n v="0.2"/>
    <n v="66.209999999999994"/>
    <s v="Mobile Money"/>
  </r>
  <r>
    <s v="ORD-0460"/>
    <d v="2025-06-16T00:00:00"/>
    <s v="CUST-0033"/>
    <s v="Nigeria"/>
    <s v="West Africa"/>
    <x v="8"/>
    <s v="Electronics"/>
    <n v="3"/>
    <n v="46.6"/>
    <n v="0"/>
    <n v="139.80000000000001"/>
    <s v="Card"/>
  </r>
  <r>
    <s v="ORD-0066"/>
    <d v="2025-06-17T00:00:00"/>
    <s v="CUST-0170"/>
    <s v="South Africa"/>
    <s v="Southern Africa"/>
    <x v="5"/>
    <s v="Office Supplies"/>
    <n v="4"/>
    <n v="268.33999999999997"/>
    <n v="0.2"/>
    <n v="858.69"/>
    <s v="Mobile Money"/>
  </r>
  <r>
    <s v="ORD-0315"/>
    <d v="2025-06-17T00:00:00"/>
    <s v="CUST-0058"/>
    <s v="Ghana"/>
    <s v="West Africa"/>
    <x v="7"/>
    <s v="Furniture"/>
    <n v="7"/>
    <n v="376.57"/>
    <n v="0.2"/>
    <n v="2108.79"/>
    <s v="Card"/>
  </r>
  <r>
    <s v="ORD-0454"/>
    <d v="2025-06-17T00:00:00"/>
    <s v="CUST-0083"/>
    <s v="South Africa"/>
    <s v="Southern Africa"/>
    <x v="3"/>
    <s v="Electronics"/>
    <n v="5"/>
    <n v="597.67999999999995"/>
    <n v="0.1"/>
    <n v="2689.56"/>
    <s v="Mobile Money"/>
  </r>
  <r>
    <s v="ORD-0424"/>
    <d v="2025-06-18T00:00:00"/>
    <s v="CUST-0016"/>
    <s v="Ghana"/>
    <s v="West Africa"/>
    <x v="4"/>
    <s v="Office Supplies"/>
    <n v="5"/>
    <n v="15.08"/>
    <n v="0.1"/>
    <n v="67.86"/>
    <s v="Mobile Money"/>
  </r>
  <r>
    <s v="ORD-0310"/>
    <d v="2025-06-18T00:00:00"/>
    <s v="CUST-0167"/>
    <s v="Kenya"/>
    <s v="East Africa"/>
    <x v="10"/>
    <s v="Electronics"/>
    <n v="8"/>
    <n v="830.66"/>
    <n v="0.2"/>
    <n v="5316.22"/>
    <s v="Bank Transfer"/>
  </r>
  <r>
    <s v="ORD-0559"/>
    <d v="2025-06-20T00:00:00"/>
    <s v="CUST-0095"/>
    <s v="Ghana"/>
    <s v="West Africa"/>
    <x v="10"/>
    <s v="Electronics"/>
    <n v="3"/>
    <n v="954.26"/>
    <n v="0.1"/>
    <n v="2576.5"/>
    <s v="Bank Transfer"/>
  </r>
  <r>
    <s v="ORD-0211"/>
    <d v="2025-06-20T00:00:00"/>
    <s v="CUST-0001"/>
    <s v="Nigeria"/>
    <s v="West Africa"/>
    <x v="5"/>
    <s v="Office Supplies"/>
    <n v="4"/>
    <n v="266.44"/>
    <n v="0.1"/>
    <n v="959.18"/>
    <s v="Card"/>
  </r>
  <r>
    <s v="ORD-0107"/>
    <d v="2025-06-21T00:00:00"/>
    <s v="CUST-0130"/>
    <s v="Kenya"/>
    <s v="East Africa"/>
    <x v="10"/>
    <s v="Electronics"/>
    <n v="6"/>
    <n v="870.59"/>
    <n v="0"/>
    <n v="5223.54"/>
    <s v="Card"/>
  </r>
  <r>
    <s v="ORD-0279"/>
    <d v="2025-06-21T00:00:00"/>
    <s v="CUST-0032"/>
    <s v="Kenya"/>
    <s v="East Africa"/>
    <x v="5"/>
    <s v="Office Supplies"/>
    <n v="1"/>
    <n v="233.18"/>
    <n v="0.05"/>
    <n v="221.52"/>
    <s v="Cash"/>
  </r>
  <r>
    <s v="ORD-0234"/>
    <d v="2025-06-21T00:00:00"/>
    <s v="CUST-0120"/>
    <s v="Ghana"/>
    <s v="West Africa"/>
    <x v="9"/>
    <s v="Electronics"/>
    <n v="4"/>
    <n v="78.790000000000006"/>
    <n v="0"/>
    <n v="315.16000000000003"/>
    <s v="Bank Transfer"/>
  </r>
  <r>
    <s v="ORD-0341"/>
    <d v="2025-06-21T00:00:00"/>
    <s v="CUST-0161"/>
    <s v="United States"/>
    <s v="North America"/>
    <x v="3"/>
    <s v="Electronics"/>
    <n v="5"/>
    <n v="652.79"/>
    <n v="0"/>
    <n v="3263.95"/>
    <s v="Bank Transfer"/>
  </r>
  <r>
    <s v="ORD-0200"/>
    <d v="2025-06-22T00:00:00"/>
    <s v="CUST-0136"/>
    <s v="Nigeria"/>
    <s v="West Africa"/>
    <x v="8"/>
    <s v="Electronics"/>
    <n v="5"/>
    <n v="46.04"/>
    <n v="0.05"/>
    <n v="218.69"/>
    <s v="Mobile Money"/>
  </r>
  <r>
    <s v="ORD-0405"/>
    <d v="2025-06-22T00:00:00"/>
    <s v="CUST-0162"/>
    <s v="South Africa"/>
    <s v="Southern Africa"/>
    <x v="4"/>
    <s v="Office Supplies"/>
    <n v="6"/>
    <n v="16.14"/>
    <n v="0.05"/>
    <n v="92"/>
    <s v="Mobile Money"/>
  </r>
  <r>
    <s v="ORD-0195"/>
    <d v="2025-06-23T00:00:00"/>
    <s v="CUST-0122"/>
    <s v="Ghana"/>
    <s v="West Africa"/>
    <x v="0"/>
    <s v="Furniture"/>
    <n v="2"/>
    <n v="215.46"/>
    <n v="0"/>
    <n v="430.92"/>
    <s v="Mobile Money"/>
  </r>
  <r>
    <s v="ORD-0581"/>
    <d v="2025-06-24T00:00:00"/>
    <s v="CUST-0017"/>
    <s v="United Kingdom"/>
    <s v="Europe"/>
    <x v="10"/>
    <s v="Electronics"/>
    <n v="6"/>
    <n v="895.92"/>
    <n v="0.05"/>
    <n v="5106.74"/>
    <s v="Card"/>
  </r>
  <r>
    <s v="ORD-0517"/>
    <d v="2025-06-25T00:00:00"/>
    <s v="CUST-0027"/>
    <s v="United Kingdom"/>
    <s v="Europe"/>
    <x v="3"/>
    <s v="Electronics"/>
    <n v="8"/>
    <n v="617.37"/>
    <n v="0.1"/>
    <n v="4445.0600000000004"/>
    <s v="Card"/>
  </r>
  <r>
    <s v="ORD-0166"/>
    <d v="2025-06-26T00:00:00"/>
    <s v="CUST-0009"/>
    <s v="Ghana"/>
    <s v="West Africa"/>
    <x v="6"/>
    <s v="Electronics"/>
    <n v="8"/>
    <n v="116.4"/>
    <n v="0"/>
    <n v="931.2"/>
    <s v="Cash"/>
  </r>
  <r>
    <s v="ORD-0216"/>
    <d v="2025-06-27T00:00:00"/>
    <s v="CUST-0151"/>
    <s v="Ghana"/>
    <s v="West Africa"/>
    <x v="8"/>
    <s v="Electronics"/>
    <n v="2"/>
    <n v="49.26"/>
    <n v="0.1"/>
    <n v="88.67"/>
    <s v="Card"/>
  </r>
  <r>
    <s v="ORD-0075"/>
    <d v="2025-06-27T00:00:00"/>
    <s v="CUST-0028"/>
    <s v="South Africa"/>
    <s v="Southern Africa"/>
    <x v="9"/>
    <s v="Electronics"/>
    <n v="2"/>
    <n v="75.010000000000005"/>
    <n v="0.1"/>
    <n v="135.02000000000001"/>
    <s v="Card"/>
  </r>
  <r>
    <s v="ORD-0471"/>
    <d v="2025-06-27T00:00:00"/>
    <s v="CUST-0163"/>
    <s v="Ghana"/>
    <s v="West Africa"/>
    <x v="11"/>
    <s v="Accessories"/>
    <n v="8"/>
    <n v="77.47"/>
    <n v="0.1"/>
    <n v="557.78"/>
    <s v="Bank Transfer"/>
  </r>
  <r>
    <s v="ORD-0344"/>
    <d v="2025-06-28T00:00:00"/>
    <s v="CUST-0132"/>
    <s v="Ghana"/>
    <s v="West Africa"/>
    <x v="11"/>
    <s v="Accessories"/>
    <n v="8"/>
    <n v="81.72"/>
    <n v="0.1"/>
    <n v="588.38"/>
    <s v="Bank Transfer"/>
  </r>
  <r>
    <s v="ORD-0021"/>
    <d v="2025-06-29T00:00:00"/>
    <s v="CUST-0113"/>
    <s v="Nigeria"/>
    <s v="West Africa"/>
    <x v="9"/>
    <s v="Electronics"/>
    <n v="7"/>
    <n v="74.69"/>
    <n v="0.05"/>
    <n v="496.69"/>
    <s v="Mobile Money"/>
  </r>
  <r>
    <s v="ORD-0441"/>
    <d v="2025-06-30T00:00:00"/>
    <s v="CUST-0116"/>
    <s v="South Africa"/>
    <s v="Southern Africa"/>
    <x v="9"/>
    <s v="Electronics"/>
    <n v="8"/>
    <n v="82.47"/>
    <n v="0"/>
    <n v="659.76"/>
    <s v="Bank Transfer"/>
  </r>
  <r>
    <s v="ORD-0123"/>
    <d v="2025-07-01T00:00:00"/>
    <s v="CUST-0057"/>
    <s v="United States"/>
    <s v="North America"/>
    <x v="1"/>
    <s v="Electronics"/>
    <n v="1"/>
    <n v="276.79000000000002"/>
    <n v="0.3"/>
    <n v="193.75"/>
    <s v="Bank Transfer"/>
  </r>
  <r>
    <s v="ORD-0157"/>
    <d v="2025-07-02T00:00:00"/>
    <s v="CUST-0108"/>
    <s v="Nigeria"/>
    <s v="West Africa"/>
    <x v="2"/>
    <s v="Furniture"/>
    <n v="4"/>
    <n v="54.79"/>
    <n v="0.2"/>
    <n v="175.33"/>
    <s v="Mobile Money"/>
  </r>
  <r>
    <s v="ORD-0378"/>
    <d v="2025-07-02T00:00:00"/>
    <s v="CUST-0102"/>
    <s v="Ghana"/>
    <s v="West Africa"/>
    <x v="6"/>
    <s v="Electronics"/>
    <n v="2"/>
    <n v="131.54"/>
    <n v="0.1"/>
    <n v="236.77"/>
    <s v="Bank Transfer"/>
  </r>
  <r>
    <s v="ORD-0060"/>
    <d v="2025-07-02T00:00:00"/>
    <s v="CUST-0013"/>
    <s v="Nigeria"/>
    <s v="West Africa"/>
    <x v="1"/>
    <s v="Electronics"/>
    <n v="8"/>
    <n v="290.45"/>
    <n v="0.25"/>
    <n v="1742.7"/>
    <s v="Bank Transfer"/>
  </r>
  <r>
    <s v="ORD-0050"/>
    <d v="2025-07-04T00:00:00"/>
    <s v="CUST-0029"/>
    <s v="South Africa"/>
    <s v="Southern Africa"/>
    <x v="1"/>
    <s v="Electronics"/>
    <n v="3"/>
    <n v="284.86"/>
    <n v="0.05"/>
    <n v="811.85"/>
    <s v="Bank Transfer"/>
  </r>
  <r>
    <s v="ORD-0411"/>
    <d v="2025-07-05T00:00:00"/>
    <s v="CUST-0027"/>
    <s v="South Africa"/>
    <s v="Southern Africa"/>
    <x v="0"/>
    <s v="Furniture"/>
    <n v="7"/>
    <n v="232.06"/>
    <n v="0.15"/>
    <n v="1380.76"/>
    <s v="Mobile Money"/>
  </r>
  <r>
    <s v="ORD-0547"/>
    <d v="2025-07-06T00:00:00"/>
    <s v="CUST-0166"/>
    <s v="United States"/>
    <s v="North America"/>
    <x v="11"/>
    <s v="Accessories"/>
    <n v="4"/>
    <n v="82.05"/>
    <n v="0.25"/>
    <n v="246.15"/>
    <s v="Bank Transfer"/>
  </r>
  <r>
    <s v="ORD-0410"/>
    <d v="2025-07-07T00:00:00"/>
    <s v="CUST-0090"/>
    <s v="Kenya"/>
    <s v="East Africa"/>
    <x v="11"/>
    <s v="Accessories"/>
    <n v="4"/>
    <n v="67.650000000000006"/>
    <n v="0.1"/>
    <n v="243.54"/>
    <s v="Cash"/>
  </r>
  <r>
    <s v="ORD-0440"/>
    <d v="2025-07-08T00:00:00"/>
    <s v="CUST-0164"/>
    <s v="United States"/>
    <s v="North America"/>
    <x v="7"/>
    <s v="Furniture"/>
    <n v="1"/>
    <n v="343.66"/>
    <n v="0.2"/>
    <n v="274.93"/>
    <s v="Bank Transfer"/>
  </r>
  <r>
    <s v="ORD-0550"/>
    <d v="2025-07-09T00:00:00"/>
    <s v="CUST-0052"/>
    <s v="United States"/>
    <s v="North America"/>
    <x v="4"/>
    <s v="Office Supplies"/>
    <n v="4"/>
    <n v="15.17"/>
    <n v="0.2"/>
    <n v="48.54"/>
    <s v="Bank Transfer"/>
  </r>
  <r>
    <s v="ORD-0251"/>
    <d v="2025-07-09T00:00:00"/>
    <s v="CUST-0151"/>
    <s v="Nigeria"/>
    <s v="West Africa"/>
    <x v="3"/>
    <s v="Electronics"/>
    <n v="3"/>
    <n v="616.08000000000004"/>
    <n v="0.1"/>
    <n v="1663.42"/>
    <s v="Bank Transfer"/>
  </r>
  <r>
    <s v="ORD-0085"/>
    <d v="2025-07-11T00:00:00"/>
    <s v="CUST-0038"/>
    <s v="Kenya"/>
    <s v="East Africa"/>
    <x v="7"/>
    <s v="Furniture"/>
    <n v="5"/>
    <n v="359.76"/>
    <n v="0.2"/>
    <n v="1439.04"/>
    <s v="Cash"/>
  </r>
  <r>
    <s v="ORD-0049"/>
    <d v="2025-07-11T00:00:00"/>
    <s v="CUST-0069"/>
    <s v="Kenya"/>
    <s v="East Africa"/>
    <x v="8"/>
    <s v="Electronics"/>
    <n v="8"/>
    <n v="48.91"/>
    <n v="0.15"/>
    <n v="332.59"/>
    <s v="Mobile Money"/>
  </r>
  <r>
    <s v="ORD-0221"/>
    <d v="2025-07-11T00:00:00"/>
    <s v="CUST-0063"/>
    <s v="Ghana"/>
    <s v="West Africa"/>
    <x v="7"/>
    <s v="Furniture"/>
    <n v="8"/>
    <n v="360.59"/>
    <n v="0"/>
    <n v="2884.72"/>
    <s v="Mobile Money"/>
  </r>
  <r>
    <s v="ORD-0537"/>
    <d v="2025-07-11T00:00:00"/>
    <s v="CUST-0136"/>
    <s v="Ghana"/>
    <s v="West Africa"/>
    <x v="9"/>
    <s v="Electronics"/>
    <n v="8"/>
    <n v="72.14"/>
    <n v="0"/>
    <n v="577.12"/>
    <s v="Card"/>
  </r>
  <r>
    <s v="ORD-0506"/>
    <d v="2025-07-11T00:00:00"/>
    <s v="CUST-0044"/>
    <s v="United Kingdom"/>
    <s v="Europe"/>
    <x v="1"/>
    <s v="Electronics"/>
    <n v="8"/>
    <n v="301.08"/>
    <n v="0"/>
    <n v="2408.64"/>
    <s v="Mobile Money"/>
  </r>
  <r>
    <s v="ORD-0351"/>
    <d v="2025-07-11T00:00:00"/>
    <s v="CUST-0011"/>
    <s v="United Kingdom"/>
    <s v="Europe"/>
    <x v="7"/>
    <s v="Furniture"/>
    <n v="3"/>
    <n v="376.59"/>
    <n v="0.1"/>
    <n v="1016.79"/>
    <s v="Card"/>
  </r>
  <r>
    <s v="ORD-0162"/>
    <d v="2025-07-12T00:00:00"/>
    <s v="CUST-0073"/>
    <s v="Ghana"/>
    <s v="West Africa"/>
    <x v="9"/>
    <s v="Electronics"/>
    <n v="6"/>
    <n v="85.65"/>
    <n v="0.15"/>
    <n v="436.82"/>
    <s v="Mobile Money"/>
  </r>
  <r>
    <s v="ORD-0131"/>
    <d v="2025-07-13T00:00:00"/>
    <s v="CUST-0113"/>
    <s v="Nigeria"/>
    <s v="West Africa"/>
    <x v="9"/>
    <s v="Electronics"/>
    <n v="3"/>
    <n v="73.05"/>
    <n v="0.15"/>
    <n v="186.28"/>
    <s v="Mobile Money"/>
  </r>
  <r>
    <s v="ORD-0345"/>
    <d v="2025-07-13T00:00:00"/>
    <s v="CUST-0162"/>
    <s v="South Africa"/>
    <s v="Southern Africa"/>
    <x v="2"/>
    <s v="Furniture"/>
    <n v="4"/>
    <n v="52.08"/>
    <n v="0.2"/>
    <n v="166.66"/>
    <s v="Cash"/>
  </r>
  <r>
    <s v="ORD-0169"/>
    <d v="2025-07-14T00:00:00"/>
    <s v="CUST-0153"/>
    <s v="United States"/>
    <s v="North America"/>
    <x v="4"/>
    <s v="Office Supplies"/>
    <n v="1"/>
    <n v="14.67"/>
    <n v="0.05"/>
    <n v="13.94"/>
    <s v="Mobile Money"/>
  </r>
  <r>
    <s v="ORD-0138"/>
    <d v="2025-07-14T00:00:00"/>
    <s v="CUST-0119"/>
    <s v="Kenya"/>
    <s v="East Africa"/>
    <x v="3"/>
    <s v="Electronics"/>
    <n v="1"/>
    <n v="691.27"/>
    <n v="0.05"/>
    <n v="656.71"/>
    <s v="Card"/>
  </r>
  <r>
    <s v="ORD-0317"/>
    <d v="2025-07-16T00:00:00"/>
    <s v="CUST-0051"/>
    <s v="Nigeria"/>
    <s v="West Africa"/>
    <x v="6"/>
    <s v="Electronics"/>
    <n v="6"/>
    <n v="116.93"/>
    <n v="0.1"/>
    <n v="631.41999999999996"/>
    <s v="Card"/>
  </r>
  <r>
    <s v="ORD-0163"/>
    <d v="2025-07-17T00:00:00"/>
    <s v="CUST-0039"/>
    <s v="Ghana"/>
    <s v="West Africa"/>
    <x v="8"/>
    <s v="Electronics"/>
    <n v="8"/>
    <n v="41.62"/>
    <n v="0.25"/>
    <n v="249.72"/>
    <s v="Bank Transfer"/>
  </r>
  <r>
    <s v="ORD-0119"/>
    <d v="2025-07-19T00:00:00"/>
    <s v="CUST-0023"/>
    <s v="Nigeria"/>
    <s v="West Africa"/>
    <x v="7"/>
    <s v="Furniture"/>
    <n v="4"/>
    <n v="327.71"/>
    <n v="0.25"/>
    <n v="983.13"/>
    <s v="Mobile Money"/>
  </r>
  <r>
    <s v="ORD-0271"/>
    <d v="2025-07-19T00:00:00"/>
    <s v="CUST-0087"/>
    <s v="United States"/>
    <s v="North America"/>
    <x v="7"/>
    <s v="Furniture"/>
    <n v="8"/>
    <n v="384.18"/>
    <n v="0.1"/>
    <n v="2766.1"/>
    <s v="Card"/>
  </r>
  <r>
    <s v="ORD-0544"/>
    <d v="2025-07-20T00:00:00"/>
    <s v="CUST-0076"/>
    <s v="United Kingdom"/>
    <s v="Europe"/>
    <x v="9"/>
    <s v="Electronics"/>
    <n v="4"/>
    <n v="72.25"/>
    <n v="0.1"/>
    <n v="260.10000000000002"/>
    <s v="Mobile Money"/>
  </r>
  <r>
    <s v="ORD-0364"/>
    <d v="2025-07-21T00:00:00"/>
    <s v="CUST-0146"/>
    <s v="South Africa"/>
    <s v="Southern Africa"/>
    <x v="7"/>
    <s v="Furniture"/>
    <n v="8"/>
    <n v="368.33"/>
    <n v="0.25"/>
    <n v="2209.98"/>
    <s v="Card"/>
  </r>
  <r>
    <s v="ORD-0422"/>
    <d v="2025-07-21T00:00:00"/>
    <s v="CUST-0046"/>
    <s v="South Africa"/>
    <s v="Southern Africa"/>
    <x v="7"/>
    <s v="Furniture"/>
    <n v="6"/>
    <n v="334.23"/>
    <n v="0.2"/>
    <n v="1604.3"/>
    <s v="Mobile Money"/>
  </r>
  <r>
    <s v="ORD-0575"/>
    <d v="2025-07-22T00:00:00"/>
    <s v="CUST-0061"/>
    <s v="South Africa"/>
    <s v="Southern Africa"/>
    <x v="9"/>
    <s v="Electronics"/>
    <n v="2"/>
    <n v="80.97"/>
    <n v="0.25"/>
    <n v="121.46"/>
    <s v="Card"/>
  </r>
  <r>
    <s v="ORD-0051"/>
    <d v="2025-07-23T00:00:00"/>
    <s v="CUST-0144"/>
    <s v="Ghana"/>
    <s v="West Africa"/>
    <x v="7"/>
    <s v="Furniture"/>
    <n v="7"/>
    <n v="317.85000000000002"/>
    <n v="0.2"/>
    <n v="1779.96"/>
    <s v="Bank Transfer"/>
  </r>
  <r>
    <s v="ORD-0212"/>
    <d v="2025-07-23T00:00:00"/>
    <s v="CUST-0165"/>
    <s v="Nigeria"/>
    <s v="West Africa"/>
    <x v="11"/>
    <s v="Accessories"/>
    <n v="4"/>
    <n v="73.19"/>
    <n v="0.15"/>
    <n v="248.85"/>
    <s v="Card"/>
  </r>
  <r>
    <s v="ORD-0394"/>
    <d v="2025-07-24T00:00:00"/>
    <s v="CUST-0059"/>
    <s v="South Africa"/>
    <s v="Southern Africa"/>
    <x v="0"/>
    <s v="Furniture"/>
    <n v="5"/>
    <n v="233.37"/>
    <n v="0.1"/>
    <n v="1050.1600000000001"/>
    <s v="Mobile Money"/>
  </r>
  <r>
    <s v="ORD-0415"/>
    <d v="2025-07-24T00:00:00"/>
    <s v="CUST-0079"/>
    <s v="Nigeria"/>
    <s v="West Africa"/>
    <x v="0"/>
    <s v="Furniture"/>
    <n v="8"/>
    <n v="200.89"/>
    <n v="0.05"/>
    <n v="1526.76"/>
    <s v="Card"/>
  </r>
  <r>
    <s v="ORD-0088"/>
    <d v="2025-07-24T00:00:00"/>
    <s v="CUST-0126"/>
    <s v="Kenya"/>
    <s v="East Africa"/>
    <x v="2"/>
    <s v="Furniture"/>
    <n v="4"/>
    <n v="54.55"/>
    <n v="0.3"/>
    <n v="152.74"/>
    <s v="Mobile Money"/>
  </r>
  <r>
    <s v="ORD-0445"/>
    <d v="2025-07-25T00:00:00"/>
    <s v="CUST-0126"/>
    <s v="United Kingdom"/>
    <s v="Europe"/>
    <x v="1"/>
    <s v="Electronics"/>
    <n v="2"/>
    <n v="288.18"/>
    <n v="0.05"/>
    <n v="547.54"/>
    <s v="Bank Transfer"/>
  </r>
  <r>
    <s v="ORD-0332"/>
    <d v="2025-07-26T00:00:00"/>
    <s v="CUST-0115"/>
    <s v="United Kingdom"/>
    <s v="Europe"/>
    <x v="0"/>
    <s v="Furniture"/>
    <n v="4"/>
    <n v="208.24"/>
    <n v="0.2"/>
    <n v="666.37"/>
    <s v="Card"/>
  </r>
  <r>
    <s v="ORD-0198"/>
    <d v="2025-07-27T00:00:00"/>
    <s v="CUST-0132"/>
    <s v="South Africa"/>
    <s v="Southern Africa"/>
    <x v="0"/>
    <s v="Furniture"/>
    <n v="6"/>
    <n v="224.94"/>
    <n v="0.1"/>
    <n v="1214.68"/>
    <s v="Mobile Money"/>
  </r>
  <r>
    <s v="ORD-0589"/>
    <d v="2025-07-27T00:00:00"/>
    <s v="CUST-0144"/>
    <s v="Kenya"/>
    <s v="East Africa"/>
    <x v="7"/>
    <s v="Furniture"/>
    <n v="8"/>
    <n v="330.19"/>
    <n v="0.05"/>
    <n v="2509.44"/>
    <s v="Mobile Money"/>
  </r>
  <r>
    <s v="ORD-0548"/>
    <d v="2025-07-27T00:00:00"/>
    <s v="CUST-0150"/>
    <s v="United States"/>
    <s v="North America"/>
    <x v="7"/>
    <s v="Furniture"/>
    <n v="6"/>
    <n v="374.8"/>
    <n v="0.1"/>
    <n v="2023.92"/>
    <s v="Card"/>
  </r>
  <r>
    <s v="ORD-0554"/>
    <d v="2025-07-29T00:00:00"/>
    <s v="CUST-0145"/>
    <s v="Kenya"/>
    <s v="East Africa"/>
    <x v="10"/>
    <s v="Electronics"/>
    <n v="4"/>
    <n v="946.9"/>
    <n v="0"/>
    <n v="3787.6"/>
    <s v="Mobile Money"/>
  </r>
  <r>
    <s v="ORD-0180"/>
    <d v="2025-07-29T00:00:00"/>
    <s v="CUST-0050"/>
    <s v="United Kingdom"/>
    <s v="Europe"/>
    <x v="10"/>
    <s v="Electronics"/>
    <n v="2"/>
    <n v="895.24"/>
    <n v="0"/>
    <n v="1790.48"/>
    <s v="Card"/>
  </r>
  <r>
    <s v="ORD-0565"/>
    <d v="2025-07-29T00:00:00"/>
    <s v="CUST-0048"/>
    <s v="Nigeria"/>
    <s v="West Africa"/>
    <x v="6"/>
    <s v="Electronics"/>
    <n v="6"/>
    <m/>
    <n v="0.1"/>
    <n v="593.41"/>
    <s v="Card"/>
  </r>
  <r>
    <s v="ORD-0346"/>
    <d v="2025-07-29T00:00:00"/>
    <s v="CUST-0145"/>
    <s v="Kenya"/>
    <s v="East Africa"/>
    <x v="8"/>
    <s v="Electronics"/>
    <n v="1"/>
    <n v="42.92"/>
    <n v="0.1"/>
    <n v="38.630000000000003"/>
    <s v="Bank Transfer"/>
  </r>
  <r>
    <s v="ORD-0568"/>
    <d v="2025-07-30T00:00:00"/>
    <s v="CUST-0067"/>
    <s v="Nigeria"/>
    <s v="West Africa"/>
    <x v="11"/>
    <s v="Accessories"/>
    <n v="2"/>
    <n v="81.069999999999993"/>
    <n v="0.15"/>
    <n v="137.82"/>
    <s v="Card"/>
  </r>
  <r>
    <s v="ORD-0201"/>
    <d v="2025-07-30T00:00:00"/>
    <s v="CUST-0150"/>
    <s v="United States"/>
    <s v="North America"/>
    <x v="7"/>
    <s v="Furniture"/>
    <n v="7"/>
    <n v="318.06"/>
    <n v="0"/>
    <n v="2226.42"/>
    <s v="Card"/>
  </r>
  <r>
    <s v="ORD-0076"/>
    <d v="2025-07-31T00:00:00"/>
    <s v="CUST-0157"/>
    <s v="Ghana"/>
    <s v="West Africa"/>
    <x v="8"/>
    <s v="Electronics"/>
    <n v="4"/>
    <n v="49.38"/>
    <n v="0.15"/>
    <n v="167.89"/>
    <s v="Mobile Money"/>
  </r>
  <r>
    <s v="ORD-0473"/>
    <d v="2025-07-31T00:00:00"/>
    <s v="CUST-0168"/>
    <s v="Ghana"/>
    <s v="West Africa"/>
    <x v="9"/>
    <s v="Electronics"/>
    <n v="4"/>
    <n v="81.81"/>
    <n v="0.15"/>
    <n v="278.14999999999998"/>
    <s v="Card"/>
  </r>
  <r>
    <s v="ORD-0443"/>
    <d v="2025-07-31T00:00:00"/>
    <s v="CUST-0003"/>
    <s v="Nigeria"/>
    <s v="West Africa"/>
    <x v="8"/>
    <s v="Electronics"/>
    <n v="2"/>
    <n v="42.31"/>
    <n v="0.05"/>
    <n v="80.39"/>
    <s v="Card"/>
  </r>
  <r>
    <s v="ORD-0563"/>
    <d v="2025-08-02T00:00:00"/>
    <s v="CUST-0177"/>
    <s v="Ghana"/>
    <s v="West Africa"/>
    <x v="2"/>
    <s v="Furniture"/>
    <n v="2"/>
    <n v="56.32"/>
    <n v="0.1"/>
    <n v="101.38"/>
    <s v="Mobile Money"/>
  </r>
  <r>
    <s v="ORD-0314"/>
    <d v="2025-08-02T00:00:00"/>
    <s v="CUST-0143"/>
    <s v="Ghana"/>
    <s v="West Africa"/>
    <x v="1"/>
    <s v="Electronics"/>
    <n v="5"/>
    <n v="279.88"/>
    <n v="0.05"/>
    <n v="1329.43"/>
    <s v="Bank Transfer"/>
  </r>
  <r>
    <s v="ORD-0155"/>
    <d v="2025-08-03T00:00:00"/>
    <s v="CUST-0082"/>
    <s v="United States"/>
    <s v="North America"/>
    <x v="7"/>
    <s v="Furniture"/>
    <n v="7"/>
    <n v="335.81"/>
    <n v="0.25"/>
    <n v="1763"/>
    <s v="Cash"/>
  </r>
  <r>
    <s v="ORD-0507"/>
    <d v="2025-08-03T00:00:00"/>
    <s v="CUST-0131"/>
    <s v="United Kingdom"/>
    <s v="Europe"/>
    <x v="1"/>
    <s v="Electronics"/>
    <n v="4"/>
    <n v="281.7"/>
    <n v="0.2"/>
    <n v="901.44"/>
    <s v="Bank Transfer"/>
  </r>
  <r>
    <s v="ORD-0390"/>
    <d v="2025-08-03T00:00:00"/>
    <s v="CUST-0120"/>
    <s v="Ghana"/>
    <s v="West Africa"/>
    <x v="9"/>
    <s v="Electronics"/>
    <n v="7"/>
    <n v="75.38"/>
    <n v="0.2"/>
    <n v="422.13"/>
    <s v="Card"/>
  </r>
  <r>
    <s v="ORD-0419"/>
    <d v="2025-08-04T00:00:00"/>
    <s v="CUST-0057"/>
    <s v="Nigeria"/>
    <s v="West Africa"/>
    <x v="2"/>
    <s v="Furniture"/>
    <n v="3"/>
    <n v="52.36"/>
    <n v="0.05"/>
    <n v="149.22999999999999"/>
    <s v="Cash"/>
  </r>
  <r>
    <s v="ORD-0061"/>
    <d v="2025-08-05T00:00:00"/>
    <s v="CUST-0086"/>
    <s v="United Kingdom"/>
    <s v="Europe"/>
    <x v="6"/>
    <s v="Electronics"/>
    <n v="1"/>
    <n v="117.07"/>
    <n v="0.1"/>
    <n v="105.36"/>
    <s v="Mobile Money"/>
  </r>
  <r>
    <s v="ORD-0058"/>
    <d v="2025-08-05T00:00:00"/>
    <s v="CUST-0021"/>
    <s v="Nigeria"/>
    <s v="West Africa"/>
    <x v="1"/>
    <s v="Electronics"/>
    <n v="4"/>
    <n v="311.57"/>
    <n v="0.05"/>
    <n v="1183.97"/>
    <s v="Cash"/>
  </r>
  <r>
    <s v="ORD-0463"/>
    <d v="2025-08-07T00:00:00"/>
    <s v="CUST-0177"/>
    <s v="Ghana"/>
    <s v="West Africa"/>
    <x v="5"/>
    <s v="Office Supplies"/>
    <n v="5"/>
    <n v="273.95"/>
    <n v="0.1"/>
    <n v="1232.78"/>
    <s v="Card"/>
  </r>
  <r>
    <s v="ORD-0578"/>
    <d v="2025-08-08T00:00:00"/>
    <s v="CUST-0122"/>
    <s v="Ghana"/>
    <s v="West Africa"/>
    <x v="5"/>
    <s v="Office Supplies"/>
    <n v="5"/>
    <n v="253.4"/>
    <n v="0.05"/>
    <n v="1203.6500000000001"/>
    <s v="Cash"/>
  </r>
  <r>
    <s v="ORD-0274"/>
    <d v="2025-08-08T00:00:00"/>
    <s v="CUST-0081"/>
    <s v="Kenya"/>
    <s v="East Africa"/>
    <x v="11"/>
    <s v="Accessories"/>
    <n v="8"/>
    <n v="68.53"/>
    <n v="0.1"/>
    <n v="493.42"/>
    <s v="Card"/>
  </r>
  <r>
    <s v="ORD-0303"/>
    <d v="2025-08-08T00:00:00"/>
    <s v="CUST-0135"/>
    <s v="South Africa"/>
    <s v="Southern Africa"/>
    <x v="0"/>
    <s v="Furniture"/>
    <n v="5"/>
    <n v="201.03"/>
    <n v="0"/>
    <n v="1005.15"/>
    <s v="Card"/>
  </r>
  <r>
    <s v="ORD-0436"/>
    <d v="2025-08-09T00:00:00"/>
    <s v="CUST-0068"/>
    <s v="Ghana"/>
    <s v="West Africa"/>
    <x v="5"/>
    <s v="Office Supplies"/>
    <n v="1"/>
    <n v="233.76"/>
    <n v="0.2"/>
    <n v="187.01"/>
    <s v="Card"/>
  </r>
  <r>
    <s v="ORD-0592"/>
    <d v="2025-08-09T00:00:00"/>
    <s v="CUST-0167"/>
    <s v="South Africa"/>
    <s v="Southern Africa"/>
    <x v="6"/>
    <s v="Electronics"/>
    <n v="6"/>
    <n v="126.06"/>
    <n v="0.1"/>
    <n v="680.72"/>
    <s v="Mobile Money"/>
  </r>
  <r>
    <s v="ORD-0016"/>
    <d v="2025-08-10T00:00:00"/>
    <s v="CUST-0151"/>
    <s v="Kenya"/>
    <s v="East Africa"/>
    <x v="6"/>
    <s v="Electronics"/>
    <n v="7"/>
    <n v="129.5"/>
    <n v="0.1"/>
    <n v="815.85"/>
    <s v="Mobile Money"/>
  </r>
  <r>
    <s v="ORD-0136"/>
    <d v="2025-08-11T00:00:00"/>
    <s v="CUST-0055"/>
    <s v="United States"/>
    <s v="North America"/>
    <x v="9"/>
    <s v="Electronics"/>
    <n v="6"/>
    <n v="85.28"/>
    <n v="0.1"/>
    <n v="460.51"/>
    <s v="Mobile Money"/>
  </r>
  <r>
    <s v="ORD-0023"/>
    <d v="2025-08-12T00:00:00"/>
    <s v="CUST-0129"/>
    <s v="United States"/>
    <s v="North America"/>
    <x v="4"/>
    <s v="Office Supplies"/>
    <n v="1"/>
    <n v="16.43"/>
    <n v="0.1"/>
    <n v="14.79"/>
    <s v="Card"/>
  </r>
  <r>
    <s v="ORD-0129"/>
    <d v="2025-08-12T00:00:00"/>
    <s v="CUST-0141"/>
    <s v="Kenya"/>
    <s v="East Africa"/>
    <x v="11"/>
    <s v="Accessories"/>
    <n v="4"/>
    <n v="75.53"/>
    <n v="0"/>
    <n v="302.12"/>
    <s v="Card"/>
  </r>
  <r>
    <s v="ORD-0140"/>
    <d v="2025-08-12T00:00:00"/>
    <s v="CUST-0114"/>
    <s v="United Kingdom"/>
    <s v="Europe"/>
    <x v="10"/>
    <s v="Electronics"/>
    <n v="2"/>
    <n v="911.84"/>
    <n v="0.3"/>
    <n v="1276.58"/>
    <s v="Mobile Money"/>
  </r>
  <r>
    <s v="ORD-0412"/>
    <d v="2025-08-12T00:00:00"/>
    <s v="CUST-0153"/>
    <s v="South Africa"/>
    <s v="Southern Africa"/>
    <x v="5"/>
    <s v="Office Supplies"/>
    <n v="3"/>
    <n v="244.13"/>
    <n v="0.05"/>
    <n v="695.77"/>
    <s v="Card"/>
  </r>
  <r>
    <s v="ORD-0113"/>
    <d v="2025-08-13T00:00:00"/>
    <s v="CUST-0053"/>
    <s v="United States"/>
    <s v="North America"/>
    <x v="11"/>
    <s v="Accessories"/>
    <n v="1"/>
    <n v="78.709999999999994"/>
    <n v="0.1"/>
    <n v="70.84"/>
    <s v="Card"/>
  </r>
  <r>
    <s v="ORD-0414"/>
    <d v="2025-08-13T00:00:00"/>
    <s v="CUST-0045"/>
    <s v="South Africa"/>
    <s v="Southern Africa"/>
    <x v="1"/>
    <s v="Electronics"/>
    <n v="4"/>
    <n v="320.82"/>
    <n v="0"/>
    <n v="1283.28"/>
    <s v="Bank Transfer"/>
  </r>
  <r>
    <s v="ORD-0474"/>
    <d v="2025-08-13T00:00:00"/>
    <s v="CUST-0110"/>
    <s v="South Africa"/>
    <s v="Southern Africa"/>
    <x v="7"/>
    <s v="Furniture"/>
    <n v="7"/>
    <n v="318.5"/>
    <n v="0.25"/>
    <n v="1672.12"/>
    <s v="Card"/>
  </r>
  <r>
    <s v="ORD-0170"/>
    <d v="2025-08-14T00:00:00"/>
    <s v="CUST-0124"/>
    <s v="United States"/>
    <s v="North America"/>
    <x v="5"/>
    <s v="Office Supplies"/>
    <n v="1"/>
    <n v="241.45"/>
    <n v="0.25"/>
    <n v="181.09"/>
    <s v="Bank Transfer"/>
  </r>
  <r>
    <s v="ORD-0148"/>
    <d v="2025-08-15T00:00:00"/>
    <s v="CUST-0081"/>
    <s v="United States"/>
    <s v="North America"/>
    <x v="7"/>
    <s v="Furniture"/>
    <n v="8"/>
    <n v="330.05"/>
    <n v="0"/>
    <n v="2640.4"/>
    <s v="Card"/>
  </r>
  <r>
    <s v="ORD-0072"/>
    <d v="2025-08-15T00:00:00"/>
    <s v="CUST-0147"/>
    <s v="United Kingdom"/>
    <s v="Europe"/>
    <x v="7"/>
    <s v="Furniture"/>
    <n v="8"/>
    <n v="351.94"/>
    <n v="0.3"/>
    <n v="1970.86"/>
    <s v="Card"/>
  </r>
  <r>
    <s v="ORD-0290"/>
    <d v="2025-08-15T00:00:00"/>
    <s v="CUST-0154"/>
    <s v="Kenya"/>
    <s v="East Africa"/>
    <x v="5"/>
    <s v="Office Supplies"/>
    <n v="4"/>
    <n v="244.27"/>
    <n v="0.15"/>
    <n v="830.52"/>
    <s v="Bank Transfer"/>
  </r>
  <r>
    <s v="ORD-0102"/>
    <d v="2025-08-17T00:00:00"/>
    <s v="CUST-0036"/>
    <s v="United States"/>
    <s v="North America"/>
    <x v="9"/>
    <s v="Electronics"/>
    <n v="7"/>
    <n v="85.48"/>
    <n v="0"/>
    <n v="598.36"/>
    <s v="Card"/>
  </r>
  <r>
    <s v="ORD-0150"/>
    <d v="2025-08-17T00:00:00"/>
    <s v="CUST-0108"/>
    <s v="Nigeria"/>
    <s v="West Africa"/>
    <x v="4"/>
    <s v="Office Supplies"/>
    <n v="8"/>
    <n v="14.8"/>
    <n v="0.05"/>
    <n v="112.48"/>
    <s v="Bank Transfer"/>
  </r>
  <r>
    <s v="ORD-0292"/>
    <d v="2025-08-17T00:00:00"/>
    <s v="CUST-0080"/>
    <s v="Nigeria"/>
    <s v="West Africa"/>
    <x v="10"/>
    <s v="Electronics"/>
    <n v="7"/>
    <n v="967.37"/>
    <n v="0.1"/>
    <n v="6094.43"/>
    <s v="Bank Transfer"/>
  </r>
  <r>
    <s v="ORD-0465"/>
    <d v="2025-08-18T00:00:00"/>
    <s v="CUST-0020"/>
    <s v="South Africa"/>
    <s v="Southern Africa"/>
    <x v="11"/>
    <s v="Accessories"/>
    <n v="2"/>
    <n v="76.55"/>
    <n v="0"/>
    <n v="153.1"/>
    <s v="Card"/>
  </r>
  <r>
    <s v="ORD-0529"/>
    <d v="2025-08-18T00:00:00"/>
    <s v="CUST-0066"/>
    <s v="Kenya"/>
    <s v="East Africa"/>
    <x v="9"/>
    <s v="Electronics"/>
    <n v="2"/>
    <n v="78.430000000000007"/>
    <n v="0"/>
    <n v="156.86000000000001"/>
    <s v="Mobile Money"/>
  </r>
  <r>
    <s v="ORD-0097"/>
    <d v="2025-08-19T00:00:00"/>
    <s v="CUST-0086"/>
    <s v="Kenya"/>
    <s v="East Africa"/>
    <x v="8"/>
    <s v="Electronics"/>
    <n v="7"/>
    <n v="43.9"/>
    <n v="0"/>
    <n v="307.3"/>
    <s v="Card"/>
  </r>
  <r>
    <s v="ORD-0272"/>
    <d v="2025-08-20T00:00:00"/>
    <s v="CUST-0058"/>
    <s v="South Africa"/>
    <s v="Southern Africa"/>
    <x v="6"/>
    <s v="Electronics"/>
    <n v="8"/>
    <n v="110.53"/>
    <n v="0"/>
    <n v="884.24"/>
    <s v="Mobile Money"/>
  </r>
  <r>
    <s v="ORD-0269"/>
    <d v="2025-08-20T00:00:00"/>
    <s v="CUST-0021"/>
    <s v="United States"/>
    <s v="North America"/>
    <x v="3"/>
    <s v="Electronics"/>
    <n v="4"/>
    <n v="594.92999999999995"/>
    <n v="0.05"/>
    <n v="2260.73"/>
    <s v="Cash"/>
  </r>
  <r>
    <s v="ORD-0391"/>
    <d v="2025-08-21T00:00:00"/>
    <s v="CUST-0158"/>
    <s v="Nigeria"/>
    <s v="West Africa"/>
    <x v="4"/>
    <s v="Office Supplies"/>
    <n v="6"/>
    <n v="14.46"/>
    <n v="0.1"/>
    <n v="78.08"/>
    <s v="Card"/>
  </r>
  <r>
    <s v="ORD-0267"/>
    <d v="2025-08-21T00:00:00"/>
    <s v="CUST-0180"/>
    <s v="Kenya"/>
    <s v="East Africa"/>
    <x v="0"/>
    <s v="Furniture"/>
    <n v="2"/>
    <n v="212.29"/>
    <n v="0.15"/>
    <n v="360.89"/>
    <s v="Mobile Money"/>
  </r>
  <r>
    <s v="ORD-0177"/>
    <d v="2025-08-21T00:00:00"/>
    <s v="CUST-0017"/>
    <s v="Kenya"/>
    <s v="East Africa"/>
    <x v="2"/>
    <s v="Furniture"/>
    <n v="7"/>
    <n v="51.62"/>
    <n v="0"/>
    <n v="361.34"/>
    <s v="Card"/>
  </r>
  <r>
    <s v="ORD-0217"/>
    <d v="2025-08-22T00:00:00"/>
    <s v="CUST-0124"/>
    <s v="South Africa"/>
    <s v="Southern Africa"/>
    <x v="0"/>
    <s v="Furniture"/>
    <n v="7"/>
    <n v="199.32"/>
    <n v="0.05"/>
    <n v="1325.48"/>
    <s v="Bank Transfer"/>
  </r>
  <r>
    <s v="ORD-0531"/>
    <d v="2025-08-23T00:00:00"/>
    <s v="CUST-0007"/>
    <s v="Kenya"/>
    <s v="East Africa"/>
    <x v="10"/>
    <s v="Electronics"/>
    <n v="8"/>
    <n v="920.94"/>
    <n v="0.05"/>
    <n v="6999.14"/>
    <s v="Mobile Money"/>
  </r>
  <r>
    <s v="ORD-0189"/>
    <d v="2025-08-24T00:00:00"/>
    <s v="CUST-0084"/>
    <s v="United States"/>
    <s v="North America"/>
    <x v="0"/>
    <s v="Furniture"/>
    <n v="6"/>
    <n v="218.33"/>
    <n v="0"/>
    <n v="1309.98"/>
    <s v="Mobile Money"/>
  </r>
  <r>
    <s v="ORD-0099"/>
    <d v="2025-08-24T00:00:00"/>
    <s v="CUST-0083"/>
    <s v="Kenya"/>
    <s v="East Africa"/>
    <x v="0"/>
    <s v="Furniture"/>
    <n v="7"/>
    <n v="230.42"/>
    <n v="0.1"/>
    <n v="1451.65"/>
    <s v="Mobile Money"/>
  </r>
  <r>
    <s v="ORD-0250"/>
    <d v="2025-08-25T00:00:00"/>
    <s v="CUST-0066"/>
    <s v="Kenya"/>
    <s v="East Africa"/>
    <x v="0"/>
    <s v="Furniture"/>
    <n v="2"/>
    <n v="200.78"/>
    <n v="0"/>
    <n v="401.56"/>
    <s v="Card"/>
  </r>
  <r>
    <s v="ORD-0485"/>
    <d v="2025-08-25T00:00:00"/>
    <s v="CUST-0055"/>
    <s v="Kenya"/>
    <s v="East Africa"/>
    <x v="8"/>
    <s v="Electronics"/>
    <n v="5"/>
    <n v="47.18"/>
    <n v="0"/>
    <n v="235.9"/>
    <s v="Bank Transfer"/>
  </r>
  <r>
    <s v="ORD-0144"/>
    <d v="2025-08-25T00:00:00"/>
    <s v="CUST-0053"/>
    <s v="Ghana"/>
    <s v="West Africa"/>
    <x v="4"/>
    <s v="Office Supplies"/>
    <n v="1"/>
    <n v="14.3"/>
    <n v="0.15"/>
    <n v="12.16"/>
    <s v="Card"/>
  </r>
  <r>
    <s v="ORD-0509"/>
    <d v="2025-08-25T00:00:00"/>
    <s v="CUST-0130"/>
    <s v="Nigeria"/>
    <s v="West Africa"/>
    <x v="4"/>
    <s v="Office Supplies"/>
    <n v="6"/>
    <n v="14.66"/>
    <n v="0.1"/>
    <n v="79.16"/>
    <s v="Card"/>
  </r>
  <r>
    <s v="ORD-0586"/>
    <d v="2025-08-27T00:00:00"/>
    <s v="CUST-0163"/>
    <s v="United Kingdom"/>
    <s v="Europe"/>
    <x v="1"/>
    <s v="Electronics"/>
    <n v="8"/>
    <n v="284.35000000000002"/>
    <n v="0.1"/>
    <n v="2047.32"/>
    <s v="Bank Transfer"/>
  </r>
  <r>
    <s v="ORD-0444"/>
    <d v="2025-08-27T00:00:00"/>
    <s v="CUST-0169"/>
    <s v="United States"/>
    <s v="North America"/>
    <x v="11"/>
    <s v="Accessories"/>
    <n v="7"/>
    <n v="70.37"/>
    <n v="0.05"/>
    <n v="467.96"/>
    <s v="Bank Transfer"/>
  </r>
  <r>
    <s v="ORD-0065"/>
    <d v="2025-08-27T00:00:00"/>
    <s v="CUST-0076"/>
    <s v="United States"/>
    <s v="North America"/>
    <x v="5"/>
    <s v="Office Supplies"/>
    <n v="5"/>
    <n v="261.85000000000002"/>
    <n v="0.1"/>
    <n v="1178.32"/>
    <s v="Bank Transfer"/>
  </r>
  <r>
    <s v="ORD-0025"/>
    <d v="2025-08-28T00:00:00"/>
    <s v="CUST-0144"/>
    <s v="Nigeria"/>
    <s v="West Africa"/>
    <x v="11"/>
    <s v="Accessories"/>
    <n v="8"/>
    <n v="74.55"/>
    <n v="0.3"/>
    <n v="417.48"/>
    <s v="Card"/>
  </r>
  <r>
    <s v="ORD-0482"/>
    <d v="2025-08-30T00:00:00"/>
    <s v="CUST-0121"/>
    <s v="Ghana"/>
    <s v="West Africa"/>
    <x v="11"/>
    <s v="Accessories"/>
    <n v="8"/>
    <n v="81.41"/>
    <n v="0"/>
    <n v="651.28"/>
    <s v="Bank Transfer"/>
  </r>
  <r>
    <s v="ORD-0379"/>
    <d v="2025-08-30T00:00:00"/>
    <s v="CUST-0179"/>
    <s v="Kenya"/>
    <s v="East Africa"/>
    <x v="9"/>
    <s v="Electronics"/>
    <n v="7"/>
    <n v="78.180000000000007"/>
    <n v="0.1"/>
    <n v="492.53"/>
    <s v="Mobile Money"/>
  </r>
  <r>
    <s v="ORD-0205"/>
    <d v="2025-08-31T00:00:00"/>
    <s v="CUST-0115"/>
    <s v="Nigeria"/>
    <s v="West Africa"/>
    <x v="0"/>
    <s v="Furniture"/>
    <n v="2"/>
    <n v="224.3"/>
    <n v="0.2"/>
    <n v="358.88"/>
    <s v="Mobile Money"/>
  </r>
  <r>
    <s v="ORD-0368"/>
    <d v="2025-09-02T00:00:00"/>
    <s v="CUST-0030"/>
    <s v="Ghana"/>
    <s v="West Africa"/>
    <x v="4"/>
    <s v="Office Supplies"/>
    <n v="2"/>
    <n v="14.69"/>
    <n v="0.05"/>
    <n v="27.91"/>
    <s v="Card"/>
  </r>
  <r>
    <s v="ORD-0349"/>
    <d v="2025-09-02T00:00:00"/>
    <s v="CUST-0177"/>
    <s v="Ghana"/>
    <s v="West Africa"/>
    <x v="9"/>
    <s v="Electronics"/>
    <n v="3"/>
    <n v="85.5"/>
    <n v="0.05"/>
    <n v="243.68"/>
    <s v="Mobile Money"/>
  </r>
  <r>
    <s v="ORD-0583"/>
    <d v="2025-09-02T00:00:00"/>
    <s v="CUST-0163"/>
    <s v="Nigeria"/>
    <s v="West Africa"/>
    <x v="9"/>
    <s v="Electronics"/>
    <n v="5"/>
    <n v="81.22"/>
    <n v="0.15"/>
    <n v="345.18"/>
    <s v="Bank Transfer"/>
  </r>
  <r>
    <s v="ORD-0321"/>
    <d v="2025-09-03T00:00:00"/>
    <s v="CUST-0019"/>
    <s v="United States"/>
    <s v="North America"/>
    <x v="2"/>
    <s v="Furniture"/>
    <n v="8"/>
    <n v="51.17"/>
    <n v="0.1"/>
    <n v="368.42"/>
    <s v="Mobile Money"/>
  </r>
  <r>
    <s v="ORD-0376"/>
    <d v="2025-09-03T00:00:00"/>
    <s v="CUST-0149"/>
    <s v="Nigeria"/>
    <s v="West Africa"/>
    <x v="4"/>
    <s v="Office Supplies"/>
    <n v="5"/>
    <n v="15.3"/>
    <n v="0.05"/>
    <n v="72.680000000000007"/>
    <s v="Mobile Money"/>
  </r>
  <r>
    <s v="ORD-0490"/>
    <d v="2025-09-03T00:00:00"/>
    <s v="CUST-0033"/>
    <s v="United Kingdom"/>
    <s v="Europe"/>
    <x v="7"/>
    <s v="Furniture"/>
    <n v="2"/>
    <n v="352.23"/>
    <n v="0.2"/>
    <n v="563.57000000000005"/>
    <s v="Card"/>
  </r>
  <r>
    <s v="ORD-0564"/>
    <d v="2025-09-04T00:00:00"/>
    <s v="CUST-0083"/>
    <s v="Nigeria"/>
    <s v="West Africa"/>
    <x v="5"/>
    <s v="Office Supplies"/>
    <n v="5"/>
    <n v="225.51"/>
    <n v="0.15"/>
    <n v="958.42"/>
    <s v="Bank Transfer"/>
  </r>
  <r>
    <s v="ORD-0427"/>
    <d v="2025-09-04T00:00:00"/>
    <s v="CUST-0008"/>
    <s v="United Kingdom"/>
    <s v="Europe"/>
    <x v="4"/>
    <s v="Office Supplies"/>
    <n v="5"/>
    <n v="16.329999999999998"/>
    <n v="0.25"/>
    <n v="61.24"/>
    <s v="Mobile Money"/>
  </r>
  <r>
    <s v="ORD-0596"/>
    <d v="2025-09-04T00:00:00"/>
    <s v="CUST-0011"/>
    <s v="Ghana"/>
    <s v="West Africa"/>
    <x v="11"/>
    <s v="Accessories"/>
    <n v="8"/>
    <n v="79.58"/>
    <n v="0.25"/>
    <n v="477.48"/>
    <s v="Card"/>
  </r>
  <r>
    <s v="ORD-0248"/>
    <d v="2025-09-05T00:00:00"/>
    <s v="CUST-0108"/>
    <s v="United States"/>
    <s v="North America"/>
    <x v="1"/>
    <s v="Electronics"/>
    <n v="4"/>
    <n v="328.45"/>
    <n v="0"/>
    <n v="1313.8"/>
    <s v="Bank Transfer"/>
  </r>
  <r>
    <s v="ORD-0329"/>
    <d v="2025-09-05T00:00:00"/>
    <s v="CUST-0156"/>
    <s v="Nigeria"/>
    <s v="West Africa"/>
    <x v="10"/>
    <s v="Electronics"/>
    <n v="4"/>
    <n v="943.07"/>
    <n v="0"/>
    <n v="3772.28"/>
    <s v="Card"/>
  </r>
  <r>
    <s v="ORD-0442"/>
    <d v="2025-09-06T00:00:00"/>
    <s v="CUST-0054"/>
    <s v="Kenya"/>
    <s v="East Africa"/>
    <x v="7"/>
    <s v="Furniture"/>
    <n v="7"/>
    <n v="323.95"/>
    <n v="0.15"/>
    <n v="1927.5"/>
    <s v="Card"/>
  </r>
  <r>
    <s v="ORD-0585"/>
    <d v="2025-09-06T00:00:00"/>
    <s v="CUST-0014"/>
    <s v="Nigeria"/>
    <s v="West Africa"/>
    <x v="11"/>
    <s v="Accessories"/>
    <n v="6"/>
    <n v="77.31"/>
    <n v="0.15"/>
    <n v="394.28"/>
    <s v="Card"/>
  </r>
  <r>
    <s v="ORD-0374"/>
    <d v="2025-09-06T00:00:00"/>
    <s v="CUST-0152"/>
    <s v="Kenya"/>
    <s v="East Africa"/>
    <x v="6"/>
    <s v="Electronics"/>
    <n v="5"/>
    <n v="131.85"/>
    <n v="0.2"/>
    <n v="527.4"/>
    <s v="Mobile Money"/>
  </r>
  <r>
    <s v="ORD-0086"/>
    <d v="2025-09-06T00:00:00"/>
    <s v="CUST-0166"/>
    <s v="South Africa"/>
    <s v="Southern Africa"/>
    <x v="3"/>
    <s v="Electronics"/>
    <n v="6"/>
    <n v="657.13"/>
    <n v="0"/>
    <n v="3942.78"/>
    <s v="Bank Transfer"/>
  </r>
  <r>
    <s v="ORD-0580"/>
    <d v="2025-09-06T00:00:00"/>
    <s v="CUST-0170"/>
    <s v="Ghana"/>
    <s v="West Africa"/>
    <x v="10"/>
    <s v="Electronics"/>
    <n v="7"/>
    <n v="849.29"/>
    <n v="0.3"/>
    <n v="4161.5200000000004"/>
    <s v="Mobile Money"/>
  </r>
  <r>
    <s v="ORD-0052"/>
    <d v="2025-09-07T00:00:00"/>
    <s v="CUST-0010"/>
    <s v="Ghana"/>
    <s v="West Africa"/>
    <x v="7"/>
    <s v="Furniture"/>
    <n v="7"/>
    <n v="339.24"/>
    <n v="0.1"/>
    <n v="2137.21"/>
    <s v="Mobile Money"/>
  </r>
  <r>
    <s v="ORD-0204"/>
    <d v="2025-09-07T00:00:00"/>
    <s v="CUST-0117"/>
    <s v="United Kingdom"/>
    <s v="Europe"/>
    <x v="0"/>
    <s v="Furniture"/>
    <n v="4"/>
    <n v="199.76"/>
    <n v="0.2"/>
    <n v="639.23"/>
    <s v="Mobile Money"/>
  </r>
  <r>
    <s v="ORD-0572"/>
    <d v="2025-09-07T00:00:00"/>
    <s v="CUST-0110"/>
    <s v="United Kingdom"/>
    <s v="Europe"/>
    <x v="7"/>
    <s v="Furniture"/>
    <n v="6"/>
    <n v="349.01"/>
    <n v="0"/>
    <n v="2094.06"/>
    <s v="Mobile Money"/>
  </r>
  <r>
    <s v="ORD-0213"/>
    <d v="2025-09-08T00:00:00"/>
    <s v="CUST-0148"/>
    <s v="United Kingdom"/>
    <s v="Europe"/>
    <x v="9"/>
    <s v="Electronics"/>
    <n v="4"/>
    <n v="79.14"/>
    <n v="0.2"/>
    <n v="253.25"/>
    <s v="Mobile Money"/>
  </r>
  <r>
    <s v="ORD-0159"/>
    <d v="2025-09-08T00:00:00"/>
    <s v="CUST-0013"/>
    <s v="Kenya"/>
    <s v="East Africa"/>
    <x v="2"/>
    <s v="Furniture"/>
    <n v="6"/>
    <n v="54.09"/>
    <n v="0.1"/>
    <n v="292.08999999999997"/>
    <s v="Cash"/>
  </r>
  <r>
    <s v="ORD-0261"/>
    <d v="2025-09-09T00:00:00"/>
    <s v="CUST-0097"/>
    <s v="Ghana"/>
    <s v="West Africa"/>
    <x v="8"/>
    <s v="Electronics"/>
    <n v="4"/>
    <n v="43.23"/>
    <n v="0"/>
    <n v="172.92"/>
    <s v="Mobile Money"/>
  </r>
  <r>
    <s v="ORD-0084"/>
    <d v="2025-09-12T00:00:00"/>
    <s v="CUST-0047"/>
    <s v="United Kingdom"/>
    <s v="Europe"/>
    <x v="2"/>
    <s v="Furniture"/>
    <n v="5"/>
    <n v="50.47"/>
    <n v="0.2"/>
    <n v="201.88"/>
    <s v="Mobile Money"/>
  </r>
  <r>
    <s v="ORD-0134"/>
    <d v="2025-09-12T00:00:00"/>
    <s v="CUST-0072"/>
    <s v="United States"/>
    <s v="North America"/>
    <x v="9"/>
    <s v="Electronics"/>
    <n v="1"/>
    <n v="80.83"/>
    <n v="0.05"/>
    <n v="76.790000000000006"/>
    <s v="Card"/>
  </r>
  <r>
    <s v="ORD-0520"/>
    <d v="2025-09-13T00:00:00"/>
    <s v="CUST-0099"/>
    <s v="Ghana"/>
    <s v="West Africa"/>
    <x v="9"/>
    <s v="Electronics"/>
    <n v="2"/>
    <n v="83.3"/>
    <n v="0.05"/>
    <n v="158.27000000000001"/>
    <s v="Card"/>
  </r>
  <r>
    <s v="ORD-0532"/>
    <d v="2025-09-13T00:00:00"/>
    <s v="CUST-0073"/>
    <s v="Kenya"/>
    <s v="East Africa"/>
    <x v="4"/>
    <s v="Office Supplies"/>
    <n v="7"/>
    <n v="15.55"/>
    <n v="0.05"/>
    <n v="103.41"/>
    <s v="Bank Transfer"/>
  </r>
  <r>
    <s v="ORD-0598"/>
    <d v="2025-09-13T00:00:00"/>
    <s v="CUST-0030"/>
    <s v="Nigeria"/>
    <s v="West Africa"/>
    <x v="8"/>
    <s v="Electronics"/>
    <n v="7"/>
    <n v="41.09"/>
    <n v="0.2"/>
    <n v="230.1"/>
    <s v="Card"/>
  </r>
  <r>
    <s v="ORD-0481"/>
    <d v="2025-09-13T00:00:00"/>
    <s v="CUST-0135"/>
    <s v="United Kingdom"/>
    <s v="Europe"/>
    <x v="11"/>
    <s v="Accessories"/>
    <n v="8"/>
    <n v="74.16"/>
    <n v="0"/>
    <n v="593.28"/>
    <s v="Card"/>
  </r>
  <r>
    <s v="ORD-0185"/>
    <d v="2025-09-14T00:00:00"/>
    <s v="CUST-0058"/>
    <s v="United States"/>
    <s v="North America"/>
    <x v="7"/>
    <s v="Furniture"/>
    <n v="3"/>
    <n v="382.52"/>
    <n v="0.15"/>
    <n v="975.43"/>
    <s v="Mobile Money"/>
  </r>
  <r>
    <s v="ORD-0514"/>
    <d v="2025-09-14T00:00:00"/>
    <s v="CUST-0165"/>
    <s v="Ghana"/>
    <s v="West Africa"/>
    <x v="0"/>
    <s v="Furniture"/>
    <n v="2"/>
    <n v="228.75"/>
    <n v="0.05"/>
    <n v="434.62"/>
    <s v="Mobile Money"/>
  </r>
  <r>
    <s v="ORD-0291"/>
    <d v="2025-09-17T00:00:00"/>
    <s v="CUST-0057"/>
    <s v="Nigeria"/>
    <s v="West Africa"/>
    <x v="7"/>
    <s v="Furniture"/>
    <n v="6"/>
    <n v="363.69"/>
    <n v="0"/>
    <n v="2182.14"/>
    <s v="Mobile Money"/>
  </r>
  <r>
    <s v="ORD-0426"/>
    <d v="2025-09-17T00:00:00"/>
    <s v="CUST-0108"/>
    <s v="Kenya"/>
    <s v="East Africa"/>
    <x v="3"/>
    <s v="Electronics"/>
    <n v="3"/>
    <n v="607.89"/>
    <n v="0.05"/>
    <n v="1732.49"/>
    <s v="Card"/>
  </r>
  <r>
    <s v="ORD-0164"/>
    <d v="2025-09-17T00:00:00"/>
    <s v="CUST-0059"/>
    <s v="United States"/>
    <s v="North America"/>
    <x v="9"/>
    <s v="Electronics"/>
    <n v="3"/>
    <n v="86.46"/>
    <n v="0.3"/>
    <n v="181.57"/>
    <m/>
  </r>
  <r>
    <s v="ORD-0209"/>
    <d v="2025-09-18T00:00:00"/>
    <s v="CUST-0168"/>
    <s v="Ghana"/>
    <s v="West Africa"/>
    <x v="10"/>
    <s v="Electronics"/>
    <n v="3"/>
    <n v="866.19"/>
    <n v="0.1"/>
    <n v="2338.71"/>
    <s v="Bank Transfer"/>
  </r>
  <r>
    <s v="ORD-0117"/>
    <d v="2025-09-18T00:00:00"/>
    <s v="CUST-0157"/>
    <s v="Kenya"/>
    <s v="East Africa"/>
    <x v="0"/>
    <s v="Furniture"/>
    <n v="5"/>
    <n v="203.61"/>
    <n v="0.1"/>
    <n v="916.25"/>
    <s v="Bank Transfer"/>
  </r>
  <r>
    <s v="ORD-0173"/>
    <d v="2025-09-19T00:00:00"/>
    <s v="CUST-0147"/>
    <s v="United Kingdom"/>
    <s v="Europe"/>
    <x v="9"/>
    <s v="Electronics"/>
    <n v="8"/>
    <n v="82.85"/>
    <n v="0.1"/>
    <n v="596.52"/>
    <s v="Card"/>
  </r>
  <r>
    <s v="ORD-0582"/>
    <d v="2025-09-19T00:00:00"/>
    <s v="CUST-0163"/>
    <s v="Nigeria"/>
    <s v="West Africa"/>
    <x v="5"/>
    <s v="Office Supplies"/>
    <n v="5"/>
    <n v="229.23"/>
    <n v="0.1"/>
    <n v="1031.53"/>
    <s v="Mobile Money"/>
  </r>
  <r>
    <s v="ORD-0319"/>
    <d v="2025-09-20T00:00:00"/>
    <s v="CUST-0080"/>
    <s v="United Kingdom"/>
    <s v="Europe"/>
    <x v="9"/>
    <s v="Electronics"/>
    <n v="2"/>
    <n v="74.53"/>
    <n v="0.15"/>
    <n v="126.7"/>
    <s v="Bank Transfer"/>
  </r>
  <r>
    <s v="ORD-0028"/>
    <d v="2025-09-20T00:00:00"/>
    <s v="CUST-0144"/>
    <s v="South Africa"/>
    <s v="Southern Africa"/>
    <x v="8"/>
    <s v="Electronics"/>
    <n v="1"/>
    <n v="42.38"/>
    <n v="0.1"/>
    <n v="38.14"/>
    <s v="Mobile Money"/>
  </r>
  <r>
    <s v="ORD-0477"/>
    <d v="2025-09-21T00:00:00"/>
    <s v="CUST-0179"/>
    <s v="United Kingdom"/>
    <s v="Europe"/>
    <x v="6"/>
    <s v="Electronics"/>
    <n v="2"/>
    <n v="120.33"/>
    <n v="0.05"/>
    <n v="228.63"/>
    <s v="Cash"/>
  </r>
  <r>
    <s v="ORD-0042"/>
    <d v="2025-09-21T00:00:00"/>
    <s v="CUST-0144"/>
    <s v="South Africa"/>
    <s v="Southern Africa"/>
    <x v="2"/>
    <s v="Furniture"/>
    <n v="2"/>
    <n v="49.56"/>
    <n v="0.15"/>
    <n v="84.25"/>
    <s v="Card"/>
  </r>
  <r>
    <s v="ORD-0384"/>
    <d v="2025-09-21T00:00:00"/>
    <s v="CUST-0026"/>
    <s v="Nigeria"/>
    <s v="West Africa"/>
    <x v="9"/>
    <s v="Electronics"/>
    <n v="6"/>
    <n v="87.32"/>
    <n v="0"/>
    <n v="523.91999999999996"/>
    <s v="Cash"/>
  </r>
  <r>
    <s v="ORD-0533"/>
    <d v="2025-09-21T00:00:00"/>
    <s v="CUST-0095"/>
    <s v="United States"/>
    <s v="North America"/>
    <x v="0"/>
    <s v="Furniture"/>
    <n v="5"/>
    <n v="237.48"/>
    <n v="0.15"/>
    <n v="1009.29"/>
    <s v="Cash"/>
  </r>
  <r>
    <s v="ORD-0152"/>
    <d v="2025-09-21T00:00:00"/>
    <s v="CUST-0149"/>
    <s v="United States"/>
    <s v="North America"/>
    <x v="1"/>
    <s v="Electronics"/>
    <n v="1"/>
    <n v="281.11"/>
    <n v="0.1"/>
    <n v="253"/>
    <s v="Bank Transfer"/>
  </r>
  <r>
    <s v="ORD-0006"/>
    <d v="2025-09-21T00:00:00"/>
    <s v="CUST-0175"/>
    <s v="United States"/>
    <s v="North America"/>
    <x v="3"/>
    <s v="Electronics"/>
    <n v="2"/>
    <n v="624.6"/>
    <n v="0"/>
    <n v="1249.2"/>
    <s v="Mobile Money"/>
  </r>
  <r>
    <s v="ORD-0062"/>
    <d v="2025-09-22T00:00:00"/>
    <s v="CUST-0028"/>
    <s v="Nigeria"/>
    <s v="West Africa"/>
    <x v="6"/>
    <s v="Electronics"/>
    <n v="1"/>
    <n v="109.28"/>
    <n v="0.25"/>
    <n v="81.96"/>
    <s v="Bank Transfer"/>
  </r>
  <r>
    <s v="ORD-0226"/>
    <d v="2025-09-22T00:00:00"/>
    <s v="CUST-0003"/>
    <s v="Ghana"/>
    <s v="West Africa"/>
    <x v="4"/>
    <s v="Office Supplies"/>
    <n v="3"/>
    <n v="14.01"/>
    <n v="0.15"/>
    <n v="35.729999999999997"/>
    <s v="Bank Transfer"/>
  </r>
  <r>
    <s v="ORD-0276"/>
    <d v="2025-09-23T00:00:00"/>
    <s v="CUST-0149"/>
    <s v="Nigeria"/>
    <s v="West Africa"/>
    <x v="8"/>
    <s v="Electronics"/>
    <n v="1"/>
    <n v="49.14"/>
    <n v="0.1"/>
    <n v="44.23"/>
    <s v="Bank Transfer"/>
  </r>
  <r>
    <s v="ORD-0540"/>
    <d v="2025-09-23T00:00:00"/>
    <s v="CUST-0168"/>
    <s v="United Kingdom"/>
    <s v="Europe"/>
    <x v="4"/>
    <s v="Office Supplies"/>
    <n v="4"/>
    <n v="15.35"/>
    <n v="0"/>
    <n v="61.4"/>
    <s v="Mobile Money"/>
  </r>
  <r>
    <s v="ORD-0259"/>
    <d v="2025-09-23T00:00:00"/>
    <s v="CUST-0089"/>
    <s v="Ghana"/>
    <s v="West Africa"/>
    <x v="3"/>
    <s v="Electronics"/>
    <n v="4"/>
    <n v="632.41999999999996"/>
    <n v="0.1"/>
    <n v="2276.71"/>
    <s v="Mobile Money"/>
  </r>
  <r>
    <s v="ORD-0577"/>
    <d v="2025-09-24T00:00:00"/>
    <s v="CUST-0108"/>
    <s v="Nigeria"/>
    <s v="West Africa"/>
    <x v="4"/>
    <s v="Office Supplies"/>
    <n v="8"/>
    <n v="15.85"/>
    <n v="0.15"/>
    <n v="107.78"/>
    <s v="Mobile Money"/>
  </r>
  <r>
    <s v="ORD-0192"/>
    <d v="2025-09-24T00:00:00"/>
    <s v="CUST-0179"/>
    <s v="Kenya"/>
    <s v="East Africa"/>
    <x v="11"/>
    <s v="Accessories"/>
    <n v="8"/>
    <n v="77.349999999999994"/>
    <n v="0.15"/>
    <n v="525.98"/>
    <s v="Cash"/>
  </r>
  <r>
    <s v="ORD-0153"/>
    <d v="2025-09-25T00:00:00"/>
    <s v="CUST-0143"/>
    <s v="United Kingdom"/>
    <s v="Europe"/>
    <x v="7"/>
    <s v="Furniture"/>
    <n v="6"/>
    <n v="359.61"/>
    <n v="0.3"/>
    <n v="1510.36"/>
    <s v="Cash"/>
  </r>
  <r>
    <s v="ORD-0046"/>
    <d v="2025-09-26T00:00:00"/>
    <s v="CUST-0114"/>
    <s v="Ghana"/>
    <s v="West Africa"/>
    <x v="0"/>
    <s v="Furniture"/>
    <n v="6"/>
    <n v="221.79"/>
    <n v="0.15"/>
    <n v="1131.1300000000001"/>
    <s v="Bank Transfer"/>
  </r>
  <r>
    <s v="ORD-0512"/>
    <d v="2025-09-26T00:00:00"/>
    <s v="CUST-0155"/>
    <s v="United Kingdom"/>
    <s v="Europe"/>
    <x v="10"/>
    <s v="Electronics"/>
    <n v="6"/>
    <n v="858.51"/>
    <n v="0"/>
    <n v="5151.0600000000004"/>
    <s v="Mobile Money"/>
  </r>
  <r>
    <s v="ORD-0044"/>
    <d v="2025-09-28T00:00:00"/>
    <s v="CUST-0054"/>
    <s v="Kenya"/>
    <s v="East Africa"/>
    <x v="11"/>
    <s v="Accessories"/>
    <n v="2"/>
    <n v="80.41"/>
    <n v="0.05"/>
    <n v="152.78"/>
    <s v="Card"/>
  </r>
  <r>
    <s v="ORD-0552"/>
    <d v="2025-09-30T00:00:00"/>
    <s v="CUST-0152"/>
    <s v="United States"/>
    <s v="North America"/>
    <x v="3"/>
    <s v="Electronics"/>
    <n v="1"/>
    <n v="666.55"/>
    <n v="0.15"/>
    <n v="566.57000000000005"/>
    <s v="Card"/>
  </r>
  <r>
    <s v="ORD-0096"/>
    <d v="2025-10-01T00:00:00"/>
    <s v="CUST-0038"/>
    <s v="Ghana"/>
    <s v="West Africa"/>
    <x v="6"/>
    <s v="Electronics"/>
    <n v="7"/>
    <n v="128.27000000000001"/>
    <n v="0.15"/>
    <n v="763.21"/>
    <s v="Card"/>
  </r>
  <r>
    <s v="ORD-0005"/>
    <d v="2025-10-01T00:00:00"/>
    <s v="CUST-0132"/>
    <s v="Kenya"/>
    <s v="East Africa"/>
    <x v="8"/>
    <s v="Electronics"/>
    <n v="3"/>
    <n v="48.24"/>
    <n v="0.15"/>
    <n v="123.01"/>
    <s v="Mobile Money"/>
  </r>
  <r>
    <s v="ORD-0186"/>
    <d v="2025-10-01T00:00:00"/>
    <s v="CUST-0015"/>
    <s v="United States"/>
    <s v="North America"/>
    <x v="3"/>
    <s v="Electronics"/>
    <n v="5"/>
    <n v="611.04999999999995"/>
    <n v="0.2"/>
    <n v="2444.1999999999998"/>
    <s v="Bank Transfer"/>
  </r>
  <r>
    <s v="ORD-0230"/>
    <d v="2025-10-02T00:00:00"/>
    <s v="CUST-0034"/>
    <s v="United States"/>
    <s v="North America"/>
    <x v="8"/>
    <s v="Electronics"/>
    <n v="4"/>
    <n v="48.84"/>
    <n v="0"/>
    <n v="195.36"/>
    <s v="Cash"/>
  </r>
  <r>
    <s v="ORD-0215"/>
    <d v="2025-10-03T00:00:00"/>
    <s v="CUST-0043"/>
    <s v="Kenya"/>
    <s v="East Africa"/>
    <x v="7"/>
    <s v="Furniture"/>
    <n v="3"/>
    <n v="337.13"/>
    <n v="0.1"/>
    <n v="910.25"/>
    <s v="Card"/>
  </r>
  <r>
    <s v="ORD-0383"/>
    <d v="2025-10-04T00:00:00"/>
    <s v="CUST-0169"/>
    <s v="Kenya"/>
    <s v="East Africa"/>
    <x v="11"/>
    <s v="Accessories"/>
    <n v="3"/>
    <n v="80.58"/>
    <n v="0.1"/>
    <n v="217.57"/>
    <s v="Mobile Money"/>
  </r>
  <r>
    <s v="ORD-0326"/>
    <d v="2025-10-04T00:00:00"/>
    <s v="CUST-0156"/>
    <s v="Nigeria"/>
    <s v="West Africa"/>
    <x v="9"/>
    <s v="Electronics"/>
    <n v="2"/>
    <n v="85.11"/>
    <n v="0.2"/>
    <n v="136.18"/>
    <s v="Mobile Money"/>
  </r>
  <r>
    <s v="ORD-0141"/>
    <d v="2025-10-05T00:00:00"/>
    <s v="CUST-0004"/>
    <s v="Ghana"/>
    <s v="West Africa"/>
    <x v="8"/>
    <s v="Electronics"/>
    <n v="8"/>
    <n v="46.79"/>
    <n v="0.1"/>
    <n v="336.89"/>
    <s v="Card"/>
  </r>
  <r>
    <s v="ORD-0539"/>
    <d v="2025-10-05T00:00:00"/>
    <s v="CUST-0130"/>
    <s v="Ghana"/>
    <s v="West Africa"/>
    <x v="11"/>
    <s v="Accessories"/>
    <n v="4"/>
    <n v="69.7"/>
    <n v="0.05"/>
    <n v="264.86"/>
    <s v="Bank Transfer"/>
  </r>
  <r>
    <s v="ORD-0223"/>
    <d v="2025-10-06T00:00:00"/>
    <s v="CUST-0083"/>
    <s v="Nigeria"/>
    <s v="West Africa"/>
    <x v="0"/>
    <s v="Furniture"/>
    <n v="6"/>
    <n v="217.28"/>
    <n v="0.25"/>
    <n v="977.76"/>
    <s v="Bank Transfer"/>
  </r>
  <r>
    <s v="ORD-0513"/>
    <d v="2025-10-06T00:00:00"/>
    <s v="CUST-0119"/>
    <s v="South Africa"/>
    <s v="Southern Africa"/>
    <x v="11"/>
    <s v="Accessories"/>
    <n v="2"/>
    <n v="77.430000000000007"/>
    <n v="0.2"/>
    <n v="123.89"/>
    <s v="Bank Transfer"/>
  </r>
  <r>
    <s v="ORD-0255"/>
    <d v="2025-10-08T00:00:00"/>
    <s v="CUST-0054"/>
    <s v="Ghana"/>
    <s v="West Africa"/>
    <x v="6"/>
    <s v="Electronics"/>
    <n v="2"/>
    <n v="130.97999999999999"/>
    <n v="0.1"/>
    <n v="235.76"/>
    <s v="Cash"/>
  </r>
  <r>
    <s v="ORD-0154"/>
    <d v="2025-10-09T00:00:00"/>
    <s v="CUST-0086"/>
    <s v="South Africa"/>
    <s v="Southern Africa"/>
    <x v="8"/>
    <s v="Electronics"/>
    <n v="5"/>
    <n v="46.53"/>
    <n v="0"/>
    <n v="232.65"/>
    <s v="Mobile Money"/>
  </r>
  <r>
    <s v="ORD-0495"/>
    <d v="2025-10-09T00:00:00"/>
    <s v="CUST-0017"/>
    <s v="United States"/>
    <s v="North America"/>
    <x v="10"/>
    <s v="Electronics"/>
    <n v="5"/>
    <n v="831.1"/>
    <n v="0.05"/>
    <n v="3947.72"/>
    <s v="Card"/>
  </r>
  <r>
    <s v="ORD-0497"/>
    <d v="2025-10-09T00:00:00"/>
    <s v="CUST-0124"/>
    <s v="United Kingdom"/>
    <s v="Europe"/>
    <x v="8"/>
    <s v="Electronics"/>
    <n v="3"/>
    <n v="44.77"/>
    <n v="0.1"/>
    <n v="120.88"/>
    <s v="Mobile Money"/>
  </r>
  <r>
    <s v="ORD-0484"/>
    <d v="2025-10-10T00:00:00"/>
    <s v="CUST-0056"/>
    <s v="United Kingdom"/>
    <s v="Europe"/>
    <x v="6"/>
    <s v="Electronics"/>
    <n v="3"/>
    <n v="127.34"/>
    <n v="0"/>
    <n v="382.02"/>
    <s v="Cash"/>
  </r>
  <r>
    <s v="ORD-0458"/>
    <d v="2025-10-10T00:00:00"/>
    <s v="CUST-0140"/>
    <s v="Ghana"/>
    <s v="West Africa"/>
    <x v="9"/>
    <s v="Electronics"/>
    <n v="4"/>
    <n v="74.989999999999995"/>
    <n v="0"/>
    <n v="299.95999999999998"/>
    <s v="Card"/>
  </r>
  <r>
    <s v="ORD-0019"/>
    <d v="2025-10-10T00:00:00"/>
    <s v="CUST-0121"/>
    <s v="Nigeria"/>
    <s v="West Africa"/>
    <x v="1"/>
    <s v="Electronics"/>
    <n v="4"/>
    <n v="291.38"/>
    <n v="0.25"/>
    <n v="874.14"/>
    <s v="Card"/>
  </r>
  <r>
    <s v="ORD-0323"/>
    <d v="2025-10-10T00:00:00"/>
    <s v="CUST-0069"/>
    <s v="South Africa"/>
    <s v="Southern Africa"/>
    <x v="0"/>
    <s v="Furniture"/>
    <n v="4"/>
    <n v="236.8"/>
    <n v="0.1"/>
    <n v="852.48"/>
    <s v="Card"/>
  </r>
  <r>
    <s v="ORD-0478"/>
    <d v="2025-10-11T00:00:00"/>
    <s v="CUST-0097"/>
    <s v="United Kingdom"/>
    <s v="Europe"/>
    <x v="10"/>
    <s v="Electronics"/>
    <n v="1"/>
    <n v="847.12"/>
    <n v="0.2"/>
    <n v="677.7"/>
    <s v="Card"/>
  </r>
  <r>
    <s v="ORD-0127"/>
    <d v="2025-10-12T00:00:00"/>
    <s v="CUST-0063"/>
    <s v="Nigeria"/>
    <s v="West Africa"/>
    <x v="8"/>
    <s v="Electronics"/>
    <n v="7"/>
    <n v="41.99"/>
    <n v="0"/>
    <n v="293.93"/>
    <s v="Card"/>
  </r>
  <r>
    <s v="ORD-0282"/>
    <d v="2025-10-12T00:00:00"/>
    <s v="CUST-0013"/>
    <s v="Ghana"/>
    <s v="West Africa"/>
    <x v="4"/>
    <s v="Office Supplies"/>
    <n v="8"/>
    <n v="15.14"/>
    <n v="0.3"/>
    <n v="84.78"/>
    <s v="Cash"/>
  </r>
  <r>
    <s v="ORD-0182"/>
    <d v="2025-10-12T00:00:00"/>
    <s v="CUST-0004"/>
    <s v="United Kingdom"/>
    <s v="Europe"/>
    <x v="6"/>
    <s v="Electronics"/>
    <n v="3"/>
    <n v="124.4"/>
    <n v="0.1"/>
    <n v="335.88"/>
    <s v="Card"/>
  </r>
  <r>
    <s v="ORD-0018"/>
    <d v="2025-10-13T00:00:00"/>
    <s v="CUST-0075"/>
    <s v="United States"/>
    <s v="North America"/>
    <x v="8"/>
    <s v="Electronics"/>
    <n v="5"/>
    <n v="48.34"/>
    <n v="0.2"/>
    <n v="193.36"/>
    <s v="Card"/>
  </r>
  <r>
    <s v="ORD-0246"/>
    <d v="2025-10-14T00:00:00"/>
    <s v="CUST-0047"/>
    <s v="United Kingdom"/>
    <s v="Europe"/>
    <x v="0"/>
    <s v="Furniture"/>
    <n v="8"/>
    <n v="223.54"/>
    <n v="0"/>
    <n v="1788.32"/>
    <s v="Cash"/>
  </r>
  <r>
    <s v="ORD-0382"/>
    <d v="2025-10-14T00:00:00"/>
    <s v="CUST-0114"/>
    <s v="Ghana"/>
    <s v="West Africa"/>
    <x v="11"/>
    <s v="Accessories"/>
    <n v="3"/>
    <n v="74.22"/>
    <n v="0.1"/>
    <n v="200.39"/>
    <s v="Mobile Money"/>
  </r>
  <r>
    <s v="ORD-0524"/>
    <d v="2025-10-15T00:00:00"/>
    <s v="CUST-0139"/>
    <s v="Kenya"/>
    <s v="East Africa"/>
    <x v="11"/>
    <s v="Accessories"/>
    <n v="1"/>
    <n v="74.42"/>
    <n v="0.25"/>
    <n v="55.82"/>
    <s v="Mobile Money"/>
  </r>
  <r>
    <s v="ORD-0082"/>
    <d v="2025-10-15T00:00:00"/>
    <s v="CUST-0034"/>
    <s v="Kenya"/>
    <s v="East Africa"/>
    <x v="10"/>
    <s v="Electronics"/>
    <n v="3"/>
    <n v="859.45"/>
    <n v="0.05"/>
    <n v="2449.4299999999998"/>
    <s v="Bank Transfer"/>
  </r>
  <r>
    <s v="ORD-0183"/>
    <d v="2025-10-15T00:00:00"/>
    <s v="CUST-0130"/>
    <s v="Kenya"/>
    <s v="East Africa"/>
    <x v="8"/>
    <s v="Electronics"/>
    <n v="7"/>
    <n v="45.24"/>
    <n v="0.2"/>
    <n v="253.34"/>
    <s v="Card"/>
  </r>
  <r>
    <s v="ORD-0133"/>
    <d v="2025-10-15T00:00:00"/>
    <s v="CUST-0178"/>
    <s v="Nigeria"/>
    <s v="West Africa"/>
    <x v="5"/>
    <s v="Office Supplies"/>
    <n v="3"/>
    <n v="257.2"/>
    <n v="0.1"/>
    <n v="694.44"/>
    <s v="Card"/>
  </r>
  <r>
    <s v="ORD-0277"/>
    <d v="2025-10-15T00:00:00"/>
    <s v="CUST-0032"/>
    <s v="Ghana"/>
    <s v="West Africa"/>
    <x v="4"/>
    <s v="Office Supplies"/>
    <n v="8"/>
    <n v="13.84"/>
    <n v="0.1"/>
    <n v="99.65"/>
    <s v="Cash"/>
  </r>
  <r>
    <s v="ORD-0220"/>
    <d v="2025-10-16T00:00:00"/>
    <s v="CUST-0001"/>
    <s v="United States"/>
    <s v="North America"/>
    <x v="9"/>
    <s v="Electronics"/>
    <n v="1"/>
    <n v="72.489999999999995"/>
    <n v="0.25"/>
    <n v="54.37"/>
    <s v="Mobile Money"/>
  </r>
  <r>
    <s v="ORD-0194"/>
    <d v="2025-10-16T00:00:00"/>
    <s v="CUST-0158"/>
    <s v="South Africa"/>
    <s v="Southern Africa"/>
    <x v="5"/>
    <s v="Office Supplies"/>
    <n v="8"/>
    <n v="225.49"/>
    <n v="0.05"/>
    <n v="1713.72"/>
    <s v="Mobile Money"/>
  </r>
  <r>
    <s v="ORD-0535"/>
    <d v="2025-10-17T00:00:00"/>
    <s v="CUST-0020"/>
    <s v="United States"/>
    <s v="North America"/>
    <x v="6"/>
    <s v="Electronics"/>
    <n v="6"/>
    <n v="117.25"/>
    <n v="0"/>
    <n v="703.5"/>
    <s v="Card"/>
  </r>
  <r>
    <s v="ORD-0048"/>
    <d v="2025-10-17T00:00:00"/>
    <s v="CUST-0096"/>
    <s v="Ghana"/>
    <s v="West Africa"/>
    <x v="8"/>
    <s v="Electronics"/>
    <n v="4"/>
    <n v="44.18"/>
    <n v="0"/>
    <n v="176.72"/>
    <s v="Card"/>
  </r>
  <r>
    <s v="ORD-0567"/>
    <d v="2025-10-17T00:00:00"/>
    <s v="CUST-0067"/>
    <s v="Ghana"/>
    <s v="West Africa"/>
    <x v="2"/>
    <s v="Furniture"/>
    <n v="7"/>
    <n v="51.16"/>
    <n v="0.25"/>
    <n v="268.58999999999997"/>
    <s v="Mobile Money"/>
  </r>
  <r>
    <s v="ORD-0135"/>
    <d v="2025-10-18T00:00:00"/>
    <s v="CUST-0096"/>
    <s v="Ghana"/>
    <s v="West Africa"/>
    <x v="7"/>
    <s v="Furniture"/>
    <n v="3"/>
    <n v="377.12"/>
    <n v="0.1"/>
    <n v="1018.22"/>
    <s v="Bank Transfer"/>
  </r>
  <r>
    <s v="ORD-0225"/>
    <d v="2025-10-18T00:00:00"/>
    <s v="CUST-0172"/>
    <s v="South Africa"/>
    <s v="Southern Africa"/>
    <x v="7"/>
    <s v="Furniture"/>
    <n v="3"/>
    <n v="342.2"/>
    <n v="0.1"/>
    <n v="923.94"/>
    <s v="Card"/>
  </r>
  <r>
    <s v="ORD-0118"/>
    <d v="2025-10-19T00:00:00"/>
    <s v="CUST-0026"/>
    <s v="Nigeria"/>
    <s v="West Africa"/>
    <x v="2"/>
    <s v="Furniture"/>
    <n v="5"/>
    <n v="57.42"/>
    <n v="0.15"/>
    <n v="244.04"/>
    <s v="Mobile Money"/>
  </r>
  <r>
    <s v="ORD-0275"/>
    <d v="2025-10-19T00:00:00"/>
    <s v="CUST-0126"/>
    <s v="Nigeria"/>
    <s v="West Africa"/>
    <x v="9"/>
    <s v="Electronics"/>
    <n v="1"/>
    <n v="87.62"/>
    <n v="0.15"/>
    <n v="74.48"/>
    <s v="Card"/>
  </r>
  <r>
    <s v="ORD-0536"/>
    <d v="2025-10-20T00:00:00"/>
    <s v="CUST-0126"/>
    <s v="Ghana"/>
    <s v="West Africa"/>
    <x v="9"/>
    <s v="Electronics"/>
    <n v="2"/>
    <n v="73.2"/>
    <n v="0.1"/>
    <n v="131.76"/>
    <s v="Mobile Money"/>
  </r>
  <r>
    <s v="ORD-0013"/>
    <d v="2025-10-20T00:00:00"/>
    <s v="CUST-0099"/>
    <s v="United States"/>
    <s v="North America"/>
    <x v="2"/>
    <s v="Furniture"/>
    <n v="2"/>
    <n v="50.55"/>
    <n v="0.05"/>
    <n v="96.04"/>
    <s v="Mobile Money"/>
  </r>
  <r>
    <s v="ORD-0402"/>
    <d v="2025-10-20T00:00:00"/>
    <s v="CUST-0042"/>
    <s v="South Africa"/>
    <s v="Southern Africa"/>
    <x v="8"/>
    <s v="Electronics"/>
    <n v="6"/>
    <n v="42.92"/>
    <n v="0.1"/>
    <n v="231.77"/>
    <s v="Mobile Money"/>
  </r>
  <r>
    <s v="ORD-0203"/>
    <d v="2025-10-20T00:00:00"/>
    <s v="CUST-0004"/>
    <s v="United Kingdom"/>
    <s v="Europe"/>
    <x v="10"/>
    <s v="Electronics"/>
    <n v="6"/>
    <n v="982.94"/>
    <n v="0.1"/>
    <n v="5307.88"/>
    <s v="Bank Transfer"/>
  </r>
  <r>
    <s v="ORD-0511"/>
    <d v="2025-10-21T00:00:00"/>
    <s v="CUST-0166"/>
    <s v="Nigeria"/>
    <s v="West Africa"/>
    <x v="5"/>
    <s v="Office Supplies"/>
    <n v="7"/>
    <n v="257.98"/>
    <n v="0.2"/>
    <n v="1444.69"/>
    <s v="Card"/>
  </r>
  <r>
    <s v="ORD-0365"/>
    <d v="2025-10-21T00:00:00"/>
    <s v="CUST-0064"/>
    <s v="South Africa"/>
    <s v="Southern Africa"/>
    <x v="4"/>
    <s v="Office Supplies"/>
    <n v="7"/>
    <n v="13.72"/>
    <n v="0.1"/>
    <n v="86.44"/>
    <s v="Card"/>
  </r>
  <r>
    <s v="ORD-0002"/>
    <d v="2025-10-21T00:00:00"/>
    <s v="CUST-0130"/>
    <s v="Nigeria"/>
    <s v="West Africa"/>
    <x v="9"/>
    <s v="Electronics"/>
    <n v="8"/>
    <n v="82.41"/>
    <n v="0"/>
    <n v="659.28"/>
    <s v="Bank Transfer"/>
  </r>
  <r>
    <s v="ORD-0545"/>
    <d v="2025-10-22T00:00:00"/>
    <s v="CUST-0089"/>
    <s v="Kenya"/>
    <s v="East Africa"/>
    <x v="6"/>
    <s v="Electronics"/>
    <n v="4"/>
    <n v="116.67"/>
    <n v="0.2"/>
    <n v="373.34"/>
    <s v="Card"/>
  </r>
  <r>
    <s v="ORD-0149"/>
    <d v="2025-10-23T00:00:00"/>
    <s v="CUST-0017"/>
    <s v="Kenya"/>
    <s v="East Africa"/>
    <x v="4"/>
    <s v="Office Supplies"/>
    <n v="2"/>
    <n v="15.37"/>
    <n v="0.1"/>
    <n v="27.67"/>
    <s v="Card"/>
  </r>
  <r>
    <s v="ORD-0358"/>
    <d v="2025-10-23T00:00:00"/>
    <s v="CUST-0002"/>
    <s v="United Kingdom"/>
    <s v="Europe"/>
    <x v="4"/>
    <s v="Office Supplies"/>
    <n v="5"/>
    <n v="16.21"/>
    <n v="0"/>
    <n v="81.05"/>
    <s v="Mobile Money"/>
  </r>
  <r>
    <s v="ORD-0146"/>
    <d v="2025-10-23T00:00:00"/>
    <s v="CUST-0011"/>
    <s v="United Kingdom"/>
    <s v="Europe"/>
    <x v="6"/>
    <s v="Electronics"/>
    <n v="5"/>
    <n v="122.48"/>
    <n v="0.05"/>
    <n v="581.78"/>
    <s v="Card"/>
  </r>
  <r>
    <s v="ORD-0122"/>
    <d v="2025-10-23T00:00:00"/>
    <s v="CUST-0041"/>
    <s v="Ghana"/>
    <s v="West Africa"/>
    <x v="2"/>
    <s v="Furniture"/>
    <n v="7"/>
    <n v="56.17"/>
    <n v="0.1"/>
    <n v="353.87"/>
    <s v="Bank Transfer"/>
  </r>
  <r>
    <s v="ORD-0296"/>
    <d v="2025-10-28T00:00:00"/>
    <s v="CUST-0161"/>
    <s v="Nigeria"/>
    <s v="West Africa"/>
    <x v="4"/>
    <s v="Office Supplies"/>
    <n v="4"/>
    <n v="15.71"/>
    <n v="0.3"/>
    <n v="43.99"/>
    <s v="Cash"/>
  </r>
  <r>
    <s v="ORD-0584"/>
    <d v="2025-10-30T00:00:00"/>
    <s v="CUST-0005"/>
    <s v="Ghana"/>
    <s v="West Africa"/>
    <x v="7"/>
    <s v="Furniture"/>
    <n v="6"/>
    <n v="320.36"/>
    <n v="0.1"/>
    <n v="1729.94"/>
    <s v="Mobile Money"/>
  </r>
  <r>
    <s v="ORD-0229"/>
    <d v="2025-10-30T00:00:00"/>
    <s v="CUST-0117"/>
    <s v="South Africa"/>
    <s v="Southern Africa"/>
    <x v="4"/>
    <s v="Office Supplies"/>
    <n v="3"/>
    <n v="13.55"/>
    <n v="0"/>
    <n v="40.65"/>
    <s v="Card"/>
  </r>
  <r>
    <s v="ORD-0519"/>
    <d v="2025-10-31T00:00:00"/>
    <s v="CUST-0035"/>
    <s v="Nigeria"/>
    <s v="West Africa"/>
    <x v="10"/>
    <s v="Electronics"/>
    <n v="3"/>
    <n v="814.04"/>
    <n v="0.05"/>
    <n v="2320.0100000000002"/>
    <s v="Bank Transfer"/>
  </r>
  <r>
    <s v="ORD-0151"/>
    <d v="2025-11-01T00:00:00"/>
    <s v="CUST-0017"/>
    <s v="South Africa"/>
    <s v="Southern Africa"/>
    <x v="11"/>
    <s v="Accessories"/>
    <n v="2"/>
    <n v="69.05"/>
    <n v="0.05"/>
    <n v="131.19999999999999"/>
    <s v="Bank Transfer"/>
  </r>
  <r>
    <s v="ORD-0350"/>
    <d v="2025-11-01T00:00:00"/>
    <s v="CUST-0041"/>
    <s v="Ghana"/>
    <s v="West Africa"/>
    <x v="5"/>
    <s v="Office Supplies"/>
    <n v="3"/>
    <n v="227.22"/>
    <n v="0.05"/>
    <n v="647.58000000000004"/>
    <s v="Bank Transfer"/>
  </r>
  <r>
    <s v="ORD-0130"/>
    <d v="2025-11-01T00:00:00"/>
    <s v="CUST-0173"/>
    <s v="Nigeria"/>
    <s v="West Africa"/>
    <x v="6"/>
    <s v="Electronics"/>
    <n v="3"/>
    <n v="127.19"/>
    <n v="0.05"/>
    <n v="362.49"/>
    <s v="Mobile Money"/>
  </r>
  <r>
    <s v="ORD-0083"/>
    <d v="2025-11-02T00:00:00"/>
    <s v="CUST-0012"/>
    <s v="Nigeria"/>
    <s v="West Africa"/>
    <x v="9"/>
    <s v="Electronics"/>
    <n v="7"/>
    <n v="82.75"/>
    <n v="0.1"/>
    <n v="521.33000000000004"/>
    <s v="Bank Transfer"/>
  </r>
  <r>
    <s v="ORD-0041"/>
    <d v="2025-11-02T00:00:00"/>
    <s v="CUST-0153"/>
    <s v="Ghana"/>
    <s v="West Africa"/>
    <x v="11"/>
    <s v="Accessories"/>
    <n v="8"/>
    <n v="75.790000000000006"/>
    <n v="0.05"/>
    <n v="576"/>
    <s v="Card"/>
  </r>
  <r>
    <s v="ORD-0266"/>
    <d v="2025-11-04T00:00:00"/>
    <s v="CUST-0117"/>
    <s v="Ghana"/>
    <s v="West Africa"/>
    <x v="0"/>
    <s v="Furniture"/>
    <n v="1"/>
    <n v="202.83"/>
    <n v="0.1"/>
    <n v="182.55"/>
    <s v="Mobile Money"/>
  </r>
  <r>
    <s v="ORD-0420"/>
    <d v="2025-11-04T00:00:00"/>
    <s v="CUST-0105"/>
    <s v="United States"/>
    <s v="North America"/>
    <x v="8"/>
    <s v="Electronics"/>
    <n v="6"/>
    <n v="41.06"/>
    <n v="0"/>
    <n v="246.36"/>
    <s v="Card"/>
  </r>
  <r>
    <s v="ORD-0451"/>
    <d v="2025-11-04T00:00:00"/>
    <s v="CUST-0003"/>
    <s v="Nigeria"/>
    <s v="West Africa"/>
    <x v="4"/>
    <s v="Office Supplies"/>
    <n v="1"/>
    <n v="14.09"/>
    <n v="0.05"/>
    <n v="13.39"/>
    <s v="Card"/>
  </r>
  <r>
    <s v="ORD-0262"/>
    <d v="2025-11-04T00:00:00"/>
    <s v="CUST-0164"/>
    <s v="Kenya"/>
    <s v="East Africa"/>
    <x v="1"/>
    <s v="Electronics"/>
    <n v="8"/>
    <n v="318.83999999999997"/>
    <n v="0.15"/>
    <n v="2168.11"/>
    <s v="Card"/>
  </r>
  <r>
    <s v="ORD-0124"/>
    <d v="2025-11-05T00:00:00"/>
    <s v="CUST-0137"/>
    <s v="Nigeria"/>
    <s v="West Africa"/>
    <x v="11"/>
    <s v="Accessories"/>
    <n v="7"/>
    <n v="70.91"/>
    <n v="0.15"/>
    <n v="421.91"/>
    <s v="Card"/>
  </r>
  <r>
    <s v="ORD-0468"/>
    <d v="2025-11-05T00:00:00"/>
    <s v="CUST-0079"/>
    <s v="Nigeria"/>
    <s v="West Africa"/>
    <x v="3"/>
    <s v="Electronics"/>
    <n v="5"/>
    <n v="607.63"/>
    <n v="0"/>
    <n v="3038.15"/>
    <s v="Mobile Money"/>
  </r>
  <r>
    <s v="ORD-0496"/>
    <d v="2025-11-05T00:00:00"/>
    <s v="CUST-0062"/>
    <s v="Ghana"/>
    <s v="West Africa"/>
    <x v="7"/>
    <s v="Furniture"/>
    <n v="2"/>
    <n v="377.7"/>
    <n v="0.05"/>
    <n v="717.63"/>
    <s v="Mobile Money"/>
  </r>
  <r>
    <s v="ORD-0466"/>
    <d v="2025-11-05T00:00:00"/>
    <s v="CUST-0034"/>
    <s v="Nigeria"/>
    <s v="West Africa"/>
    <x v="11"/>
    <s v="Accessories"/>
    <n v="4"/>
    <n v="76.489999999999995"/>
    <n v="0.15"/>
    <n v="260.07"/>
    <s v="Mobile Money"/>
  </r>
  <r>
    <s v="ORD-0338"/>
    <d v="2025-11-05T00:00:00"/>
    <s v="CUST-0078"/>
    <s v="Ghana"/>
    <s v="West Africa"/>
    <x v="8"/>
    <s v="Electronics"/>
    <n v="8"/>
    <n v="45.6"/>
    <n v="0.05"/>
    <n v="346.56"/>
    <s v="Bank Transfer"/>
  </r>
  <r>
    <s v="ORD-0032"/>
    <d v="2025-11-06T00:00:00"/>
    <s v="CUST-0163"/>
    <s v="Ghana"/>
    <s v="West Africa"/>
    <x v="6"/>
    <s v="Electronics"/>
    <n v="1"/>
    <n v="108.12"/>
    <n v="0"/>
    <n v="108.12"/>
    <s v="Mobile Money"/>
  </r>
  <r>
    <s v="ORD-0461"/>
    <d v="2025-11-06T00:00:00"/>
    <s v="CUST-0148"/>
    <s v="South Africa"/>
    <s v="Southern Africa"/>
    <x v="11"/>
    <s v="Accessories"/>
    <n v="7"/>
    <n v="76.98"/>
    <n v="0"/>
    <n v="538.86"/>
    <s v="Card"/>
  </r>
  <r>
    <s v="ORD-0233"/>
    <d v="2025-11-08T00:00:00"/>
    <s v="CUST-0170"/>
    <s v="Kenya"/>
    <s v="East Africa"/>
    <x v="1"/>
    <s v="Electronics"/>
    <n v="7"/>
    <n v="321.56"/>
    <n v="0.2"/>
    <n v="1800.74"/>
    <s v="Card"/>
  </r>
  <r>
    <s v="ORD-0416"/>
    <d v="2025-11-08T00:00:00"/>
    <s v="CUST-0096"/>
    <s v="Ghana"/>
    <s v="West Africa"/>
    <x v="2"/>
    <s v="Furniture"/>
    <n v="2"/>
    <n v="55.9"/>
    <n v="0.3"/>
    <n v="78.260000000000005"/>
    <s v="Card"/>
  </r>
  <r>
    <s v="ORD-0501"/>
    <d v="2025-11-09T00:00:00"/>
    <s v="CUST-0049"/>
    <s v="United States"/>
    <s v="North America"/>
    <x v="2"/>
    <s v="Furniture"/>
    <n v="7"/>
    <n v="55.46"/>
    <n v="0.25"/>
    <n v="291.17"/>
    <s v="Card"/>
  </r>
  <r>
    <s v="ORD-0407"/>
    <d v="2025-11-09T00:00:00"/>
    <s v="CUST-0049"/>
    <s v="South Africa"/>
    <s v="Southern Africa"/>
    <x v="11"/>
    <s v="Accessories"/>
    <n v="1"/>
    <n v="80.849999999999994"/>
    <n v="0.05"/>
    <n v="76.81"/>
    <s v="Card"/>
  </r>
  <r>
    <s v="ORD-0488"/>
    <d v="2025-11-09T00:00:00"/>
    <s v="CUST-0127"/>
    <s v="Kenya"/>
    <s v="East Africa"/>
    <x v="7"/>
    <s v="Furniture"/>
    <n v="2"/>
    <n v="376.91"/>
    <n v="0.05"/>
    <n v="716.13"/>
    <s v="Mobile Money"/>
  </r>
  <r>
    <s v="ORD-0165"/>
    <d v="2025-11-09T00:00:00"/>
    <s v="CUST-0169"/>
    <s v="Nigeria"/>
    <s v="West Africa"/>
    <x v="11"/>
    <s v="Accessories"/>
    <n v="5"/>
    <n v="79.959999999999994"/>
    <n v="0"/>
    <n v="399.8"/>
    <s v="Card"/>
  </r>
  <r>
    <s v="ORD-0599"/>
    <d v="2025-11-10T00:00:00"/>
    <s v="CUST-0094"/>
    <s v="United Kingdom"/>
    <s v="Europe"/>
    <x v="3"/>
    <s v="Electronics"/>
    <n v="5"/>
    <n v="658.5"/>
    <n v="0.1"/>
    <n v="2963.25"/>
    <s v="Bank Transfer"/>
  </r>
  <r>
    <s v="ORD-0486"/>
    <d v="2025-11-10T00:00:00"/>
    <s v="CUST-0039"/>
    <s v="Ghana"/>
    <s v="West Africa"/>
    <x v="1"/>
    <s v="Electronics"/>
    <n v="8"/>
    <n v="317.18"/>
    <n v="0.15"/>
    <n v="2156.8200000000002"/>
    <s v="Card"/>
  </r>
  <r>
    <s v="ORD-0435"/>
    <d v="2025-11-11T00:00:00"/>
    <s v="CUST-0041"/>
    <s v="United Kingdom"/>
    <s v="Europe"/>
    <x v="10"/>
    <s v="Electronics"/>
    <n v="2"/>
    <n v="967.92"/>
    <n v="0.3"/>
    <n v="1355.09"/>
    <s v="Card"/>
  </r>
  <r>
    <s v="ORD-0100"/>
    <d v="2025-11-11T00:00:00"/>
    <s v="CUST-0109"/>
    <s v="Nigeria"/>
    <s v="West Africa"/>
    <x v="7"/>
    <s v="Furniture"/>
    <n v="6"/>
    <n v="377.98"/>
    <n v="0.15"/>
    <n v="1927.7"/>
    <s v="Card"/>
  </r>
  <r>
    <s v="ORD-0252"/>
    <d v="2025-11-12T00:00:00"/>
    <s v="CUST-0101"/>
    <s v="United States"/>
    <s v="North America"/>
    <x v="3"/>
    <s v="Electronics"/>
    <n v="7"/>
    <n v="606.03"/>
    <n v="0.2"/>
    <n v="3393.77"/>
    <s v="Mobile Money"/>
  </r>
  <r>
    <s v="ORD-0171"/>
    <d v="2025-11-12T00:00:00"/>
    <s v="CUST-0176"/>
    <s v="Nigeria"/>
    <s v="West Africa"/>
    <x v="9"/>
    <s v="Electronics"/>
    <n v="3"/>
    <n v="83.57"/>
    <n v="0.1"/>
    <n v="225.64"/>
    <s v="Card"/>
  </r>
  <r>
    <s v="ORD-0337"/>
    <d v="2025-11-13T00:00:00"/>
    <s v="CUST-0164"/>
    <s v="Nigeria"/>
    <s v="West Africa"/>
    <x v="1"/>
    <s v="Electronics"/>
    <n v="1"/>
    <n v="286.89"/>
    <n v="0.2"/>
    <n v="229.51"/>
    <s v="Card"/>
  </r>
  <r>
    <s v="ORD-0035"/>
    <d v="2025-11-13T00:00:00"/>
    <s v="CUST-0048"/>
    <s v="Kenya"/>
    <s v="East Africa"/>
    <x v="9"/>
    <s v="Electronics"/>
    <n v="3"/>
    <n v="78.95"/>
    <n v="0.05"/>
    <n v="225.01"/>
    <s v="Mobile Money"/>
  </r>
  <r>
    <s v="ORD-0160"/>
    <d v="2025-11-14T00:00:00"/>
    <s v="CUST-0016"/>
    <s v="Kenya"/>
    <s v="East Africa"/>
    <x v="6"/>
    <s v="Electronics"/>
    <n v="3"/>
    <n v="131.94999999999999"/>
    <n v="0.05"/>
    <n v="376.06"/>
    <s v="Bank Transfer"/>
  </r>
  <r>
    <s v="ORD-0313"/>
    <d v="2025-11-15T00:00:00"/>
    <s v="CUST-0049"/>
    <s v="Nigeria"/>
    <s v="West Africa"/>
    <x v="9"/>
    <s v="Electronics"/>
    <n v="6"/>
    <n v="84.9"/>
    <n v="0.1"/>
    <n v="458.46"/>
    <s v="Card"/>
  </r>
  <r>
    <s v="ORD-0476"/>
    <d v="2025-11-15T00:00:00"/>
    <s v="CUST-0077"/>
    <s v="South Africa"/>
    <s v="Southern Africa"/>
    <x v="1"/>
    <s v="Electronics"/>
    <n v="2"/>
    <n v="323.10000000000002"/>
    <n v="0.1"/>
    <n v="581.58000000000004"/>
    <s v="Mobile Money"/>
  </r>
  <r>
    <s v="ORD-0286"/>
    <d v="2025-11-16T00:00:00"/>
    <s v="CUST-0106"/>
    <s v="United Kingdom"/>
    <s v="Europe"/>
    <x v="2"/>
    <s v="Furniture"/>
    <n v="5"/>
    <n v="59.2"/>
    <n v="0.05"/>
    <n v="281.2"/>
    <s v="Card"/>
  </r>
  <r>
    <s v="ORD-0191"/>
    <d v="2025-11-16T00:00:00"/>
    <s v="CUST-0082"/>
    <s v="United Kingdom"/>
    <s v="Europe"/>
    <x v="4"/>
    <s v="Office Supplies"/>
    <n v="8"/>
    <n v="14.87"/>
    <n v="0"/>
    <n v="118.96"/>
    <s v="Card"/>
  </r>
  <r>
    <s v="ORD-0038"/>
    <d v="2025-11-19T00:00:00"/>
    <s v="CUST-0128"/>
    <s v="United States"/>
    <s v="North America"/>
    <x v="0"/>
    <s v="Furniture"/>
    <n v="7"/>
    <n v="211.45"/>
    <n v="0"/>
    <m/>
    <s v="Card"/>
  </r>
  <r>
    <s v="ORD-0222"/>
    <d v="2025-11-20T00:00:00"/>
    <s v="CUST-0098"/>
    <s v="United States"/>
    <s v="North America"/>
    <x v="8"/>
    <s v="Electronics"/>
    <n v="1"/>
    <n v="48.34"/>
    <n v="0.2"/>
    <n v="38.67"/>
    <s v="Mobile Money"/>
  </r>
  <r>
    <s v="ORD-0179"/>
    <d v="2025-11-20T00:00:00"/>
    <s v="CUST-0017"/>
    <s v="Nigeria"/>
    <s v="West Africa"/>
    <x v="7"/>
    <s v="Furniture"/>
    <n v="5"/>
    <n v="370.22"/>
    <n v="0"/>
    <n v="1851.1"/>
    <s v="Bank Transfer"/>
  </r>
  <r>
    <s v="ORD-0439"/>
    <d v="2025-11-20T00:00:00"/>
    <s v="CUST-0122"/>
    <s v="Kenya"/>
    <s v="East Africa"/>
    <x v="9"/>
    <s v="Electronics"/>
    <n v="1"/>
    <n v="76.73"/>
    <n v="0.1"/>
    <n v="69.06"/>
    <s v="Card"/>
  </r>
  <r>
    <s v="ORD-0024"/>
    <d v="2025-11-20T00:00:00"/>
    <s v="CUST-0123"/>
    <s v="Nigeria"/>
    <s v="West Africa"/>
    <x v="3"/>
    <s v="Electronics"/>
    <n v="5"/>
    <n v="648.63"/>
    <n v="0.3"/>
    <n v="2270.1999999999998"/>
    <s v="Card"/>
  </r>
  <r>
    <s v="ORD-0397"/>
    <d v="2025-11-21T00:00:00"/>
    <s v="CUST-0172"/>
    <s v="Nigeria"/>
    <s v="West Africa"/>
    <x v="11"/>
    <s v="Accessories"/>
    <n v="1"/>
    <n v="68.44"/>
    <n v="0.2"/>
    <n v="54.75"/>
    <s v="Card"/>
  </r>
  <r>
    <s v="ORD-0207"/>
    <d v="2025-11-21T00:00:00"/>
    <s v="CUST-0166"/>
    <s v="South Africa"/>
    <s v="Southern Africa"/>
    <x v="1"/>
    <s v="Electronics"/>
    <n v="2"/>
    <n v="284.25"/>
    <n v="0.3"/>
    <n v="397.95"/>
    <s v="Card"/>
  </r>
  <r>
    <s v="ORD-0091"/>
    <d v="2025-11-22T00:00:00"/>
    <s v="CUST-0001"/>
    <s v="Nigeria"/>
    <s v="West Africa"/>
    <x v="7"/>
    <s v="Furniture"/>
    <n v="5"/>
    <n v="339.16"/>
    <n v="0.05"/>
    <n v="1611.01"/>
    <s v="Card"/>
  </r>
  <r>
    <s v="ORD-0467"/>
    <d v="2025-11-22T00:00:00"/>
    <s v="CUST-0100"/>
    <s v="South Africa"/>
    <s v="Southern Africa"/>
    <x v="11"/>
    <s v="Accessories"/>
    <n v="7"/>
    <n v="75.95"/>
    <n v="0.1"/>
    <n v="478.48"/>
    <s v="Mobile Money"/>
  </r>
  <r>
    <s v="ORD-0228"/>
    <d v="2025-11-22T00:00:00"/>
    <s v="CUST-0046"/>
    <s v="Ghana"/>
    <s v="West Africa"/>
    <x v="7"/>
    <s v="Furniture"/>
    <n v="7"/>
    <n v="352.35"/>
    <n v="0.15"/>
    <n v="2096.48"/>
    <s v="Bank Transfer"/>
  </r>
  <r>
    <s v="ORD-0526"/>
    <d v="2025-11-23T00:00:00"/>
    <s v="CUST-0004"/>
    <s v="South Africa"/>
    <s v="Southern Africa"/>
    <x v="8"/>
    <s v="Electronics"/>
    <n v="1"/>
    <n v="41.13"/>
    <n v="0.1"/>
    <n v="37.020000000000003"/>
    <s v="Bank Transfer"/>
  </r>
  <r>
    <s v="ORD-0309"/>
    <d v="2025-11-23T00:00:00"/>
    <s v="CUST-0086"/>
    <s v="South Africa"/>
    <s v="Southern Africa"/>
    <x v="8"/>
    <s v="Electronics"/>
    <n v="5"/>
    <n v="41.53"/>
    <n v="0"/>
    <n v="207.65"/>
    <s v="Card"/>
  </r>
  <r>
    <s v="ORD-0110"/>
    <d v="2025-11-24T00:00:00"/>
    <s v="CUST-0011"/>
    <s v="Ghana"/>
    <s v="West Africa"/>
    <x v="6"/>
    <s v="Electronics"/>
    <n v="1"/>
    <n v="125.79"/>
    <n v="0.1"/>
    <n v="113.21"/>
    <s v="Bank Transfer"/>
  </r>
  <r>
    <s v="ORD-0121"/>
    <d v="2025-11-24T00:00:00"/>
    <s v="CUST-0127"/>
    <s v="United States"/>
    <s v="North America"/>
    <x v="2"/>
    <s v="Furniture"/>
    <n v="4"/>
    <n v="55.72"/>
    <n v="0.15"/>
    <n v="189.45"/>
    <s v="Cash"/>
  </r>
  <r>
    <s v="ORD-0197"/>
    <d v="2025-11-24T00:00:00"/>
    <s v="CUST-0178"/>
    <s v="South Africa"/>
    <s v="Southern Africa"/>
    <x v="8"/>
    <s v="Electronics"/>
    <n v="7"/>
    <n v="46.02"/>
    <n v="0.05"/>
    <n v="306.02999999999997"/>
    <s v="Cash"/>
  </r>
  <r>
    <s v="ORD-0001"/>
    <d v="2025-11-27T00:00:00"/>
    <s v="CUST-0088"/>
    <s v="Nigeria"/>
    <s v="West Africa"/>
    <x v="4"/>
    <s v="Office Supplies"/>
    <n v="8"/>
    <n v="15.3"/>
    <n v="0"/>
    <n v="122.4"/>
    <s v="Card"/>
  </r>
  <r>
    <s v="ORD-0508"/>
    <d v="2025-11-28T00:00:00"/>
    <s v="CUST-0170"/>
    <s v="Kenya"/>
    <s v="East Africa"/>
    <x v="5"/>
    <s v="Office Supplies"/>
    <n v="4"/>
    <n v="267.63"/>
    <n v="0.1"/>
    <n v="963.47"/>
    <s v="Bank Transfer"/>
  </r>
  <r>
    <s v="ORD-0425"/>
    <d v="2025-11-28T00:00:00"/>
    <s v="CUST-0139"/>
    <s v="South Africa"/>
    <s v="Southern Africa"/>
    <x v="2"/>
    <s v="Furniture"/>
    <n v="8"/>
    <n v="53.97"/>
    <n v="0.25"/>
    <n v="323.82"/>
    <s v="Mobile Money"/>
  </r>
  <r>
    <s v="ORD-0452"/>
    <d v="2025-12-03T00:00:00"/>
    <s v="CUST-0015"/>
    <s v="Ghana"/>
    <s v="West Africa"/>
    <x v="10"/>
    <s v="Electronics"/>
    <n v="4"/>
    <n v="930.79"/>
    <n v="0.1"/>
    <n v="3350.84"/>
    <s v="Mobile Money"/>
  </r>
  <r>
    <s v="ORD-0595"/>
    <d v="2025-12-03T00:00:00"/>
    <s v="CUST-0041"/>
    <s v="Nigeria"/>
    <s v="West Africa"/>
    <x v="4"/>
    <s v="Office Supplies"/>
    <n v="7"/>
    <n v="14.32"/>
    <n v="0"/>
    <n v="100.24"/>
    <s v="Cash"/>
  </r>
  <r>
    <s v="ORD-0392"/>
    <d v="2025-12-03T00:00:00"/>
    <s v="CUST-0023"/>
    <s v="United States"/>
    <s v="North America"/>
    <x v="7"/>
    <s v="Furniture"/>
    <n v="3"/>
    <n v="340.05"/>
    <n v="0.15"/>
    <n v="867.13"/>
    <s v="Card"/>
  </r>
  <r>
    <s v="ORD-0354"/>
    <d v="2025-12-04T00:00:00"/>
    <s v="CUST-0146"/>
    <s v="United States"/>
    <s v="North America"/>
    <x v="1"/>
    <s v="Electronics"/>
    <n v="6"/>
    <n v="285.45999999999998"/>
    <n v="0"/>
    <n v="1712.76"/>
    <s v="Mobile Money"/>
  </r>
  <r>
    <s v="ORD-0327"/>
    <d v="2025-12-04T00:00:00"/>
    <s v="CUST-0058"/>
    <s v="United Kingdom"/>
    <s v="Europe"/>
    <x v="10"/>
    <s v="Electronics"/>
    <n v="5"/>
    <n v="885.62"/>
    <n v="0.25"/>
    <n v="3321.08"/>
    <s v="Bank Transfer"/>
  </r>
  <r>
    <s v="ORD-0009"/>
    <d v="2025-12-04T00:00:00"/>
    <s v="CUST-0111"/>
    <s v="Nigeria"/>
    <s v="West Africa"/>
    <x v="1"/>
    <s v="Electronics"/>
    <n v="4"/>
    <n v="272.70999999999998"/>
    <n v="0.05"/>
    <n v="1036.3"/>
    <s v="Card"/>
  </r>
  <r>
    <s v="ORD-0031"/>
    <d v="2025-12-06T00:00:00"/>
    <s v="CUST-0112"/>
    <s v="United Kingdom"/>
    <s v="Europe"/>
    <x v="9"/>
    <s v="Electronics"/>
    <n v="4"/>
    <n v="73.349999999999994"/>
    <n v="0"/>
    <n v="293.39999999999998"/>
    <s v="Bank Transfer"/>
  </r>
  <r>
    <s v="ORD-0571"/>
    <d v="2025-12-06T00:00:00"/>
    <s v="CUST-0177"/>
    <s v="South Africa"/>
    <s v="Southern Africa"/>
    <x v="10"/>
    <s v="Electronics"/>
    <n v="6"/>
    <n v="844.31"/>
    <n v="0"/>
    <n v="5065.8599999999997"/>
    <s v="Card"/>
  </r>
  <r>
    <s v="ORD-0311"/>
    <d v="2025-12-07T00:00:00"/>
    <s v="CUST-0005"/>
    <s v="South Africa"/>
    <s v="Southern Africa"/>
    <x v="10"/>
    <s v="Electronics"/>
    <n v="2"/>
    <n v="824.71"/>
    <n v="0.1"/>
    <n v="1484.48"/>
    <s v="Mobile Money"/>
  </r>
  <r>
    <s v="ORD-0043"/>
    <d v="2025-12-08T00:00:00"/>
    <s v="CUST-0051"/>
    <s v="Ghana"/>
    <s v="West Africa"/>
    <x v="6"/>
    <s v="Electronics"/>
    <n v="7"/>
    <n v="108.66"/>
    <n v="0.1"/>
    <n v="684.56"/>
    <s v="Mobile Money"/>
  </r>
  <r>
    <s v="ORD-0560"/>
    <d v="2025-12-08T00:00:00"/>
    <s v="CUST-0178"/>
    <s v="United Kingdom"/>
    <s v="Europe"/>
    <x v="5"/>
    <s v="Office Supplies"/>
    <n v="5"/>
    <n v="267.82"/>
    <n v="0.2"/>
    <n v="1071.28"/>
    <s v="Cash"/>
  </r>
  <r>
    <s v="ORD-0270"/>
    <d v="2025-12-09T00:00:00"/>
    <s v="CUST-0088"/>
    <s v="United Kingdom"/>
    <s v="Europe"/>
    <x v="1"/>
    <s v="Electronics"/>
    <n v="2"/>
    <n v="293.18"/>
    <n v="0.1"/>
    <n v="527.72"/>
    <s v="Card"/>
  </r>
  <r>
    <s v="ORD-0522"/>
    <d v="2025-12-09T00:00:00"/>
    <s v="CUST-0152"/>
    <s v="United Kingdom"/>
    <s v="Europe"/>
    <x v="3"/>
    <s v="Electronics"/>
    <n v="2"/>
    <n v="603"/>
    <n v="0.1"/>
    <n v="1085.4000000000001"/>
    <s v="Mobile Money"/>
  </r>
  <r>
    <s v="ORD-0371"/>
    <d v="2025-12-09T00:00:00"/>
    <s v="CUST-0179"/>
    <s v="Kenya"/>
    <s v="East Africa"/>
    <x v="7"/>
    <s v="Furniture"/>
    <n v="1"/>
    <n v="353.76"/>
    <n v="0.1"/>
    <n v="318.38"/>
    <s v="Bank Transfer"/>
  </r>
  <r>
    <s v="ORD-0561"/>
    <d v="2025-12-10T00:00:00"/>
    <s v="CUST-0049"/>
    <s v="Nigeria"/>
    <s v="West Africa"/>
    <x v="6"/>
    <s v="Electronics"/>
    <n v="6"/>
    <n v="110.1"/>
    <n v="0.05"/>
    <n v="627.57000000000005"/>
    <s v="Card"/>
  </r>
  <r>
    <s v="ORD-0237"/>
    <d v="2025-12-11T00:00:00"/>
    <s v="CUST-0146"/>
    <s v="Nigeria"/>
    <s v="West Africa"/>
    <x v="0"/>
    <s v="Furniture"/>
    <n v="2"/>
    <n v="230.21"/>
    <n v="0.2"/>
    <n v="368.34"/>
    <s v="Mobile Money"/>
  </r>
  <r>
    <s v="ORD-0308"/>
    <d v="2025-12-11T00:00:00"/>
    <s v="CUST-0085"/>
    <s v="United States"/>
    <s v="North America"/>
    <x v="7"/>
    <s v="Furniture"/>
    <n v="3"/>
    <n v="365.76"/>
    <n v="0"/>
    <n v="1097.28"/>
    <s v="Card"/>
  </r>
  <r>
    <s v="ORD-0026"/>
    <d v="2025-12-12T00:00:00"/>
    <s v="CUST-0147"/>
    <s v="United Kingdom"/>
    <s v="Europe"/>
    <x v="2"/>
    <s v="Furniture"/>
    <n v="3"/>
    <n v="51.55"/>
    <n v="0"/>
    <n v="154.65"/>
    <s v="Mobile Money"/>
  </r>
  <r>
    <s v="ORD-0047"/>
    <d v="2025-12-12T00:00:00"/>
    <s v="CUST-0117"/>
    <s v="Kenya"/>
    <s v="East Africa"/>
    <x v="6"/>
    <s v="Electronics"/>
    <n v="1"/>
    <n v="117.57"/>
    <n v="0.1"/>
    <n v="105.81"/>
    <s v="Bank Transfer"/>
  </r>
  <r>
    <s v="ORD-0015"/>
    <d v="2025-12-12T00:00:00"/>
    <s v="CUST-0042"/>
    <s v="United Kingdom"/>
    <s v="Europe"/>
    <x v="1"/>
    <s v="Electronics"/>
    <n v="7"/>
    <n v="285.36"/>
    <n v="0"/>
    <n v="1997.52"/>
    <s v="Bank Transfer"/>
  </r>
  <r>
    <s v="ORD-0172"/>
    <d v="2025-12-15T00:00:00"/>
    <s v="CUST-0115"/>
    <s v="South Africa"/>
    <s v="Southern Africa"/>
    <x v="7"/>
    <s v="Furniture"/>
    <n v="5"/>
    <n v="374.58"/>
    <n v="0.1"/>
    <n v="1685.61"/>
    <s v="Mobile Money"/>
  </r>
  <r>
    <s v="ORD-0328"/>
    <d v="2025-12-16T00:00:00"/>
    <s v="CUST-0015"/>
    <s v="South Africa"/>
    <s v="Southern Africa"/>
    <x v="1"/>
    <s v="Electronics"/>
    <n v="8"/>
    <n v="304.63"/>
    <n v="0.15"/>
    <n v="2071.48"/>
    <s v="Bank Transfer"/>
  </r>
  <r>
    <s v="ORD-0008"/>
    <d v="2025-12-17T00:00:00"/>
    <s v="CUST-0048"/>
    <s v="Kenya"/>
    <s v="East Africa"/>
    <x v="3"/>
    <s v="Electronics"/>
    <n v="2"/>
    <n v="643.47"/>
    <n v="0.1"/>
    <n v="1158.25"/>
    <s v="Cash"/>
  </r>
  <r>
    <s v="ORD-0080"/>
    <d v="2025-12-17T00:00:00"/>
    <s v="CUST-0133"/>
    <s v="Nigeria"/>
    <s v="West Africa"/>
    <x v="10"/>
    <s v="Electronics"/>
    <n v="5"/>
    <n v="820.15"/>
    <n v="0.2"/>
    <n v="3280.6"/>
    <s v="Bank Transfer"/>
  </r>
  <r>
    <s v="ORD-0381"/>
    <d v="2025-12-18T00:00:00"/>
    <s v="CUST-0072"/>
    <s v="Ghana"/>
    <s v="West Africa"/>
    <x v="8"/>
    <s v="Electronics"/>
    <n v="8"/>
    <n v="48.19"/>
    <n v="0.1"/>
    <n v="346.97"/>
    <s v="Bank Transfer"/>
  </r>
  <r>
    <s v="ORD-0242"/>
    <d v="2025-12-19T00:00:00"/>
    <s v="CUST-0164"/>
    <s v="United Kingdom"/>
    <s v="Europe"/>
    <x v="5"/>
    <s v="Office Supplies"/>
    <n v="8"/>
    <n v="238.71"/>
    <n v="0"/>
    <n v="1909.68"/>
    <s v="Card"/>
  </r>
  <r>
    <s v="ORD-0361"/>
    <d v="2025-12-20T00:00:00"/>
    <s v="CUST-0032"/>
    <s v="Nigeria"/>
    <s v="West Africa"/>
    <x v="1"/>
    <s v="Electronics"/>
    <n v="1"/>
    <n v="288.38"/>
    <n v="0.2"/>
    <n v="230.7"/>
    <s v="Mobile Money"/>
  </r>
  <r>
    <s v="ORD-0395"/>
    <d v="2025-12-20T00:00:00"/>
    <s v="CUST-0127"/>
    <s v="United Kingdom"/>
    <s v="Europe"/>
    <x v="3"/>
    <s v="Electronics"/>
    <n v="4"/>
    <n v="649.57000000000005"/>
    <n v="0.05"/>
    <n v="2468.37"/>
    <s v="Card"/>
  </r>
  <r>
    <s v="ORD-0139"/>
    <d v="2025-12-21T00:00:00"/>
    <s v="CUST-0086"/>
    <s v="Nigeria"/>
    <s v="West Africa"/>
    <x v="7"/>
    <s v="Furniture"/>
    <n v="5"/>
    <n v="343.66"/>
    <n v="0.1"/>
    <n v="1546.47"/>
    <s v="Mobile Money"/>
  </r>
  <r>
    <s v="ORD-0206"/>
    <d v="2025-12-21T00:00:00"/>
    <s v="CUST-0026"/>
    <s v="Nigeria"/>
    <s v="West Africa"/>
    <x v="2"/>
    <s v="Furniture"/>
    <n v="3"/>
    <n v="56.35"/>
    <n v="0.15"/>
    <n v="143.69"/>
    <s v="Bank Transfer"/>
  </r>
  <r>
    <s v="ORD-0106"/>
    <d v="2025-12-22T00:00:00"/>
    <s v="CUST-0077"/>
    <s v="Kenya"/>
    <s v="East Africa"/>
    <x v="10"/>
    <s v="Electronics"/>
    <n v="2"/>
    <n v="948.2"/>
    <n v="0"/>
    <n v="1896.4"/>
    <s v="Mobile Money"/>
  </r>
  <r>
    <s v="ORD-0359"/>
    <d v="2025-12-23T00:00:00"/>
    <s v="CUST-0062"/>
    <s v="Ghana"/>
    <s v="West Africa"/>
    <x v="2"/>
    <s v="Furniture"/>
    <n v="3"/>
    <n v="54.44"/>
    <n v="0"/>
    <n v="163.32"/>
    <s v="Card"/>
  </r>
  <r>
    <s v="ORD-0448"/>
    <d v="2025-12-23T00:00:00"/>
    <s v="CUST-0102"/>
    <s v="Kenya"/>
    <s v="East Africa"/>
    <x v="10"/>
    <s v="Electronics"/>
    <n v="4"/>
    <n v="980.86"/>
    <n v="0.15"/>
    <n v="3334.92"/>
    <s v="Card"/>
  </r>
  <r>
    <s v="ORD-0389"/>
    <d v="2025-12-24T00:00:00"/>
    <s v="CUST-0066"/>
    <s v="Kenya"/>
    <s v="East Africa"/>
    <x v="3"/>
    <s v="Electronics"/>
    <n v="8"/>
    <n v="599.67999999999995"/>
    <n v="0.2"/>
    <n v="3837.95"/>
    <s v="Card"/>
  </r>
  <r>
    <s v="ORD-0576"/>
    <d v="2025-12-24T00:00:00"/>
    <s v="CUST-0093"/>
    <s v="United Kingdom"/>
    <s v="Europe"/>
    <x v="5"/>
    <s v="Office Supplies"/>
    <n v="5"/>
    <n v="228.78"/>
    <n v="0.05"/>
    <n v="1086.7"/>
    <s v="Card"/>
  </r>
  <r>
    <s v="ORD-0387"/>
    <d v="2025-12-24T00:00:00"/>
    <s v="CUST-0075"/>
    <s v="South Africa"/>
    <s v="Southern Africa"/>
    <x v="9"/>
    <s v="Electronics"/>
    <n v="7"/>
    <n v="79.8"/>
    <n v="0"/>
    <n v="558.6"/>
    <s v="Card"/>
  </r>
  <r>
    <s v="ORD-0074"/>
    <d v="2025-12-24T00:00:00"/>
    <s v="CUST-0152"/>
    <s v="Nigeria"/>
    <s v="West Africa"/>
    <x v="1"/>
    <s v="Electronics"/>
    <n v="1"/>
    <n v="324.92"/>
    <n v="0.25"/>
    <n v="243.69"/>
    <s v="Card"/>
  </r>
  <r>
    <s v="ORD-0132"/>
    <d v="2025-12-25T00:00:00"/>
    <s v="CUST-0131"/>
    <s v="Nigeria"/>
    <s v="West Africa"/>
    <x v="11"/>
    <s v="Accessories"/>
    <n v="3"/>
    <n v="69.83"/>
    <n v="0"/>
    <n v="209.49"/>
    <s v="Bank Transfer"/>
  </r>
  <r>
    <s v="ORD-0430"/>
    <d v="2025-12-26T00:00:00"/>
    <s v="CUST-0066"/>
    <s v="Nigeria"/>
    <s v="West Africa"/>
    <x v="2"/>
    <s v="Furniture"/>
    <n v="2"/>
    <n v="58.35"/>
    <n v="0"/>
    <n v="116.7"/>
    <s v="Bank Transfer"/>
  </r>
  <r>
    <s v="ORD-0574"/>
    <d v="2025-12-26T00:00:00"/>
    <s v="CUST-0151"/>
    <s v="Ghana"/>
    <s v="West Africa"/>
    <x v="1"/>
    <s v="Electronics"/>
    <n v="4"/>
    <n v="304.89"/>
    <n v="0"/>
    <n v="1219.56"/>
    <s v="Bank Transfer"/>
  </r>
  <r>
    <s v="ORD-0281"/>
    <d v="2025-12-26T00:00:00"/>
    <s v="CUST-0135"/>
    <s v="United States"/>
    <s v="North America"/>
    <x v="3"/>
    <s v="Electronics"/>
    <n v="5"/>
    <n v="683.16"/>
    <n v="0.1"/>
    <n v="3074.22"/>
    <s v="Bank Transfer"/>
  </r>
  <r>
    <s v="ORD-0587"/>
    <d v="2025-12-26T00:00:00"/>
    <s v="CUST-0152"/>
    <s v="Ghana"/>
    <s v="West Africa"/>
    <x v="6"/>
    <s v="Electronics"/>
    <n v="4"/>
    <n v="121.22"/>
    <n v="0.1"/>
    <n v="436.39"/>
    <s v="Bank Transfer"/>
  </r>
  <r>
    <s v="ORD-0418"/>
    <d v="2025-12-26T00:00:00"/>
    <s v="CUST-0068"/>
    <s v="United States"/>
    <s v="North America"/>
    <x v="8"/>
    <s v="Electronics"/>
    <n v="2"/>
    <n v="43.34"/>
    <n v="0.05"/>
    <n v="82.35"/>
    <s v="Cash"/>
  </r>
  <r>
    <s v="ORD-0027"/>
    <d v="2025-12-26T00:00:00"/>
    <s v="CUST-0129"/>
    <s v="Nigeria"/>
    <s v="West Africa"/>
    <x v="1"/>
    <s v="Electronics"/>
    <n v="4"/>
    <n v="326.43"/>
    <n v="0.1"/>
    <n v="1175.1500000000001"/>
    <s v="Mobile Money"/>
  </r>
  <r>
    <s v="ORD-0128"/>
    <d v="2025-12-27T00:00:00"/>
    <s v="CUST-0177"/>
    <s v="Nigeria"/>
    <s v="West Africa"/>
    <x v="5"/>
    <s v="Office Supplies"/>
    <n v="4"/>
    <n v="235.63"/>
    <n v="0.1"/>
    <n v="848.27"/>
    <s v="Cash"/>
  </r>
  <r>
    <s v="ORD-0070"/>
    <d v="2025-12-27T00:00:00"/>
    <s v="CUST-0167"/>
    <s v="Ghana"/>
    <s v="West Africa"/>
    <x v="2"/>
    <s v="Furniture"/>
    <n v="6"/>
    <n v="50.12"/>
    <n v="0"/>
    <n v="300.72000000000003"/>
    <s v="Card"/>
  </r>
  <r>
    <s v="ORD-0285"/>
    <d v="2025-12-28T00:00:00"/>
    <s v="CUST-0144"/>
    <s v="South Africa"/>
    <s v="Southern Africa"/>
    <x v="1"/>
    <s v="Electronics"/>
    <n v="4"/>
    <n v="308.18"/>
    <n v="0.15"/>
    <n v="1047.81"/>
    <s v="Card"/>
  </r>
  <r>
    <s v="ORD-0479"/>
    <d v="2025-12-29T00:00:00"/>
    <s v="CUST-0123"/>
    <s v="United States"/>
    <s v="North America"/>
    <x v="8"/>
    <s v="Electronics"/>
    <n v="2"/>
    <n v="47.59"/>
    <n v="0.1"/>
    <n v="85.66"/>
    <s v="Mobile Money"/>
  </r>
  <r>
    <s v="ORD-0573"/>
    <d v="2025-12-29T00:00:00"/>
    <s v="CUST-0112"/>
    <s v="South Africa"/>
    <s v="Southern Africa"/>
    <x v="8"/>
    <s v="Electronics"/>
    <n v="5"/>
    <n v="45.75"/>
    <n v="0.1"/>
    <n v="205.88"/>
    <s v="Card"/>
  </r>
  <r>
    <s v="ORD-0126"/>
    <d v="2025-12-30T00:00:00"/>
    <s v="CUST-0179"/>
    <s v="United States"/>
    <s v="North America"/>
    <x v="1"/>
    <s v="Electronics"/>
    <n v="2"/>
    <n v="298.85000000000002"/>
    <n v="0.25"/>
    <n v="448.28"/>
    <s v="Mobile Money"/>
  </r>
  <r>
    <s v="ORD-0325"/>
    <d v="2025-12-30T00:00:00"/>
    <s v="CUST-0108"/>
    <s v="United Kingdom"/>
    <s v="Europe"/>
    <x v="3"/>
    <s v="Electronics"/>
    <n v="6"/>
    <n v="677.33"/>
    <n v="0.05"/>
    <n v="3860.78"/>
    <s v="Mobile Money"/>
  </r>
  <r>
    <s v="ORD-0556"/>
    <d v="2025-12-30T00:00:00"/>
    <s v="CUST-0053"/>
    <s v="Ghana"/>
    <s v="West Africa"/>
    <x v="10"/>
    <s v="Electronics"/>
    <n v="8"/>
    <n v="850.81"/>
    <n v="0.15"/>
    <n v="5785.51"/>
    <s v="Mobile Money"/>
  </r>
  <r>
    <s v="ORD-0518"/>
    <d v="2025-12-31T00:00:00"/>
    <s v="CUST-0091"/>
    <s v="United States"/>
    <s v="North America"/>
    <x v="4"/>
    <s v="Office Supplies"/>
    <n v="5"/>
    <n v="15.74"/>
    <n v="0.2"/>
    <n v="62.96"/>
    <s v="Bank Transfer"/>
  </r>
  <r>
    <s v="ORD-0299"/>
    <d v="2025-12-31T00:00:00"/>
    <s v="CUST-0051"/>
    <s v="Ghana"/>
    <s v="West Africa"/>
    <x v="10"/>
    <s v="Electronics"/>
    <n v="6"/>
    <n v="959.71"/>
    <n v="0.05"/>
    <n v="5470.35"/>
    <s v="Mobile Money"/>
  </r>
  <r>
    <s v="ORD-0380"/>
    <d v="2025-12-31T00:00:00"/>
    <s v="CUST-0163"/>
    <s v="United States"/>
    <s v="North America"/>
    <x v="4"/>
    <s v="Office Supplies"/>
    <n v="2"/>
    <n v="14.83"/>
    <n v="0.15"/>
    <n v="25.21"/>
    <s v="Mobile Mon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1BC1A8-741C-4EA3-8F06-0F9A9A96B2EC}"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3:E9" firstHeaderRow="1" firstDataRow="1" firstDataCol="1"/>
  <pivotFields count="12">
    <pivotField showAll="0"/>
    <pivotField numFmtId="164" showAll="0"/>
    <pivotField showAll="0"/>
    <pivotField showAll="0"/>
    <pivotField showAll="0"/>
    <pivotField axis="axisRow" showAll="0" measureFilter="1" sortType="descending">
      <items count="13">
        <item x="11"/>
        <item x="7"/>
        <item x="2"/>
        <item x="6"/>
        <item x="9"/>
        <item x="10"/>
        <item x="1"/>
        <item x="8"/>
        <item x="4"/>
        <item x="0"/>
        <item x="5"/>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5"/>
  </rowFields>
  <rowItems count="6">
    <i>
      <x v="1"/>
    </i>
    <i>
      <x v="5"/>
    </i>
    <i>
      <x v="4"/>
    </i>
    <i>
      <x v="7"/>
    </i>
    <i>
      <x v="8"/>
    </i>
    <i t="grand">
      <x/>
    </i>
  </rowItems>
  <colItems count="1">
    <i/>
  </colItems>
  <dataFields count="1">
    <dataField name="Sum of Quantity"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C97BD7-4560-4F98-9D20-683906542011}"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2">
    <pivotField showAll="0"/>
    <pivotField numFmtId="164" showAll="0"/>
    <pivotField showAll="0"/>
    <pivotField showAll="0"/>
    <pivotField showAll="0"/>
    <pivotField axis="axisRow" showAll="0" measureFilter="1" sortType="descending">
      <items count="13">
        <item x="11"/>
        <item x="7"/>
        <item x="2"/>
        <item x="6"/>
        <item x="9"/>
        <item x="10"/>
        <item x="1"/>
        <item x="8"/>
        <item x="4"/>
        <item x="0"/>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5"/>
  </rowFields>
  <rowItems count="6">
    <i>
      <x v="5"/>
    </i>
    <i>
      <x v="11"/>
    </i>
    <i>
      <x v="1"/>
    </i>
    <i>
      <x v="6"/>
    </i>
    <i>
      <x v="10"/>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71014-D8CC-44D5-BA23-776DAA9DC6F4}" name="PivotTable1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2:T15" firstHeaderRow="1" firstDataRow="1" firstDataCol="1"/>
  <pivotFields count="14">
    <pivotField showAll="0"/>
    <pivotField numFmtId="164" showAll="0">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axis="axisRow" showAll="0">
      <items count="13">
        <item x="11"/>
        <item x="7"/>
        <item x="2"/>
        <item x="6"/>
        <item x="9"/>
        <item x="10"/>
        <item x="1"/>
        <item x="8"/>
        <item x="4"/>
        <item x="0"/>
        <item x="5"/>
        <item x="3"/>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13">
    <i>
      <x/>
    </i>
    <i>
      <x v="1"/>
    </i>
    <i>
      <x v="2"/>
    </i>
    <i>
      <x v="3"/>
    </i>
    <i>
      <x v="4"/>
    </i>
    <i>
      <x v="5"/>
    </i>
    <i>
      <x v="6"/>
    </i>
    <i>
      <x v="7"/>
    </i>
    <i>
      <x v="8"/>
    </i>
    <i>
      <x v="9"/>
    </i>
    <i>
      <x v="10"/>
    </i>
    <i>
      <x v="11"/>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D94E63-C50E-41AC-8C84-00BD8DC85DFE}" name="PivotTable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4:E26" firstHeaderRow="1" firstDataRow="1" firstDataCol="1"/>
  <pivotFields count="14">
    <pivotField showAll="0"/>
    <pivotField numFmtId="164" showAll="0">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axis="axisRow" showAll="0">
      <items count="7">
        <item x="0"/>
        <item x="2"/>
        <item x="4"/>
        <item x="3"/>
        <item x="1"/>
        <item x="5"/>
        <item t="default"/>
      </items>
    </pivotField>
    <pivotField axis="axisRow" showAll="0">
      <items count="6">
        <item x="2"/>
        <item x="1"/>
        <item x="4"/>
        <item x="3"/>
        <item x="0"/>
        <item t="default"/>
      </items>
    </pivotField>
    <pivotField showAll="0"/>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4"/>
    <field x="3"/>
  </rowFields>
  <rowItems count="12">
    <i>
      <x/>
    </i>
    <i r="1">
      <x v="1"/>
    </i>
    <i>
      <x v="1"/>
    </i>
    <i r="1">
      <x v="4"/>
    </i>
    <i>
      <x v="2"/>
    </i>
    <i r="1">
      <x v="5"/>
    </i>
    <i>
      <x v="3"/>
    </i>
    <i r="1">
      <x v="3"/>
    </i>
    <i>
      <x v="4"/>
    </i>
    <i r="1">
      <x/>
    </i>
    <i r="1">
      <x v="2"/>
    </i>
    <i t="grand">
      <x/>
    </i>
  </rowItems>
  <colItems count="1">
    <i/>
  </colItems>
  <dataFields count="1">
    <dataField name="Sum of Sales" fld="10"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CCC608-AC52-41AB-8C10-4665AE8CA8A8}" name="PivotTable8"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2:K7" firstHeaderRow="1" firstDataRow="1" firstDataCol="1"/>
  <pivotFields count="14">
    <pivotField showAll="0"/>
    <pivotField numFmtId="164" showAll="0">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axis="axisRow" showAll="0">
      <items count="5">
        <item x="3"/>
        <item x="1"/>
        <item x="0"/>
        <item x="2"/>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Sum of Sales"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07FB24-49E6-4AF2-9ED2-E6F298E3B7F7}" name="PivotTable7"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C8" firstHeaderRow="1" firstDataRow="1" firstDataCol="1"/>
  <pivotFields count="14">
    <pivotField showAll="0"/>
    <pivotField numFmtId="164" showAll="0">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pivotField showAll="0"/>
    <pivotField axis="axisRow" numFmtId="10" showAll="0">
      <items count="8">
        <item x="0"/>
        <item x="1"/>
        <item x="2"/>
        <item x="3"/>
        <item x="4"/>
        <item x="5"/>
        <item x="6"/>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v="1"/>
    </i>
    <i>
      <x v="2"/>
    </i>
    <i>
      <x v="3"/>
    </i>
    <i>
      <x v="4"/>
    </i>
    <i>
      <x v="5"/>
    </i>
    <i t="grand">
      <x/>
    </i>
  </rowItems>
  <colItems count="1">
    <i/>
  </colItems>
  <dataFields count="1">
    <dataField name="Total Sales" fld="10" baseField="0" baseItem="0"/>
  </dataFields>
  <formats count="1">
    <format dxfId="1">
      <pivotArea dataOnly="0" labelOnly="1" fieldPosition="0">
        <references count="1">
          <reference field="9" count="5">
            <x v="1"/>
            <x v="2"/>
            <x v="3"/>
            <x v="4"/>
            <x v="5"/>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F2B0C4-761C-4A49-9992-E7DF84221751}" name="PivotTable1" cacheId="3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months">
  <location ref="A3:B16" firstHeaderRow="1" firstDataRow="1" firstDataCol="1"/>
  <pivotFields count="14">
    <pivotField dataField="1" showAll="0"/>
    <pivotField axis="axisRow" numFmtId="164" showAll="0">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1"/>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5" name="Order_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9C3DEF4-23DA-481F-BC39-E737D5C6D896}" sourceName="Country">
  <pivotTables>
    <pivotTable tabId="9" name="PivotTable9"/>
  </pivotTables>
  <data>
    <tabular pivotCacheId="328879951">
      <items count="6">
        <i x="0" s="1"/>
        <i x="2" s="1"/>
        <i x="4" s="1"/>
        <i x="3"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7281F43-F10D-4EE8-82C9-C37CF125CDD1}" sourceName="Product">
  <pivotTables>
    <pivotTable tabId="9" name="PivotTable10"/>
  </pivotTables>
  <data>
    <tabular pivotCacheId="328879951">
      <items count="12">
        <i x="11" s="1"/>
        <i x="7" s="1"/>
        <i x="2" s="1"/>
        <i x="6" s="1"/>
        <i x="9" s="1"/>
        <i x="10" s="1"/>
        <i x="1" s="1"/>
        <i x="8" s="1"/>
        <i x="4" s="1"/>
        <i x="0"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0030BC6-AC15-41CE-B84E-A0E2CE2B479B}" cache="Slicer_Country" caption="Country" rowHeight="234950"/>
  <slicer name="Product" xr10:uid="{C8BEBD82-CF28-45A4-820C-CF09E07BAE4B}" cache="Slicer_Product" caption="Product" startItem="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C01F4B7-3E19-43BA-8E7C-1C2D8D970E52}" sourceName="Order_Date">
  <pivotTables>
    <pivotTable tabId="6" name="PivotTable1"/>
  </pivotTables>
  <state minimalRefreshVersion="6" lastRefreshVersion="6" pivotCacheId="328879951" filterType="dateBetween">
    <selection startDate="2025-01-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919F2E3E-50FE-41EE-9FE9-BD18DEE25000}" cache="NativeTimeline_Order_Date" caption="Order_Date" level="2" selectionLevel="0" scrollPosition="2025-01-01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8E111-61A6-4C38-8FAD-7426F8111DDD}">
  <dimension ref="A3:E9"/>
  <sheetViews>
    <sheetView workbookViewId="0">
      <selection activeCell="K6" sqref="K6"/>
    </sheetView>
  </sheetViews>
  <sheetFormatPr defaultRowHeight="14.4" x14ac:dyDescent="0.3"/>
  <cols>
    <col min="1" max="1" width="12.5546875" bestFit="1" customWidth="1"/>
    <col min="2" max="2" width="11.6640625" bestFit="1" customWidth="1"/>
    <col min="4" max="4" width="12.5546875" bestFit="1" customWidth="1"/>
    <col min="5" max="5" width="14.88671875" bestFit="1" customWidth="1"/>
  </cols>
  <sheetData>
    <row r="3" spans="1:5" x14ac:dyDescent="0.3">
      <c r="A3" s="10" t="s">
        <v>841</v>
      </c>
      <c r="B3" t="s">
        <v>857</v>
      </c>
      <c r="D3" s="10" t="s">
        <v>841</v>
      </c>
      <c r="E3" t="s">
        <v>858</v>
      </c>
    </row>
    <row r="4" spans="1:5" x14ac:dyDescent="0.3">
      <c r="A4" s="11" t="s">
        <v>807</v>
      </c>
      <c r="B4" s="12">
        <v>213041.96000000002</v>
      </c>
      <c r="D4" s="11" t="s">
        <v>804</v>
      </c>
      <c r="E4" s="12">
        <v>290</v>
      </c>
    </row>
    <row r="5" spans="1:5" x14ac:dyDescent="0.3">
      <c r="A5" s="11" t="s">
        <v>800</v>
      </c>
      <c r="B5" s="12">
        <v>119707.04999999999</v>
      </c>
      <c r="D5" s="11" t="s">
        <v>807</v>
      </c>
      <c r="E5" s="12">
        <v>260</v>
      </c>
    </row>
    <row r="6" spans="1:5" x14ac:dyDescent="0.3">
      <c r="A6" s="11" t="s">
        <v>804</v>
      </c>
      <c r="B6" s="12">
        <v>89391.410000000018</v>
      </c>
      <c r="D6" s="11" t="s">
        <v>806</v>
      </c>
      <c r="E6" s="12">
        <v>255</v>
      </c>
    </row>
    <row r="7" spans="1:5" x14ac:dyDescent="0.3">
      <c r="A7" s="11" t="s">
        <v>798</v>
      </c>
      <c r="B7" s="12">
        <v>47402.130000000005</v>
      </c>
      <c r="D7" s="11" t="s">
        <v>805</v>
      </c>
      <c r="E7" s="12">
        <v>254</v>
      </c>
    </row>
    <row r="8" spans="1:5" x14ac:dyDescent="0.3">
      <c r="A8" s="11" t="s">
        <v>802</v>
      </c>
      <c r="B8" s="12">
        <v>45684.25</v>
      </c>
      <c r="D8" s="11" t="s">
        <v>801</v>
      </c>
      <c r="E8" s="12">
        <v>248</v>
      </c>
    </row>
    <row r="9" spans="1:5" x14ac:dyDescent="0.3">
      <c r="A9" s="11" t="s">
        <v>842</v>
      </c>
      <c r="B9" s="12">
        <v>515226.80000000005</v>
      </c>
      <c r="D9" s="11" t="s">
        <v>842</v>
      </c>
      <c r="E9" s="12">
        <v>1307</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1"/>
  <sheetViews>
    <sheetView workbookViewId="0">
      <selection activeCell="M8" sqref="M8"/>
    </sheetView>
  </sheetViews>
  <sheetFormatPr defaultRowHeight="14.4" x14ac:dyDescent="0.3"/>
  <cols>
    <col min="1" max="1" width="9.33203125" bestFit="1" customWidth="1"/>
    <col min="2" max="2" width="18.109375" bestFit="1" customWidth="1"/>
    <col min="3" max="3" width="11.88671875" bestFit="1" customWidth="1"/>
    <col min="4" max="4" width="14" bestFit="1" customWidth="1"/>
    <col min="5" max="5" width="13.6640625" bestFit="1" customWidth="1"/>
    <col min="6" max="6" width="11.109375" bestFit="1" customWidth="1"/>
    <col min="7" max="7" width="13.109375" bestFit="1" customWidth="1"/>
    <col min="9" max="9" width="9.6640625" bestFit="1" customWidth="1"/>
    <col min="12" max="12" width="16.441406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
        <v>12</v>
      </c>
      <c r="B2" s="2">
        <v>45658</v>
      </c>
      <c r="C2" t="s">
        <v>612</v>
      </c>
      <c r="D2" t="s">
        <v>785</v>
      </c>
      <c r="E2" t="s">
        <v>792</v>
      </c>
      <c r="F2" t="s">
        <v>797</v>
      </c>
      <c r="G2" t="s">
        <v>809</v>
      </c>
      <c r="H2">
        <v>6</v>
      </c>
      <c r="I2">
        <v>222.25</v>
      </c>
      <c r="J2">
        <v>0.1</v>
      </c>
      <c r="K2">
        <v>1200.1500000000001</v>
      </c>
      <c r="L2" t="s">
        <v>813</v>
      </c>
    </row>
    <row r="3" spans="1:12" x14ac:dyDescent="0.3">
      <c r="A3" t="s">
        <v>13</v>
      </c>
      <c r="B3" s="2">
        <v>45658</v>
      </c>
      <c r="C3" t="s">
        <v>613</v>
      </c>
      <c r="D3" t="s">
        <v>786</v>
      </c>
      <c r="E3" t="s">
        <v>793</v>
      </c>
      <c r="F3" t="s">
        <v>798</v>
      </c>
      <c r="G3" t="s">
        <v>810</v>
      </c>
      <c r="H3">
        <v>6</v>
      </c>
      <c r="I3">
        <v>270.86</v>
      </c>
      <c r="J3">
        <v>0.15</v>
      </c>
      <c r="K3">
        <v>1381.39</v>
      </c>
      <c r="L3" t="s">
        <v>813</v>
      </c>
    </row>
    <row r="4" spans="1:12" x14ac:dyDescent="0.3">
      <c r="A4" t="s">
        <v>14</v>
      </c>
      <c r="B4" s="2">
        <v>45659</v>
      </c>
      <c r="C4" t="s">
        <v>614</v>
      </c>
      <c r="D4" t="s">
        <v>787</v>
      </c>
      <c r="E4" t="s">
        <v>794</v>
      </c>
      <c r="F4" t="s">
        <v>799</v>
      </c>
      <c r="G4" t="s">
        <v>809</v>
      </c>
      <c r="H4">
        <v>2</v>
      </c>
      <c r="I4">
        <v>55.08</v>
      </c>
      <c r="J4">
        <v>0</v>
      </c>
      <c r="K4">
        <v>110.16</v>
      </c>
      <c r="L4" t="s">
        <v>814</v>
      </c>
    </row>
    <row r="5" spans="1:12" x14ac:dyDescent="0.3">
      <c r="A5" t="s">
        <v>15</v>
      </c>
      <c r="B5" s="2">
        <v>45662</v>
      </c>
      <c r="C5" t="s">
        <v>615</v>
      </c>
      <c r="D5" t="s">
        <v>788</v>
      </c>
      <c r="E5" t="s">
        <v>795</v>
      </c>
      <c r="F5" t="s">
        <v>800</v>
      </c>
      <c r="G5" t="s">
        <v>810</v>
      </c>
      <c r="H5">
        <v>5</v>
      </c>
      <c r="I5">
        <v>597.21</v>
      </c>
      <c r="J5">
        <v>0.15</v>
      </c>
      <c r="K5">
        <v>2538.14</v>
      </c>
      <c r="L5" t="s">
        <v>815</v>
      </c>
    </row>
    <row r="6" spans="1:12" x14ac:dyDescent="0.3">
      <c r="A6" t="s">
        <v>16</v>
      </c>
      <c r="B6" s="2">
        <v>45663</v>
      </c>
      <c r="C6" t="s">
        <v>616</v>
      </c>
      <c r="D6" t="s">
        <v>789</v>
      </c>
      <c r="E6" t="s">
        <v>792</v>
      </c>
      <c r="F6" t="s">
        <v>800</v>
      </c>
      <c r="G6" t="s">
        <v>810</v>
      </c>
      <c r="H6">
        <v>7</v>
      </c>
      <c r="I6">
        <v>590.39</v>
      </c>
      <c r="J6">
        <v>0.15</v>
      </c>
      <c r="K6">
        <v>3512.82</v>
      </c>
      <c r="L6" t="s">
        <v>815</v>
      </c>
    </row>
    <row r="7" spans="1:12" x14ac:dyDescent="0.3">
      <c r="A7" t="s">
        <v>17</v>
      </c>
      <c r="B7" s="2">
        <v>45664</v>
      </c>
      <c r="C7" t="s">
        <v>617</v>
      </c>
      <c r="D7" t="s">
        <v>787</v>
      </c>
      <c r="E7" t="s">
        <v>794</v>
      </c>
      <c r="F7" t="s">
        <v>798</v>
      </c>
      <c r="G7" t="s">
        <v>810</v>
      </c>
      <c r="H7">
        <v>2</v>
      </c>
      <c r="I7">
        <v>277.83999999999997</v>
      </c>
      <c r="J7">
        <v>0.2</v>
      </c>
      <c r="K7">
        <v>444.54</v>
      </c>
      <c r="L7" t="s">
        <v>815</v>
      </c>
    </row>
    <row r="8" spans="1:12" x14ac:dyDescent="0.3">
      <c r="A8" t="s">
        <v>18</v>
      </c>
      <c r="B8" s="2">
        <v>45665</v>
      </c>
      <c r="C8" t="s">
        <v>618</v>
      </c>
      <c r="D8" t="s">
        <v>788</v>
      </c>
      <c r="E8" t="s">
        <v>795</v>
      </c>
      <c r="F8" t="s">
        <v>801</v>
      </c>
      <c r="G8" t="s">
        <v>811</v>
      </c>
      <c r="H8">
        <v>3</v>
      </c>
      <c r="I8">
        <v>15.11</v>
      </c>
      <c r="J8">
        <v>0.1</v>
      </c>
      <c r="K8">
        <v>40.799999999999997</v>
      </c>
      <c r="L8" t="s">
        <v>815</v>
      </c>
    </row>
    <row r="9" spans="1:12" x14ac:dyDescent="0.3">
      <c r="A9" t="s">
        <v>19</v>
      </c>
      <c r="B9" s="2">
        <v>45665</v>
      </c>
      <c r="C9" t="s">
        <v>619</v>
      </c>
      <c r="D9" t="s">
        <v>790</v>
      </c>
      <c r="E9" t="s">
        <v>796</v>
      </c>
      <c r="F9" t="s">
        <v>802</v>
      </c>
      <c r="G9" t="s">
        <v>811</v>
      </c>
      <c r="H9">
        <v>3</v>
      </c>
      <c r="I9">
        <v>254.64</v>
      </c>
      <c r="J9">
        <v>0.05</v>
      </c>
      <c r="K9">
        <v>725.72</v>
      </c>
      <c r="L9" t="s">
        <v>814</v>
      </c>
    </row>
    <row r="10" spans="1:12" x14ac:dyDescent="0.3">
      <c r="A10" t="s">
        <v>20</v>
      </c>
      <c r="B10" s="2">
        <v>45665</v>
      </c>
      <c r="C10" t="s">
        <v>620</v>
      </c>
      <c r="D10" t="s">
        <v>787</v>
      </c>
      <c r="E10" t="s">
        <v>794</v>
      </c>
      <c r="F10" t="s">
        <v>801</v>
      </c>
      <c r="G10" t="s">
        <v>811</v>
      </c>
      <c r="H10">
        <v>8</v>
      </c>
      <c r="I10">
        <v>13.98</v>
      </c>
      <c r="J10">
        <v>0.05</v>
      </c>
      <c r="K10">
        <v>106.25</v>
      </c>
      <c r="L10" t="s">
        <v>814</v>
      </c>
    </row>
    <row r="11" spans="1:12" x14ac:dyDescent="0.3">
      <c r="A11" t="s">
        <v>21</v>
      </c>
      <c r="B11" s="2">
        <v>45667</v>
      </c>
      <c r="C11" t="s">
        <v>621</v>
      </c>
      <c r="D11" t="s">
        <v>785</v>
      </c>
      <c r="E11" t="s">
        <v>792</v>
      </c>
      <c r="F11" t="s">
        <v>803</v>
      </c>
      <c r="G11" t="s">
        <v>810</v>
      </c>
      <c r="H11">
        <v>5</v>
      </c>
      <c r="I11">
        <v>130.57</v>
      </c>
      <c r="J11">
        <v>0.1</v>
      </c>
      <c r="K11">
        <v>587.55999999999995</v>
      </c>
      <c r="L11" t="s">
        <v>815</v>
      </c>
    </row>
    <row r="12" spans="1:12" x14ac:dyDescent="0.3">
      <c r="A12" t="s">
        <v>22</v>
      </c>
      <c r="B12" s="2">
        <v>45668</v>
      </c>
      <c r="C12" t="s">
        <v>622</v>
      </c>
      <c r="D12" t="s">
        <v>785</v>
      </c>
      <c r="E12" t="s">
        <v>792</v>
      </c>
      <c r="F12" t="s">
        <v>804</v>
      </c>
      <c r="G12" t="s">
        <v>809</v>
      </c>
      <c r="H12">
        <v>5</v>
      </c>
      <c r="I12">
        <v>376.29</v>
      </c>
      <c r="J12">
        <v>0</v>
      </c>
      <c r="K12">
        <v>1881.45</v>
      </c>
      <c r="L12" t="s">
        <v>814</v>
      </c>
    </row>
    <row r="13" spans="1:12" x14ac:dyDescent="0.3">
      <c r="A13" t="s">
        <v>23</v>
      </c>
      <c r="B13" s="2">
        <v>45669</v>
      </c>
      <c r="C13" t="s">
        <v>623</v>
      </c>
      <c r="D13" t="s">
        <v>789</v>
      </c>
      <c r="E13" t="s">
        <v>792</v>
      </c>
      <c r="F13" t="s">
        <v>805</v>
      </c>
      <c r="G13" t="s">
        <v>810</v>
      </c>
      <c r="H13">
        <v>4</v>
      </c>
      <c r="I13">
        <v>45.22</v>
      </c>
      <c r="J13">
        <v>0.2</v>
      </c>
      <c r="K13">
        <v>144.69999999999999</v>
      </c>
      <c r="L13" t="s">
        <v>813</v>
      </c>
    </row>
    <row r="14" spans="1:12" x14ac:dyDescent="0.3">
      <c r="A14" t="s">
        <v>24</v>
      </c>
      <c r="B14" s="2">
        <v>45669</v>
      </c>
      <c r="C14" t="s">
        <v>624</v>
      </c>
      <c r="D14" t="s">
        <v>789</v>
      </c>
      <c r="E14" t="s">
        <v>792</v>
      </c>
      <c r="F14" t="s">
        <v>806</v>
      </c>
      <c r="G14" t="s">
        <v>810</v>
      </c>
      <c r="H14">
        <v>5</v>
      </c>
      <c r="I14">
        <v>72.41</v>
      </c>
      <c r="J14">
        <v>0</v>
      </c>
      <c r="K14">
        <v>362.05</v>
      </c>
      <c r="L14" t="s">
        <v>816</v>
      </c>
    </row>
    <row r="15" spans="1:12" x14ac:dyDescent="0.3">
      <c r="A15" t="s">
        <v>25</v>
      </c>
      <c r="B15" s="2">
        <v>45669</v>
      </c>
      <c r="C15" t="s">
        <v>625</v>
      </c>
      <c r="D15" t="s">
        <v>786</v>
      </c>
      <c r="E15" t="s">
        <v>793</v>
      </c>
      <c r="F15" t="s">
        <v>798</v>
      </c>
      <c r="G15" t="s">
        <v>810</v>
      </c>
      <c r="H15">
        <v>4</v>
      </c>
      <c r="I15">
        <v>273.45999999999998</v>
      </c>
      <c r="J15">
        <v>0.15</v>
      </c>
      <c r="K15">
        <v>929.76</v>
      </c>
      <c r="L15" t="s">
        <v>815</v>
      </c>
    </row>
    <row r="16" spans="1:12" x14ac:dyDescent="0.3">
      <c r="A16" t="s">
        <v>26</v>
      </c>
      <c r="B16" s="2">
        <v>45670</v>
      </c>
      <c r="C16" t="s">
        <v>626</v>
      </c>
      <c r="D16" t="s">
        <v>790</v>
      </c>
      <c r="E16" t="s">
        <v>796</v>
      </c>
      <c r="F16" t="s">
        <v>807</v>
      </c>
      <c r="G16" t="s">
        <v>810</v>
      </c>
      <c r="H16">
        <v>7</v>
      </c>
      <c r="I16">
        <v>845.86</v>
      </c>
      <c r="J16">
        <v>0</v>
      </c>
      <c r="K16">
        <v>5921.02</v>
      </c>
      <c r="L16" t="s">
        <v>814</v>
      </c>
    </row>
    <row r="17" spans="1:12" x14ac:dyDescent="0.3">
      <c r="A17" t="s">
        <v>27</v>
      </c>
      <c r="B17" s="2">
        <v>45670</v>
      </c>
      <c r="C17" t="s">
        <v>627</v>
      </c>
      <c r="D17" t="s">
        <v>785</v>
      </c>
      <c r="E17" t="s">
        <v>792</v>
      </c>
      <c r="F17" t="s">
        <v>804</v>
      </c>
      <c r="G17" t="s">
        <v>809</v>
      </c>
      <c r="H17">
        <v>2</v>
      </c>
      <c r="I17">
        <v>362.67</v>
      </c>
      <c r="J17">
        <v>0</v>
      </c>
      <c r="K17">
        <v>725.34</v>
      </c>
      <c r="L17" t="s">
        <v>815</v>
      </c>
    </row>
    <row r="18" spans="1:12" x14ac:dyDescent="0.3">
      <c r="A18" t="s">
        <v>28</v>
      </c>
      <c r="B18" s="2">
        <v>45670</v>
      </c>
      <c r="C18" t="s">
        <v>628</v>
      </c>
      <c r="D18" t="s">
        <v>788</v>
      </c>
      <c r="E18" t="s">
        <v>795</v>
      </c>
      <c r="F18" t="s">
        <v>805</v>
      </c>
      <c r="G18" t="s">
        <v>810</v>
      </c>
      <c r="H18">
        <v>7</v>
      </c>
      <c r="I18">
        <v>42.46</v>
      </c>
      <c r="J18">
        <v>0.2</v>
      </c>
      <c r="K18">
        <v>237.78</v>
      </c>
      <c r="L18" t="s">
        <v>814</v>
      </c>
    </row>
    <row r="19" spans="1:12" x14ac:dyDescent="0.3">
      <c r="A19" t="s">
        <v>29</v>
      </c>
      <c r="B19" s="2">
        <v>45670</v>
      </c>
      <c r="C19" t="s">
        <v>629</v>
      </c>
      <c r="D19" t="s">
        <v>785</v>
      </c>
      <c r="E19" t="s">
        <v>792</v>
      </c>
      <c r="F19" t="s">
        <v>806</v>
      </c>
      <c r="G19" t="s">
        <v>810</v>
      </c>
      <c r="H19">
        <v>4</v>
      </c>
      <c r="I19">
        <v>85.23</v>
      </c>
      <c r="J19">
        <v>0.05</v>
      </c>
      <c r="K19">
        <v>323.87</v>
      </c>
      <c r="L19" t="s">
        <v>817</v>
      </c>
    </row>
    <row r="20" spans="1:12" x14ac:dyDescent="0.3">
      <c r="A20" t="s">
        <v>30</v>
      </c>
      <c r="B20" s="2">
        <v>45671</v>
      </c>
      <c r="C20" t="s">
        <v>621</v>
      </c>
      <c r="D20" t="s">
        <v>787</v>
      </c>
      <c r="E20" t="s">
        <v>794</v>
      </c>
      <c r="F20" t="s">
        <v>802</v>
      </c>
      <c r="G20" t="s">
        <v>811</v>
      </c>
      <c r="H20">
        <v>4</v>
      </c>
      <c r="I20">
        <v>243.45</v>
      </c>
      <c r="J20">
        <v>0.1</v>
      </c>
      <c r="K20">
        <v>876.42</v>
      </c>
      <c r="L20" t="s">
        <v>813</v>
      </c>
    </row>
    <row r="21" spans="1:12" x14ac:dyDescent="0.3">
      <c r="A21" t="s">
        <v>31</v>
      </c>
      <c r="B21" s="2">
        <v>45671</v>
      </c>
      <c r="C21" t="s">
        <v>614</v>
      </c>
      <c r="D21" t="s">
        <v>790</v>
      </c>
      <c r="E21" t="s">
        <v>796</v>
      </c>
      <c r="F21" t="s">
        <v>802</v>
      </c>
      <c r="G21" t="s">
        <v>811</v>
      </c>
      <c r="H21">
        <v>2</v>
      </c>
      <c r="I21">
        <v>266.07</v>
      </c>
      <c r="J21">
        <v>0.1</v>
      </c>
      <c r="K21">
        <v>478.93</v>
      </c>
      <c r="L21" t="s">
        <v>815</v>
      </c>
    </row>
    <row r="22" spans="1:12" x14ac:dyDescent="0.3">
      <c r="A22" t="s">
        <v>32</v>
      </c>
      <c r="B22" s="2">
        <v>45671</v>
      </c>
      <c r="C22" t="s">
        <v>630</v>
      </c>
      <c r="D22" t="s">
        <v>786</v>
      </c>
      <c r="E22" t="s">
        <v>793</v>
      </c>
      <c r="F22" t="s">
        <v>797</v>
      </c>
      <c r="G22" t="s">
        <v>809</v>
      </c>
      <c r="H22">
        <v>7</v>
      </c>
      <c r="I22">
        <v>218.03</v>
      </c>
      <c r="J22">
        <v>0.1</v>
      </c>
      <c r="K22">
        <v>1373.59</v>
      </c>
      <c r="L22" t="s">
        <v>815</v>
      </c>
    </row>
    <row r="23" spans="1:12" x14ac:dyDescent="0.3">
      <c r="A23" t="s">
        <v>33</v>
      </c>
      <c r="B23" s="2">
        <v>45671</v>
      </c>
      <c r="C23" t="s">
        <v>631</v>
      </c>
      <c r="D23" t="s">
        <v>788</v>
      </c>
      <c r="E23" t="s">
        <v>795</v>
      </c>
      <c r="F23" t="s">
        <v>808</v>
      </c>
      <c r="G23" t="s">
        <v>812</v>
      </c>
      <c r="H23">
        <v>2</v>
      </c>
      <c r="I23">
        <v>74.709999999999994</v>
      </c>
      <c r="J23">
        <v>0</v>
      </c>
      <c r="K23">
        <v>149.41999999999999</v>
      </c>
      <c r="L23" t="s">
        <v>814</v>
      </c>
    </row>
    <row r="24" spans="1:12" x14ac:dyDescent="0.3">
      <c r="A24" t="s">
        <v>34</v>
      </c>
      <c r="B24" s="2">
        <v>45672</v>
      </c>
      <c r="C24" t="s">
        <v>628</v>
      </c>
      <c r="D24" t="s">
        <v>786</v>
      </c>
      <c r="E24" t="s">
        <v>793</v>
      </c>
      <c r="F24" t="s">
        <v>802</v>
      </c>
      <c r="G24" t="s">
        <v>811</v>
      </c>
      <c r="H24">
        <v>1</v>
      </c>
      <c r="I24">
        <v>239.05</v>
      </c>
      <c r="J24">
        <v>0.1</v>
      </c>
      <c r="K24">
        <v>215.14</v>
      </c>
      <c r="L24" t="s">
        <v>814</v>
      </c>
    </row>
    <row r="25" spans="1:12" x14ac:dyDescent="0.3">
      <c r="A25" t="s">
        <v>35</v>
      </c>
      <c r="B25" s="2">
        <v>45673</v>
      </c>
      <c r="C25" t="s">
        <v>632</v>
      </c>
      <c r="D25" t="s">
        <v>785</v>
      </c>
      <c r="E25" t="s">
        <v>792</v>
      </c>
      <c r="F25" t="s">
        <v>805</v>
      </c>
      <c r="G25" t="s">
        <v>810</v>
      </c>
      <c r="H25">
        <v>5</v>
      </c>
      <c r="I25">
        <v>44.25</v>
      </c>
      <c r="J25">
        <v>0.2</v>
      </c>
      <c r="K25">
        <v>177</v>
      </c>
      <c r="L25" t="s">
        <v>813</v>
      </c>
    </row>
    <row r="26" spans="1:12" x14ac:dyDescent="0.3">
      <c r="A26" t="s">
        <v>36</v>
      </c>
      <c r="B26" s="2">
        <v>45675</v>
      </c>
      <c r="C26" t="s">
        <v>633</v>
      </c>
      <c r="D26" t="s">
        <v>787</v>
      </c>
      <c r="E26" t="s">
        <v>794</v>
      </c>
      <c r="F26" t="s">
        <v>802</v>
      </c>
      <c r="G26" t="s">
        <v>811</v>
      </c>
      <c r="H26">
        <v>3</v>
      </c>
      <c r="I26">
        <v>274.88</v>
      </c>
      <c r="J26">
        <v>0</v>
      </c>
      <c r="K26">
        <v>824.64</v>
      </c>
      <c r="L26" t="s">
        <v>815</v>
      </c>
    </row>
    <row r="27" spans="1:12" x14ac:dyDescent="0.3">
      <c r="A27" t="s">
        <v>37</v>
      </c>
      <c r="B27" s="2">
        <v>45675</v>
      </c>
      <c r="C27" t="s">
        <v>634</v>
      </c>
      <c r="D27" t="s">
        <v>788</v>
      </c>
      <c r="E27" t="s">
        <v>795</v>
      </c>
      <c r="F27" t="s">
        <v>804</v>
      </c>
      <c r="G27" t="s">
        <v>809</v>
      </c>
      <c r="H27">
        <v>8</v>
      </c>
      <c r="I27">
        <v>340.47</v>
      </c>
      <c r="J27">
        <v>0</v>
      </c>
      <c r="K27">
        <v>2723.76</v>
      </c>
      <c r="L27" t="s">
        <v>814</v>
      </c>
    </row>
    <row r="28" spans="1:12" x14ac:dyDescent="0.3">
      <c r="A28" t="s">
        <v>38</v>
      </c>
      <c r="B28" s="2">
        <v>45676</v>
      </c>
      <c r="C28" t="s">
        <v>635</v>
      </c>
      <c r="D28" t="s">
        <v>787</v>
      </c>
      <c r="E28" t="s">
        <v>794</v>
      </c>
      <c r="F28" t="s">
        <v>798</v>
      </c>
      <c r="G28" t="s">
        <v>810</v>
      </c>
      <c r="H28">
        <v>1</v>
      </c>
      <c r="I28">
        <v>311.55</v>
      </c>
      <c r="J28">
        <v>0.3</v>
      </c>
      <c r="K28">
        <v>218.08</v>
      </c>
      <c r="L28" t="s">
        <v>814</v>
      </c>
    </row>
    <row r="29" spans="1:12" x14ac:dyDescent="0.3">
      <c r="A29" t="s">
        <v>39</v>
      </c>
      <c r="B29" s="2">
        <v>45676</v>
      </c>
      <c r="C29" t="s">
        <v>636</v>
      </c>
      <c r="D29" t="s">
        <v>785</v>
      </c>
      <c r="E29" t="s">
        <v>792</v>
      </c>
      <c r="F29" t="s">
        <v>801</v>
      </c>
      <c r="G29" t="s">
        <v>811</v>
      </c>
      <c r="H29">
        <v>5</v>
      </c>
      <c r="I29">
        <v>16.29</v>
      </c>
      <c r="J29">
        <v>0</v>
      </c>
      <c r="K29">
        <v>81.45</v>
      </c>
      <c r="L29" t="s">
        <v>814</v>
      </c>
    </row>
    <row r="30" spans="1:12" x14ac:dyDescent="0.3">
      <c r="A30" t="s">
        <v>40</v>
      </c>
      <c r="B30" s="2">
        <v>45676</v>
      </c>
      <c r="C30" t="s">
        <v>637</v>
      </c>
      <c r="D30" t="s">
        <v>789</v>
      </c>
      <c r="E30" t="s">
        <v>792</v>
      </c>
      <c r="F30" t="s">
        <v>799</v>
      </c>
      <c r="G30" t="s">
        <v>809</v>
      </c>
      <c r="H30">
        <v>8</v>
      </c>
      <c r="I30">
        <v>56.28</v>
      </c>
      <c r="J30">
        <v>0.1</v>
      </c>
      <c r="K30">
        <v>405.22</v>
      </c>
      <c r="L30" t="s">
        <v>814</v>
      </c>
    </row>
    <row r="31" spans="1:12" x14ac:dyDescent="0.3">
      <c r="A31" t="s">
        <v>41</v>
      </c>
      <c r="B31" s="2">
        <v>45676</v>
      </c>
      <c r="C31" t="s">
        <v>638</v>
      </c>
      <c r="D31" t="s">
        <v>786</v>
      </c>
      <c r="E31" t="s">
        <v>793</v>
      </c>
      <c r="F31" t="s">
        <v>801</v>
      </c>
      <c r="G31" t="s">
        <v>811</v>
      </c>
      <c r="H31">
        <v>5</v>
      </c>
      <c r="I31">
        <v>15.27</v>
      </c>
      <c r="J31">
        <v>0.1</v>
      </c>
      <c r="K31">
        <v>68.72</v>
      </c>
      <c r="L31" t="s">
        <v>814</v>
      </c>
    </row>
    <row r="32" spans="1:12" x14ac:dyDescent="0.3">
      <c r="A32" t="s">
        <v>42</v>
      </c>
      <c r="B32" s="2">
        <v>45677</v>
      </c>
      <c r="C32" t="s">
        <v>639</v>
      </c>
      <c r="D32" t="s">
        <v>785</v>
      </c>
      <c r="E32" t="s">
        <v>792</v>
      </c>
      <c r="F32" t="s">
        <v>807</v>
      </c>
      <c r="G32" t="s">
        <v>810</v>
      </c>
      <c r="H32">
        <v>7</v>
      </c>
      <c r="I32">
        <v>840.86</v>
      </c>
      <c r="J32">
        <v>0.1</v>
      </c>
      <c r="K32">
        <v>5297.42</v>
      </c>
      <c r="L32" t="s">
        <v>815</v>
      </c>
    </row>
    <row r="33" spans="1:12" x14ac:dyDescent="0.3">
      <c r="A33" t="s">
        <v>43</v>
      </c>
      <c r="B33" s="2">
        <v>45677</v>
      </c>
      <c r="C33" t="s">
        <v>633</v>
      </c>
      <c r="D33" t="s">
        <v>786</v>
      </c>
      <c r="E33" t="s">
        <v>793</v>
      </c>
      <c r="F33" t="s">
        <v>804</v>
      </c>
      <c r="G33" t="s">
        <v>809</v>
      </c>
      <c r="H33">
        <v>6</v>
      </c>
      <c r="I33">
        <v>382.76</v>
      </c>
      <c r="J33">
        <v>0.15</v>
      </c>
      <c r="K33">
        <v>1952.08</v>
      </c>
      <c r="L33" t="s">
        <v>814</v>
      </c>
    </row>
    <row r="34" spans="1:12" x14ac:dyDescent="0.3">
      <c r="A34" t="s">
        <v>44</v>
      </c>
      <c r="B34" s="2">
        <v>45678</v>
      </c>
      <c r="C34" t="s">
        <v>614</v>
      </c>
      <c r="D34" t="s">
        <v>785</v>
      </c>
      <c r="E34" t="s">
        <v>792</v>
      </c>
      <c r="F34" t="s">
        <v>797</v>
      </c>
      <c r="G34" t="s">
        <v>809</v>
      </c>
      <c r="H34">
        <v>8</v>
      </c>
      <c r="I34">
        <v>200.05</v>
      </c>
      <c r="J34">
        <v>0.15</v>
      </c>
      <c r="K34">
        <v>1360.34</v>
      </c>
      <c r="L34" t="s">
        <v>815</v>
      </c>
    </row>
    <row r="35" spans="1:12" x14ac:dyDescent="0.3">
      <c r="A35" t="s">
        <v>45</v>
      </c>
      <c r="B35" s="2">
        <v>45678</v>
      </c>
      <c r="C35" t="s">
        <v>612</v>
      </c>
      <c r="D35" t="s">
        <v>789</v>
      </c>
      <c r="E35" t="s">
        <v>792</v>
      </c>
      <c r="F35" t="s">
        <v>800</v>
      </c>
      <c r="G35" t="s">
        <v>810</v>
      </c>
      <c r="H35">
        <v>8</v>
      </c>
      <c r="I35">
        <v>677.17</v>
      </c>
      <c r="J35">
        <v>0</v>
      </c>
      <c r="K35">
        <v>5417.36</v>
      </c>
      <c r="L35" t="s">
        <v>815</v>
      </c>
    </row>
    <row r="36" spans="1:12" x14ac:dyDescent="0.3">
      <c r="A36" t="s">
        <v>46</v>
      </c>
      <c r="B36" s="2">
        <v>45678</v>
      </c>
      <c r="C36" t="s">
        <v>640</v>
      </c>
      <c r="D36" t="s">
        <v>790</v>
      </c>
      <c r="E36" t="s">
        <v>796</v>
      </c>
      <c r="F36" t="s">
        <v>799</v>
      </c>
      <c r="G36" t="s">
        <v>809</v>
      </c>
      <c r="H36">
        <v>3</v>
      </c>
      <c r="I36">
        <v>55.06</v>
      </c>
      <c r="J36">
        <v>0.25</v>
      </c>
      <c r="K36">
        <v>123.88</v>
      </c>
      <c r="L36" t="s">
        <v>814</v>
      </c>
    </row>
    <row r="37" spans="1:12" x14ac:dyDescent="0.3">
      <c r="A37" t="s">
        <v>47</v>
      </c>
      <c r="B37" s="2">
        <v>45678</v>
      </c>
      <c r="C37" t="s">
        <v>641</v>
      </c>
      <c r="D37" t="s">
        <v>789</v>
      </c>
      <c r="E37" t="s">
        <v>792</v>
      </c>
      <c r="F37" t="s">
        <v>808</v>
      </c>
      <c r="G37" t="s">
        <v>812</v>
      </c>
      <c r="H37">
        <v>5</v>
      </c>
      <c r="I37">
        <v>69.91</v>
      </c>
      <c r="J37">
        <v>0</v>
      </c>
      <c r="K37">
        <v>349.55</v>
      </c>
      <c r="L37" t="s">
        <v>814</v>
      </c>
    </row>
    <row r="38" spans="1:12" x14ac:dyDescent="0.3">
      <c r="A38" t="s">
        <v>48</v>
      </c>
      <c r="B38" s="2">
        <v>45679</v>
      </c>
      <c r="C38" t="s">
        <v>634</v>
      </c>
      <c r="D38" t="s">
        <v>785</v>
      </c>
      <c r="E38" t="s">
        <v>792</v>
      </c>
      <c r="F38" t="s">
        <v>802</v>
      </c>
      <c r="G38" t="s">
        <v>811</v>
      </c>
      <c r="H38">
        <v>1</v>
      </c>
      <c r="I38">
        <v>232.86</v>
      </c>
      <c r="J38">
        <v>0.05</v>
      </c>
      <c r="K38">
        <v>221.22</v>
      </c>
      <c r="L38" t="s">
        <v>814</v>
      </c>
    </row>
    <row r="39" spans="1:12" x14ac:dyDescent="0.3">
      <c r="A39" t="s">
        <v>49</v>
      </c>
      <c r="B39" s="2">
        <v>45681</v>
      </c>
      <c r="C39" t="s">
        <v>642</v>
      </c>
      <c r="D39" t="s">
        <v>787</v>
      </c>
      <c r="E39" t="s">
        <v>794</v>
      </c>
      <c r="F39" t="s">
        <v>800</v>
      </c>
      <c r="G39" t="s">
        <v>810</v>
      </c>
      <c r="H39">
        <v>4</v>
      </c>
      <c r="I39">
        <v>587.32000000000005</v>
      </c>
      <c r="J39">
        <v>0.2</v>
      </c>
      <c r="K39">
        <v>1879.42</v>
      </c>
      <c r="L39" t="s">
        <v>814</v>
      </c>
    </row>
    <row r="40" spans="1:12" x14ac:dyDescent="0.3">
      <c r="A40" t="s">
        <v>50</v>
      </c>
      <c r="B40" s="2">
        <v>45682</v>
      </c>
      <c r="C40" t="s">
        <v>643</v>
      </c>
      <c r="D40" t="s">
        <v>785</v>
      </c>
      <c r="E40" t="s">
        <v>792</v>
      </c>
      <c r="F40" t="s">
        <v>803</v>
      </c>
      <c r="G40" t="s">
        <v>810</v>
      </c>
      <c r="H40">
        <v>8</v>
      </c>
      <c r="I40">
        <v>108.16</v>
      </c>
      <c r="J40">
        <v>0.15</v>
      </c>
      <c r="K40">
        <v>735.49</v>
      </c>
      <c r="L40" t="s">
        <v>815</v>
      </c>
    </row>
    <row r="41" spans="1:12" x14ac:dyDescent="0.3">
      <c r="A41" t="s">
        <v>51</v>
      </c>
      <c r="B41" s="2">
        <v>45682</v>
      </c>
      <c r="C41" t="s">
        <v>644</v>
      </c>
      <c r="D41" t="s">
        <v>790</v>
      </c>
      <c r="E41" t="s">
        <v>796</v>
      </c>
      <c r="F41" t="s">
        <v>797</v>
      </c>
      <c r="G41" t="s">
        <v>809</v>
      </c>
      <c r="H41">
        <v>3</v>
      </c>
      <c r="I41">
        <v>219.69</v>
      </c>
      <c r="J41">
        <v>0</v>
      </c>
      <c r="K41">
        <v>659.07</v>
      </c>
      <c r="L41" t="s">
        <v>814</v>
      </c>
    </row>
    <row r="42" spans="1:12" x14ac:dyDescent="0.3">
      <c r="A42" t="s">
        <v>52</v>
      </c>
      <c r="B42" s="2">
        <v>45682</v>
      </c>
      <c r="C42" t="s">
        <v>645</v>
      </c>
      <c r="D42" t="s">
        <v>789</v>
      </c>
      <c r="E42" t="s">
        <v>792</v>
      </c>
      <c r="F42" t="s">
        <v>807</v>
      </c>
      <c r="G42" t="s">
        <v>810</v>
      </c>
      <c r="H42">
        <v>6</v>
      </c>
      <c r="I42">
        <v>971.69</v>
      </c>
      <c r="J42">
        <v>0.2</v>
      </c>
      <c r="K42">
        <v>4664.1099999999997</v>
      </c>
      <c r="L42" t="s">
        <v>814</v>
      </c>
    </row>
    <row r="43" spans="1:12" x14ac:dyDescent="0.3">
      <c r="A43" t="s">
        <v>53</v>
      </c>
      <c r="B43" s="2">
        <v>45683</v>
      </c>
      <c r="C43" t="s">
        <v>646</v>
      </c>
      <c r="D43" t="s">
        <v>787</v>
      </c>
      <c r="E43" t="s">
        <v>794</v>
      </c>
      <c r="F43" t="s">
        <v>801</v>
      </c>
      <c r="G43" t="s">
        <v>811</v>
      </c>
      <c r="H43">
        <v>5</v>
      </c>
      <c r="I43">
        <v>15.3</v>
      </c>
      <c r="J43">
        <v>0.2</v>
      </c>
      <c r="K43">
        <v>61.2</v>
      </c>
      <c r="L43" t="s">
        <v>813</v>
      </c>
    </row>
    <row r="44" spans="1:12" x14ac:dyDescent="0.3">
      <c r="A44" t="s">
        <v>54</v>
      </c>
      <c r="B44" s="2">
        <v>45683</v>
      </c>
      <c r="C44" t="s">
        <v>647</v>
      </c>
      <c r="D44" t="s">
        <v>787</v>
      </c>
      <c r="E44" t="s">
        <v>794</v>
      </c>
      <c r="F44" t="s">
        <v>808</v>
      </c>
      <c r="G44" t="s">
        <v>812</v>
      </c>
      <c r="H44">
        <v>3</v>
      </c>
      <c r="I44">
        <v>79.81</v>
      </c>
      <c r="J44">
        <v>0.15</v>
      </c>
      <c r="K44">
        <v>203.52</v>
      </c>
      <c r="L44" t="s">
        <v>815</v>
      </c>
    </row>
    <row r="45" spans="1:12" x14ac:dyDescent="0.3">
      <c r="A45" t="s">
        <v>55</v>
      </c>
      <c r="B45" s="2">
        <v>45685</v>
      </c>
      <c r="C45" t="s">
        <v>648</v>
      </c>
      <c r="D45" t="s">
        <v>788</v>
      </c>
      <c r="E45" t="s">
        <v>795</v>
      </c>
      <c r="F45" t="s">
        <v>802</v>
      </c>
      <c r="G45" t="s">
        <v>811</v>
      </c>
      <c r="H45">
        <v>6</v>
      </c>
      <c r="I45">
        <v>256.8</v>
      </c>
      <c r="J45">
        <v>0.25</v>
      </c>
      <c r="K45">
        <v>1155.5999999999999</v>
      </c>
      <c r="L45" t="s">
        <v>815</v>
      </c>
    </row>
    <row r="46" spans="1:12" x14ac:dyDescent="0.3">
      <c r="A46" t="s">
        <v>56</v>
      </c>
      <c r="B46" s="2">
        <v>45685</v>
      </c>
      <c r="C46" t="s">
        <v>649</v>
      </c>
      <c r="D46" t="s">
        <v>788</v>
      </c>
      <c r="E46" t="s">
        <v>795</v>
      </c>
      <c r="F46" t="s">
        <v>803</v>
      </c>
      <c r="G46" t="s">
        <v>810</v>
      </c>
      <c r="H46">
        <v>1</v>
      </c>
      <c r="I46">
        <v>122.54</v>
      </c>
      <c r="J46">
        <v>0.25</v>
      </c>
      <c r="K46">
        <v>91.9</v>
      </c>
      <c r="L46" t="s">
        <v>815</v>
      </c>
    </row>
    <row r="47" spans="1:12" x14ac:dyDescent="0.3">
      <c r="A47" t="s">
        <v>57</v>
      </c>
      <c r="B47" s="2">
        <v>45686</v>
      </c>
      <c r="C47" t="s">
        <v>650</v>
      </c>
      <c r="D47" t="s">
        <v>790</v>
      </c>
      <c r="E47" t="s">
        <v>796</v>
      </c>
      <c r="F47" t="s">
        <v>799</v>
      </c>
      <c r="G47" t="s">
        <v>809</v>
      </c>
      <c r="H47">
        <v>4</v>
      </c>
      <c r="I47">
        <v>56.62</v>
      </c>
      <c r="J47">
        <v>0.1</v>
      </c>
      <c r="K47">
        <v>203.83</v>
      </c>
      <c r="L47" t="s">
        <v>814</v>
      </c>
    </row>
    <row r="48" spans="1:12" x14ac:dyDescent="0.3">
      <c r="A48" t="s">
        <v>58</v>
      </c>
      <c r="B48" s="2">
        <v>45686</v>
      </c>
      <c r="C48" t="s">
        <v>651</v>
      </c>
      <c r="D48" t="s">
        <v>790</v>
      </c>
      <c r="E48" t="s">
        <v>796</v>
      </c>
      <c r="F48" t="s">
        <v>804</v>
      </c>
      <c r="G48" t="s">
        <v>809</v>
      </c>
      <c r="H48">
        <v>5</v>
      </c>
      <c r="I48">
        <v>343.16</v>
      </c>
      <c r="J48">
        <v>0.1</v>
      </c>
      <c r="K48">
        <v>1544.22</v>
      </c>
      <c r="L48" t="s">
        <v>814</v>
      </c>
    </row>
    <row r="49" spans="1:12" x14ac:dyDescent="0.3">
      <c r="A49" t="s">
        <v>59</v>
      </c>
      <c r="B49" s="2">
        <v>45688</v>
      </c>
      <c r="C49" t="s">
        <v>652</v>
      </c>
      <c r="D49" t="s">
        <v>786</v>
      </c>
      <c r="E49" t="s">
        <v>793</v>
      </c>
      <c r="F49" t="s">
        <v>798</v>
      </c>
      <c r="G49" t="s">
        <v>810</v>
      </c>
      <c r="H49">
        <v>7</v>
      </c>
      <c r="I49">
        <v>316.92</v>
      </c>
      <c r="J49">
        <v>0.05</v>
      </c>
      <c r="K49">
        <v>2107.52</v>
      </c>
      <c r="L49" t="s">
        <v>814</v>
      </c>
    </row>
    <row r="50" spans="1:12" x14ac:dyDescent="0.3">
      <c r="A50" t="s">
        <v>60</v>
      </c>
      <c r="B50" s="2">
        <v>45688</v>
      </c>
      <c r="C50" t="s">
        <v>653</v>
      </c>
      <c r="D50" t="s">
        <v>786</v>
      </c>
      <c r="E50" t="s">
        <v>793</v>
      </c>
      <c r="F50" t="s">
        <v>808</v>
      </c>
      <c r="G50" t="s">
        <v>812</v>
      </c>
      <c r="H50">
        <v>1</v>
      </c>
      <c r="I50">
        <v>69.88</v>
      </c>
      <c r="J50">
        <v>0.15</v>
      </c>
      <c r="K50">
        <v>59.4</v>
      </c>
      <c r="L50" t="s">
        <v>814</v>
      </c>
    </row>
    <row r="51" spans="1:12" x14ac:dyDescent="0.3">
      <c r="A51" t="s">
        <v>61</v>
      </c>
      <c r="B51" s="2">
        <v>45689</v>
      </c>
      <c r="C51" t="s">
        <v>654</v>
      </c>
      <c r="D51" t="s">
        <v>788</v>
      </c>
      <c r="E51" t="s">
        <v>795</v>
      </c>
      <c r="F51" t="s">
        <v>808</v>
      </c>
      <c r="G51" t="s">
        <v>812</v>
      </c>
      <c r="H51">
        <v>8</v>
      </c>
      <c r="I51">
        <v>75.88</v>
      </c>
      <c r="J51">
        <v>0.05</v>
      </c>
      <c r="K51">
        <v>576.69000000000005</v>
      </c>
      <c r="L51" t="s">
        <v>813</v>
      </c>
    </row>
    <row r="52" spans="1:12" x14ac:dyDescent="0.3">
      <c r="A52" t="s">
        <v>62</v>
      </c>
      <c r="B52" s="2">
        <v>45692</v>
      </c>
      <c r="C52" t="s">
        <v>655</v>
      </c>
      <c r="D52" t="s">
        <v>790</v>
      </c>
      <c r="E52" t="s">
        <v>796</v>
      </c>
      <c r="F52" t="s">
        <v>798</v>
      </c>
      <c r="G52" t="s">
        <v>810</v>
      </c>
      <c r="H52">
        <v>8</v>
      </c>
      <c r="I52">
        <v>284.37</v>
      </c>
      <c r="J52">
        <v>0.2</v>
      </c>
      <c r="K52">
        <v>1819.97</v>
      </c>
      <c r="L52" t="s">
        <v>814</v>
      </c>
    </row>
    <row r="53" spans="1:12" x14ac:dyDescent="0.3">
      <c r="A53" t="s">
        <v>63</v>
      </c>
      <c r="B53" s="2">
        <v>45693</v>
      </c>
      <c r="C53" t="s">
        <v>619</v>
      </c>
      <c r="D53" t="s">
        <v>790</v>
      </c>
      <c r="E53" t="s">
        <v>796</v>
      </c>
      <c r="F53" t="s">
        <v>798</v>
      </c>
      <c r="G53" t="s">
        <v>810</v>
      </c>
      <c r="H53">
        <v>2</v>
      </c>
      <c r="I53">
        <v>275.13</v>
      </c>
      <c r="J53">
        <v>0.05</v>
      </c>
      <c r="K53">
        <v>522.75</v>
      </c>
      <c r="L53" t="s">
        <v>814</v>
      </c>
    </row>
    <row r="54" spans="1:12" x14ac:dyDescent="0.3">
      <c r="A54" t="s">
        <v>64</v>
      </c>
      <c r="B54" s="2">
        <v>45695</v>
      </c>
      <c r="C54" t="s">
        <v>656</v>
      </c>
      <c r="D54" t="s">
        <v>790</v>
      </c>
      <c r="E54" t="s">
        <v>796</v>
      </c>
      <c r="F54" t="s">
        <v>801</v>
      </c>
      <c r="G54" t="s">
        <v>811</v>
      </c>
      <c r="H54">
        <v>3</v>
      </c>
      <c r="I54">
        <v>15.18</v>
      </c>
      <c r="J54">
        <v>0</v>
      </c>
      <c r="K54">
        <v>45.54</v>
      </c>
      <c r="L54" t="s">
        <v>815</v>
      </c>
    </row>
    <row r="55" spans="1:12" x14ac:dyDescent="0.3">
      <c r="A55" t="s">
        <v>65</v>
      </c>
      <c r="B55" s="2">
        <v>45695</v>
      </c>
      <c r="C55" t="s">
        <v>657</v>
      </c>
      <c r="D55" t="s">
        <v>789</v>
      </c>
      <c r="E55" t="s">
        <v>792</v>
      </c>
      <c r="F55" t="s">
        <v>800</v>
      </c>
      <c r="G55" t="s">
        <v>810</v>
      </c>
      <c r="H55">
        <v>4</v>
      </c>
      <c r="I55">
        <v>618.1</v>
      </c>
      <c r="J55">
        <v>0.15</v>
      </c>
      <c r="K55">
        <v>2101.54</v>
      </c>
      <c r="L55" t="s">
        <v>813</v>
      </c>
    </row>
    <row r="56" spans="1:12" x14ac:dyDescent="0.3">
      <c r="A56" t="s">
        <v>66</v>
      </c>
      <c r="B56" s="2">
        <v>45695</v>
      </c>
      <c r="C56" t="s">
        <v>641</v>
      </c>
      <c r="D56" t="s">
        <v>789</v>
      </c>
      <c r="E56" t="s">
        <v>792</v>
      </c>
      <c r="F56" t="s">
        <v>799</v>
      </c>
      <c r="G56" t="s">
        <v>809</v>
      </c>
      <c r="H56">
        <v>3</v>
      </c>
      <c r="I56">
        <v>53.54</v>
      </c>
      <c r="J56">
        <v>0.05</v>
      </c>
      <c r="K56">
        <v>152.59</v>
      </c>
      <c r="L56" t="s">
        <v>814</v>
      </c>
    </row>
    <row r="57" spans="1:12" x14ac:dyDescent="0.3">
      <c r="A57" t="s">
        <v>67</v>
      </c>
      <c r="B57" s="2">
        <v>45696</v>
      </c>
      <c r="C57" t="s">
        <v>658</v>
      </c>
      <c r="D57" t="s">
        <v>789</v>
      </c>
      <c r="E57" t="s">
        <v>792</v>
      </c>
      <c r="F57" t="s">
        <v>807</v>
      </c>
      <c r="G57" t="s">
        <v>810</v>
      </c>
      <c r="H57">
        <v>5</v>
      </c>
      <c r="I57">
        <v>972.64</v>
      </c>
      <c r="J57">
        <v>0</v>
      </c>
      <c r="K57">
        <v>4863.2</v>
      </c>
      <c r="L57" t="s">
        <v>813</v>
      </c>
    </row>
    <row r="58" spans="1:12" x14ac:dyDescent="0.3">
      <c r="A58" t="s">
        <v>68</v>
      </c>
      <c r="B58" s="2">
        <v>45696</v>
      </c>
      <c r="C58" t="s">
        <v>631</v>
      </c>
      <c r="D58" t="s">
        <v>787</v>
      </c>
      <c r="E58" t="s">
        <v>794</v>
      </c>
      <c r="F58" t="s">
        <v>807</v>
      </c>
      <c r="G58" t="s">
        <v>810</v>
      </c>
      <c r="H58">
        <v>8</v>
      </c>
      <c r="I58">
        <v>988.63</v>
      </c>
      <c r="J58">
        <v>0.15</v>
      </c>
      <c r="K58">
        <v>6722.68</v>
      </c>
      <c r="L58" t="s">
        <v>814</v>
      </c>
    </row>
    <row r="59" spans="1:12" x14ac:dyDescent="0.3">
      <c r="A59" t="s">
        <v>69</v>
      </c>
      <c r="B59" s="2">
        <v>45696</v>
      </c>
      <c r="C59" t="s">
        <v>626</v>
      </c>
      <c r="D59" t="s">
        <v>785</v>
      </c>
      <c r="E59" t="s">
        <v>792</v>
      </c>
      <c r="F59" t="s">
        <v>806</v>
      </c>
      <c r="G59" t="s">
        <v>810</v>
      </c>
      <c r="H59">
        <v>6</v>
      </c>
      <c r="I59">
        <v>83.49</v>
      </c>
      <c r="J59">
        <v>0.05</v>
      </c>
      <c r="K59">
        <v>475.89</v>
      </c>
      <c r="L59" t="s">
        <v>815</v>
      </c>
    </row>
    <row r="60" spans="1:12" x14ac:dyDescent="0.3">
      <c r="A60" t="s">
        <v>70</v>
      </c>
      <c r="B60" s="2">
        <v>45699</v>
      </c>
      <c r="C60" t="s">
        <v>659</v>
      </c>
      <c r="D60" t="s">
        <v>788</v>
      </c>
      <c r="E60" t="s">
        <v>795</v>
      </c>
      <c r="F60" t="s">
        <v>797</v>
      </c>
      <c r="G60" t="s">
        <v>809</v>
      </c>
      <c r="H60">
        <v>5</v>
      </c>
      <c r="I60">
        <v>232.83</v>
      </c>
      <c r="J60">
        <v>0.2</v>
      </c>
      <c r="K60">
        <v>931.32</v>
      </c>
      <c r="L60" t="s">
        <v>814</v>
      </c>
    </row>
    <row r="61" spans="1:12" x14ac:dyDescent="0.3">
      <c r="A61" t="s">
        <v>71</v>
      </c>
      <c r="B61" s="2">
        <v>45699</v>
      </c>
      <c r="C61" t="s">
        <v>660</v>
      </c>
      <c r="D61" t="s">
        <v>785</v>
      </c>
      <c r="E61" t="s">
        <v>792</v>
      </c>
      <c r="F61" t="s">
        <v>800</v>
      </c>
      <c r="G61" t="s">
        <v>810</v>
      </c>
      <c r="H61">
        <v>7</v>
      </c>
      <c r="I61">
        <v>673.81</v>
      </c>
      <c r="J61">
        <v>0.2</v>
      </c>
      <c r="K61">
        <v>3773.34</v>
      </c>
      <c r="L61" t="s">
        <v>815</v>
      </c>
    </row>
    <row r="62" spans="1:12" x14ac:dyDescent="0.3">
      <c r="A62" t="s">
        <v>72</v>
      </c>
      <c r="B62" s="2">
        <v>45699</v>
      </c>
      <c r="C62" t="s">
        <v>661</v>
      </c>
      <c r="D62" t="s">
        <v>790</v>
      </c>
      <c r="E62" t="s">
        <v>796</v>
      </c>
      <c r="F62" t="s">
        <v>803</v>
      </c>
      <c r="G62" t="s">
        <v>810</v>
      </c>
      <c r="H62">
        <v>7</v>
      </c>
      <c r="I62">
        <v>110.81</v>
      </c>
      <c r="J62">
        <v>0.25</v>
      </c>
      <c r="K62">
        <v>581.75</v>
      </c>
      <c r="L62" t="s">
        <v>815</v>
      </c>
    </row>
    <row r="63" spans="1:12" x14ac:dyDescent="0.3">
      <c r="A63" t="s">
        <v>73</v>
      </c>
      <c r="B63" s="2">
        <v>45700</v>
      </c>
      <c r="C63" t="s">
        <v>662</v>
      </c>
      <c r="D63" t="s">
        <v>786</v>
      </c>
      <c r="E63" t="s">
        <v>793</v>
      </c>
      <c r="F63" t="s">
        <v>802</v>
      </c>
      <c r="G63" t="s">
        <v>811</v>
      </c>
      <c r="H63">
        <v>7</v>
      </c>
      <c r="I63">
        <v>242.4</v>
      </c>
      <c r="J63">
        <v>0.05</v>
      </c>
      <c r="K63">
        <v>1611.96</v>
      </c>
      <c r="L63" t="s">
        <v>814</v>
      </c>
    </row>
    <row r="64" spans="1:12" x14ac:dyDescent="0.3">
      <c r="A64" t="s">
        <v>74</v>
      </c>
      <c r="B64" s="2">
        <v>45701</v>
      </c>
      <c r="C64" t="s">
        <v>663</v>
      </c>
      <c r="D64" t="s">
        <v>786</v>
      </c>
      <c r="E64" t="s">
        <v>793</v>
      </c>
      <c r="F64" t="s">
        <v>807</v>
      </c>
      <c r="G64" t="s">
        <v>810</v>
      </c>
      <c r="H64">
        <v>7</v>
      </c>
      <c r="I64">
        <v>909.45</v>
      </c>
      <c r="J64">
        <v>0</v>
      </c>
      <c r="K64">
        <v>6366.15</v>
      </c>
      <c r="L64" t="s">
        <v>814</v>
      </c>
    </row>
    <row r="65" spans="1:12" x14ac:dyDescent="0.3">
      <c r="A65" t="s">
        <v>75</v>
      </c>
      <c r="B65" s="2">
        <v>45702</v>
      </c>
      <c r="C65" t="s">
        <v>664</v>
      </c>
      <c r="D65" t="s">
        <v>788</v>
      </c>
      <c r="E65" t="s">
        <v>795</v>
      </c>
      <c r="F65" t="s">
        <v>804</v>
      </c>
      <c r="G65" t="s">
        <v>809</v>
      </c>
      <c r="H65">
        <v>7</v>
      </c>
      <c r="I65">
        <v>327.55</v>
      </c>
      <c r="J65">
        <v>0.15</v>
      </c>
      <c r="K65">
        <v>1948.92</v>
      </c>
      <c r="L65" t="s">
        <v>814</v>
      </c>
    </row>
    <row r="66" spans="1:12" x14ac:dyDescent="0.3">
      <c r="A66" t="s">
        <v>76</v>
      </c>
      <c r="B66" s="2">
        <v>45702</v>
      </c>
      <c r="C66" t="s">
        <v>665</v>
      </c>
      <c r="D66" t="s">
        <v>790</v>
      </c>
      <c r="E66" t="s">
        <v>796</v>
      </c>
      <c r="F66" t="s">
        <v>797</v>
      </c>
      <c r="G66" t="s">
        <v>809</v>
      </c>
      <c r="H66">
        <v>7</v>
      </c>
      <c r="I66">
        <v>228.76</v>
      </c>
      <c r="J66">
        <v>0</v>
      </c>
      <c r="K66">
        <v>1601.32</v>
      </c>
      <c r="L66" t="s">
        <v>813</v>
      </c>
    </row>
    <row r="67" spans="1:12" x14ac:dyDescent="0.3">
      <c r="A67" t="s">
        <v>77</v>
      </c>
      <c r="B67" s="2">
        <v>45702</v>
      </c>
      <c r="C67" t="s">
        <v>666</v>
      </c>
      <c r="D67" t="s">
        <v>790</v>
      </c>
      <c r="E67" t="s">
        <v>796</v>
      </c>
      <c r="F67" t="s">
        <v>799</v>
      </c>
      <c r="G67" t="s">
        <v>809</v>
      </c>
      <c r="H67">
        <v>1</v>
      </c>
      <c r="I67">
        <v>51.23</v>
      </c>
      <c r="J67">
        <v>0</v>
      </c>
      <c r="K67">
        <v>51.23</v>
      </c>
      <c r="L67" t="s">
        <v>814</v>
      </c>
    </row>
    <row r="68" spans="1:12" x14ac:dyDescent="0.3">
      <c r="A68" t="s">
        <v>78</v>
      </c>
      <c r="B68" s="2">
        <v>45703</v>
      </c>
      <c r="C68" t="s">
        <v>662</v>
      </c>
      <c r="D68" t="s">
        <v>789</v>
      </c>
      <c r="E68" t="s">
        <v>792</v>
      </c>
      <c r="F68" t="s">
        <v>803</v>
      </c>
      <c r="G68" t="s">
        <v>810</v>
      </c>
      <c r="H68">
        <v>8</v>
      </c>
      <c r="I68">
        <v>123.49</v>
      </c>
      <c r="J68">
        <v>0</v>
      </c>
      <c r="K68">
        <v>987.92</v>
      </c>
      <c r="L68" t="s">
        <v>816</v>
      </c>
    </row>
    <row r="69" spans="1:12" x14ac:dyDescent="0.3">
      <c r="A69" t="s">
        <v>79</v>
      </c>
      <c r="B69" s="2">
        <v>45705</v>
      </c>
      <c r="C69" t="s">
        <v>667</v>
      </c>
      <c r="D69" t="s">
        <v>790</v>
      </c>
      <c r="E69" t="s">
        <v>796</v>
      </c>
      <c r="F69" t="s">
        <v>803</v>
      </c>
      <c r="G69" t="s">
        <v>810</v>
      </c>
      <c r="H69">
        <v>3</v>
      </c>
      <c r="I69">
        <v>109.82</v>
      </c>
      <c r="J69">
        <v>0.1</v>
      </c>
      <c r="K69">
        <v>296.51</v>
      </c>
      <c r="L69" t="s">
        <v>813</v>
      </c>
    </row>
    <row r="70" spans="1:12" x14ac:dyDescent="0.3">
      <c r="A70" t="s">
        <v>80</v>
      </c>
      <c r="B70" s="2">
        <v>45705</v>
      </c>
      <c r="C70" t="s">
        <v>668</v>
      </c>
      <c r="D70" t="s">
        <v>786</v>
      </c>
      <c r="E70" t="s">
        <v>793</v>
      </c>
      <c r="F70" t="s">
        <v>799</v>
      </c>
      <c r="G70" t="s">
        <v>809</v>
      </c>
      <c r="H70">
        <v>4</v>
      </c>
      <c r="I70">
        <v>59.58</v>
      </c>
      <c r="J70">
        <v>0.1</v>
      </c>
      <c r="K70">
        <v>214.49</v>
      </c>
      <c r="L70" t="s">
        <v>814</v>
      </c>
    </row>
    <row r="71" spans="1:12" x14ac:dyDescent="0.3">
      <c r="A71" t="s">
        <v>81</v>
      </c>
      <c r="B71" s="2">
        <v>45706</v>
      </c>
      <c r="C71" t="s">
        <v>642</v>
      </c>
      <c r="D71" t="s">
        <v>785</v>
      </c>
      <c r="E71" t="s">
        <v>792</v>
      </c>
      <c r="F71" t="s">
        <v>806</v>
      </c>
      <c r="G71" t="s">
        <v>810</v>
      </c>
      <c r="H71">
        <v>1</v>
      </c>
      <c r="I71">
        <v>75.63</v>
      </c>
      <c r="J71">
        <v>0.05</v>
      </c>
      <c r="K71">
        <v>71.849999999999994</v>
      </c>
      <c r="L71" t="s">
        <v>814</v>
      </c>
    </row>
    <row r="72" spans="1:12" x14ac:dyDescent="0.3">
      <c r="A72" t="s">
        <v>82</v>
      </c>
      <c r="B72" s="2">
        <v>45706</v>
      </c>
      <c r="C72" t="s">
        <v>669</v>
      </c>
      <c r="D72" t="s">
        <v>788</v>
      </c>
      <c r="E72" t="s">
        <v>795</v>
      </c>
      <c r="F72" t="s">
        <v>806</v>
      </c>
      <c r="G72" t="s">
        <v>810</v>
      </c>
      <c r="H72">
        <v>2</v>
      </c>
      <c r="I72">
        <v>77.77</v>
      </c>
      <c r="J72">
        <v>0.25</v>
      </c>
      <c r="K72">
        <v>116.66</v>
      </c>
      <c r="L72" t="s">
        <v>813</v>
      </c>
    </row>
    <row r="73" spans="1:12" x14ac:dyDescent="0.3">
      <c r="A73" t="s">
        <v>83</v>
      </c>
      <c r="B73" s="2">
        <v>45706</v>
      </c>
      <c r="C73" t="s">
        <v>670</v>
      </c>
      <c r="D73" t="s">
        <v>790</v>
      </c>
      <c r="E73" t="s">
        <v>796</v>
      </c>
      <c r="F73" t="s">
        <v>802</v>
      </c>
      <c r="G73" t="s">
        <v>811</v>
      </c>
      <c r="H73">
        <v>3</v>
      </c>
      <c r="I73">
        <v>246.48</v>
      </c>
      <c r="J73">
        <v>0.2</v>
      </c>
      <c r="K73">
        <v>591.54999999999995</v>
      </c>
      <c r="L73" t="s">
        <v>813</v>
      </c>
    </row>
    <row r="74" spans="1:12" x14ac:dyDescent="0.3">
      <c r="A74" t="s">
        <v>84</v>
      </c>
      <c r="B74" s="2">
        <v>45706</v>
      </c>
      <c r="C74" t="s">
        <v>632</v>
      </c>
      <c r="D74" t="s">
        <v>785</v>
      </c>
      <c r="E74" t="s">
        <v>792</v>
      </c>
      <c r="F74" t="s">
        <v>801</v>
      </c>
      <c r="G74" t="s">
        <v>811</v>
      </c>
      <c r="H74">
        <v>8</v>
      </c>
      <c r="I74">
        <v>13.53</v>
      </c>
      <c r="J74">
        <v>0.05</v>
      </c>
      <c r="K74">
        <v>102.83</v>
      </c>
      <c r="L74" t="s">
        <v>815</v>
      </c>
    </row>
    <row r="75" spans="1:12" x14ac:dyDescent="0.3">
      <c r="A75" t="s">
        <v>85</v>
      </c>
      <c r="B75" s="2">
        <v>45706</v>
      </c>
      <c r="C75" t="s">
        <v>671</v>
      </c>
      <c r="D75" t="s">
        <v>785</v>
      </c>
      <c r="E75" t="s">
        <v>792</v>
      </c>
      <c r="F75" t="s">
        <v>804</v>
      </c>
      <c r="G75" t="s">
        <v>809</v>
      </c>
      <c r="H75">
        <v>1</v>
      </c>
      <c r="I75">
        <v>336.3</v>
      </c>
      <c r="J75">
        <v>0.1</v>
      </c>
      <c r="K75">
        <v>302.67</v>
      </c>
      <c r="L75" t="s">
        <v>815</v>
      </c>
    </row>
    <row r="76" spans="1:12" x14ac:dyDescent="0.3">
      <c r="A76" t="s">
        <v>86</v>
      </c>
      <c r="B76" s="2">
        <v>45707</v>
      </c>
      <c r="C76" t="s">
        <v>672</v>
      </c>
      <c r="D76" t="s">
        <v>785</v>
      </c>
      <c r="E76" t="s">
        <v>792</v>
      </c>
      <c r="F76" t="s">
        <v>804</v>
      </c>
      <c r="G76" t="s">
        <v>809</v>
      </c>
      <c r="H76">
        <v>4</v>
      </c>
      <c r="I76">
        <v>331.36</v>
      </c>
      <c r="J76">
        <v>0.1</v>
      </c>
      <c r="K76">
        <v>1192.9000000000001</v>
      </c>
      <c r="L76" t="s">
        <v>813</v>
      </c>
    </row>
    <row r="77" spans="1:12" x14ac:dyDescent="0.3">
      <c r="A77" t="s">
        <v>87</v>
      </c>
      <c r="B77" s="2">
        <v>45707</v>
      </c>
      <c r="C77" t="s">
        <v>648</v>
      </c>
      <c r="D77" t="s">
        <v>789</v>
      </c>
      <c r="E77" t="s">
        <v>792</v>
      </c>
      <c r="F77" t="s">
        <v>805</v>
      </c>
      <c r="G77" t="s">
        <v>810</v>
      </c>
      <c r="H77">
        <v>2</v>
      </c>
      <c r="I77">
        <v>45.79</v>
      </c>
      <c r="J77">
        <v>0</v>
      </c>
      <c r="K77">
        <v>91.58</v>
      </c>
      <c r="L77" t="s">
        <v>814</v>
      </c>
    </row>
    <row r="78" spans="1:12" x14ac:dyDescent="0.3">
      <c r="A78" t="s">
        <v>88</v>
      </c>
      <c r="B78" s="2">
        <v>45708</v>
      </c>
      <c r="C78" t="s">
        <v>673</v>
      </c>
      <c r="D78" t="s">
        <v>787</v>
      </c>
      <c r="E78" t="s">
        <v>794</v>
      </c>
      <c r="F78" t="s">
        <v>797</v>
      </c>
      <c r="G78" t="s">
        <v>809</v>
      </c>
      <c r="H78">
        <v>3</v>
      </c>
      <c r="I78">
        <v>240.71</v>
      </c>
      <c r="J78">
        <v>0.25</v>
      </c>
      <c r="K78">
        <v>541.6</v>
      </c>
      <c r="L78" t="s">
        <v>813</v>
      </c>
    </row>
    <row r="79" spans="1:12" x14ac:dyDescent="0.3">
      <c r="A79" t="s">
        <v>89</v>
      </c>
      <c r="B79" s="2">
        <v>45708</v>
      </c>
      <c r="C79" t="s">
        <v>674</v>
      </c>
      <c r="D79" t="s">
        <v>789</v>
      </c>
      <c r="E79" t="s">
        <v>792</v>
      </c>
      <c r="F79" t="s">
        <v>799</v>
      </c>
      <c r="G79" t="s">
        <v>809</v>
      </c>
      <c r="H79">
        <v>4</v>
      </c>
      <c r="I79">
        <v>53.53</v>
      </c>
      <c r="J79">
        <v>0.1</v>
      </c>
      <c r="K79">
        <v>192.71</v>
      </c>
      <c r="L79" t="s">
        <v>813</v>
      </c>
    </row>
    <row r="80" spans="1:12" x14ac:dyDescent="0.3">
      <c r="A80" t="s">
        <v>90</v>
      </c>
      <c r="B80" s="2">
        <v>45711</v>
      </c>
      <c r="C80" t="s">
        <v>675</v>
      </c>
      <c r="D80" t="s">
        <v>785</v>
      </c>
      <c r="E80" t="s">
        <v>792</v>
      </c>
      <c r="F80" t="s">
        <v>807</v>
      </c>
      <c r="G80" t="s">
        <v>810</v>
      </c>
      <c r="H80">
        <v>4</v>
      </c>
      <c r="I80">
        <v>842.8</v>
      </c>
      <c r="J80">
        <v>0.15</v>
      </c>
      <c r="K80">
        <v>2865.52</v>
      </c>
      <c r="L80" t="s">
        <v>815</v>
      </c>
    </row>
    <row r="81" spans="1:12" x14ac:dyDescent="0.3">
      <c r="A81" t="s">
        <v>91</v>
      </c>
      <c r="B81" s="2">
        <v>45711</v>
      </c>
      <c r="C81" t="s">
        <v>676</v>
      </c>
      <c r="D81" t="s">
        <v>790</v>
      </c>
      <c r="E81" t="s">
        <v>796</v>
      </c>
      <c r="F81" t="s">
        <v>800</v>
      </c>
      <c r="G81" t="s">
        <v>810</v>
      </c>
      <c r="H81">
        <v>7</v>
      </c>
      <c r="I81">
        <v>666.82</v>
      </c>
      <c r="J81">
        <v>0.15</v>
      </c>
      <c r="K81">
        <v>3967.58</v>
      </c>
      <c r="L81" t="s">
        <v>815</v>
      </c>
    </row>
    <row r="82" spans="1:12" x14ac:dyDescent="0.3">
      <c r="A82" t="s">
        <v>92</v>
      </c>
      <c r="B82" s="2">
        <v>45713</v>
      </c>
      <c r="C82" t="s">
        <v>647</v>
      </c>
      <c r="D82" t="s">
        <v>788</v>
      </c>
      <c r="E82" t="s">
        <v>795</v>
      </c>
      <c r="F82" t="s">
        <v>800</v>
      </c>
      <c r="G82" t="s">
        <v>810</v>
      </c>
      <c r="H82">
        <v>7</v>
      </c>
      <c r="I82">
        <v>707.59</v>
      </c>
      <c r="J82">
        <v>0.1</v>
      </c>
      <c r="K82">
        <v>4457.82</v>
      </c>
      <c r="L82" t="s">
        <v>814</v>
      </c>
    </row>
    <row r="83" spans="1:12" x14ac:dyDescent="0.3">
      <c r="A83" t="s">
        <v>93</v>
      </c>
      <c r="B83" s="2">
        <v>45716</v>
      </c>
      <c r="C83" t="s">
        <v>677</v>
      </c>
      <c r="D83" t="s">
        <v>788</v>
      </c>
      <c r="E83" t="s">
        <v>795</v>
      </c>
      <c r="F83" t="s">
        <v>807</v>
      </c>
      <c r="G83" t="s">
        <v>810</v>
      </c>
      <c r="H83">
        <v>5</v>
      </c>
      <c r="I83">
        <v>941.89</v>
      </c>
      <c r="J83">
        <v>0.1</v>
      </c>
      <c r="K83">
        <v>4238.5</v>
      </c>
      <c r="L83" t="s">
        <v>814</v>
      </c>
    </row>
    <row r="84" spans="1:12" x14ac:dyDescent="0.3">
      <c r="A84" t="s">
        <v>94</v>
      </c>
      <c r="B84" s="2">
        <v>45717</v>
      </c>
      <c r="C84" t="s">
        <v>678</v>
      </c>
      <c r="D84" t="s">
        <v>789</v>
      </c>
      <c r="E84" t="s">
        <v>792</v>
      </c>
      <c r="F84" t="s">
        <v>808</v>
      </c>
      <c r="G84" t="s">
        <v>812</v>
      </c>
      <c r="H84">
        <v>6</v>
      </c>
      <c r="I84">
        <v>73.09</v>
      </c>
      <c r="J84">
        <v>0</v>
      </c>
      <c r="K84">
        <v>438.54</v>
      </c>
      <c r="L84" t="s">
        <v>814</v>
      </c>
    </row>
    <row r="85" spans="1:12" x14ac:dyDescent="0.3">
      <c r="A85" t="s">
        <v>95</v>
      </c>
      <c r="B85" s="2">
        <v>45718</v>
      </c>
      <c r="C85" t="s">
        <v>679</v>
      </c>
      <c r="D85" t="s">
        <v>787</v>
      </c>
      <c r="E85" t="s">
        <v>794</v>
      </c>
      <c r="F85" t="s">
        <v>808</v>
      </c>
      <c r="G85" t="s">
        <v>812</v>
      </c>
      <c r="H85">
        <v>1</v>
      </c>
      <c r="I85">
        <v>81.87</v>
      </c>
      <c r="J85">
        <v>0.1</v>
      </c>
      <c r="K85">
        <v>73.680000000000007</v>
      </c>
      <c r="L85" t="s">
        <v>814</v>
      </c>
    </row>
    <row r="86" spans="1:12" x14ac:dyDescent="0.3">
      <c r="A86" t="s">
        <v>96</v>
      </c>
      <c r="B86" s="2">
        <v>45718</v>
      </c>
      <c r="C86" t="s">
        <v>680</v>
      </c>
      <c r="D86" t="s">
        <v>789</v>
      </c>
      <c r="E86" t="s">
        <v>792</v>
      </c>
      <c r="F86" t="s">
        <v>803</v>
      </c>
      <c r="G86" t="s">
        <v>810</v>
      </c>
      <c r="H86">
        <v>6</v>
      </c>
      <c r="I86">
        <v>127.4</v>
      </c>
      <c r="J86">
        <v>0.25</v>
      </c>
      <c r="K86">
        <v>573.29999999999995</v>
      </c>
      <c r="L86" t="s">
        <v>814</v>
      </c>
    </row>
    <row r="87" spans="1:12" x14ac:dyDescent="0.3">
      <c r="A87" t="s">
        <v>97</v>
      </c>
      <c r="B87" s="2">
        <v>45718</v>
      </c>
      <c r="C87" t="s">
        <v>679</v>
      </c>
      <c r="D87" t="s">
        <v>785</v>
      </c>
      <c r="E87" t="s">
        <v>792</v>
      </c>
      <c r="F87" t="s">
        <v>806</v>
      </c>
      <c r="G87" t="s">
        <v>810</v>
      </c>
      <c r="H87">
        <v>1</v>
      </c>
      <c r="I87">
        <v>86.35</v>
      </c>
      <c r="J87">
        <v>0.1</v>
      </c>
      <c r="K87">
        <v>77.72</v>
      </c>
      <c r="L87" t="s">
        <v>815</v>
      </c>
    </row>
    <row r="88" spans="1:12" x14ac:dyDescent="0.3">
      <c r="A88" t="s">
        <v>98</v>
      </c>
      <c r="B88" s="2">
        <v>45718</v>
      </c>
      <c r="C88" t="s">
        <v>626</v>
      </c>
      <c r="D88" t="s">
        <v>786</v>
      </c>
      <c r="E88" t="s">
        <v>793</v>
      </c>
      <c r="F88" t="s">
        <v>805</v>
      </c>
      <c r="G88" t="s">
        <v>810</v>
      </c>
      <c r="H88">
        <v>6</v>
      </c>
      <c r="I88">
        <v>41.24</v>
      </c>
      <c r="J88">
        <v>0.2</v>
      </c>
      <c r="K88">
        <v>197.95</v>
      </c>
      <c r="L88" t="s">
        <v>816</v>
      </c>
    </row>
    <row r="89" spans="1:12" x14ac:dyDescent="0.3">
      <c r="A89" t="s">
        <v>99</v>
      </c>
      <c r="B89" s="2">
        <v>45719</v>
      </c>
      <c r="C89" t="s">
        <v>664</v>
      </c>
      <c r="D89" t="s">
        <v>790</v>
      </c>
      <c r="E89" t="s">
        <v>796</v>
      </c>
      <c r="F89" t="s">
        <v>802</v>
      </c>
      <c r="G89" t="s">
        <v>811</v>
      </c>
      <c r="H89">
        <v>1</v>
      </c>
      <c r="I89">
        <v>233.69</v>
      </c>
      <c r="J89">
        <v>0.1</v>
      </c>
      <c r="K89">
        <v>210.32</v>
      </c>
      <c r="L89" t="s">
        <v>813</v>
      </c>
    </row>
    <row r="90" spans="1:12" x14ac:dyDescent="0.3">
      <c r="A90" t="s">
        <v>100</v>
      </c>
      <c r="B90" s="2">
        <v>45719</v>
      </c>
      <c r="C90" t="s">
        <v>670</v>
      </c>
      <c r="D90" t="s">
        <v>791</v>
      </c>
      <c r="E90" t="s">
        <v>792</v>
      </c>
      <c r="F90" t="s">
        <v>798</v>
      </c>
      <c r="G90" t="s">
        <v>810</v>
      </c>
      <c r="H90">
        <v>5</v>
      </c>
      <c r="I90">
        <v>293.22000000000003</v>
      </c>
      <c r="J90">
        <v>0.25</v>
      </c>
      <c r="K90">
        <v>1099.58</v>
      </c>
      <c r="L90" t="s">
        <v>814</v>
      </c>
    </row>
    <row r="91" spans="1:12" x14ac:dyDescent="0.3">
      <c r="A91" t="s">
        <v>101</v>
      </c>
      <c r="B91" s="2">
        <v>45720</v>
      </c>
      <c r="C91" t="s">
        <v>681</v>
      </c>
      <c r="D91" t="s">
        <v>790</v>
      </c>
      <c r="E91" t="s">
        <v>796</v>
      </c>
      <c r="F91" t="s">
        <v>802</v>
      </c>
      <c r="G91" t="s">
        <v>811</v>
      </c>
      <c r="H91">
        <v>3</v>
      </c>
      <c r="I91">
        <v>265.25</v>
      </c>
      <c r="J91">
        <v>0</v>
      </c>
      <c r="K91">
        <v>795.75</v>
      </c>
      <c r="L91" t="s">
        <v>816</v>
      </c>
    </row>
    <row r="92" spans="1:12" x14ac:dyDescent="0.3">
      <c r="A92" t="s">
        <v>102</v>
      </c>
      <c r="B92" s="2">
        <v>45721</v>
      </c>
      <c r="C92" t="s">
        <v>682</v>
      </c>
      <c r="D92" t="s">
        <v>786</v>
      </c>
      <c r="E92" t="s">
        <v>793</v>
      </c>
      <c r="F92" t="s">
        <v>797</v>
      </c>
      <c r="G92" t="s">
        <v>809</v>
      </c>
      <c r="H92">
        <v>4</v>
      </c>
      <c r="I92">
        <v>200.95</v>
      </c>
      <c r="J92">
        <v>0.3</v>
      </c>
      <c r="K92">
        <v>562.66</v>
      </c>
      <c r="L92" t="s">
        <v>813</v>
      </c>
    </row>
    <row r="93" spans="1:12" x14ac:dyDescent="0.3">
      <c r="A93" t="s">
        <v>103</v>
      </c>
      <c r="B93" s="2">
        <v>45722</v>
      </c>
      <c r="C93" t="s">
        <v>683</v>
      </c>
      <c r="D93" t="s">
        <v>790</v>
      </c>
      <c r="E93" t="s">
        <v>796</v>
      </c>
      <c r="F93" t="s">
        <v>805</v>
      </c>
      <c r="G93" t="s">
        <v>810</v>
      </c>
      <c r="H93">
        <v>2</v>
      </c>
      <c r="I93">
        <v>41.33</v>
      </c>
      <c r="J93">
        <v>0.05</v>
      </c>
      <c r="K93">
        <v>78.53</v>
      </c>
      <c r="L93" t="s">
        <v>815</v>
      </c>
    </row>
    <row r="94" spans="1:12" x14ac:dyDescent="0.3">
      <c r="A94" t="s">
        <v>104</v>
      </c>
      <c r="B94" s="2">
        <v>45722</v>
      </c>
      <c r="C94" t="s">
        <v>684</v>
      </c>
      <c r="D94" t="s">
        <v>789</v>
      </c>
      <c r="E94" t="s">
        <v>792</v>
      </c>
      <c r="F94" t="s">
        <v>806</v>
      </c>
      <c r="G94" t="s">
        <v>810</v>
      </c>
      <c r="H94">
        <v>3</v>
      </c>
      <c r="I94">
        <v>72.05</v>
      </c>
      <c r="J94">
        <v>0</v>
      </c>
      <c r="K94">
        <v>216.15</v>
      </c>
      <c r="L94" t="s">
        <v>813</v>
      </c>
    </row>
    <row r="95" spans="1:12" x14ac:dyDescent="0.3">
      <c r="A95" t="s">
        <v>105</v>
      </c>
      <c r="B95" s="2">
        <v>45722</v>
      </c>
      <c r="C95" t="s">
        <v>636</v>
      </c>
      <c r="D95" t="s">
        <v>790</v>
      </c>
      <c r="E95" t="s">
        <v>796</v>
      </c>
      <c r="F95" t="s">
        <v>807</v>
      </c>
      <c r="G95" t="s">
        <v>810</v>
      </c>
      <c r="H95">
        <v>8</v>
      </c>
      <c r="I95">
        <v>863.44</v>
      </c>
      <c r="J95">
        <v>0.15</v>
      </c>
      <c r="K95">
        <v>5871.39</v>
      </c>
      <c r="L95" t="s">
        <v>814</v>
      </c>
    </row>
    <row r="96" spans="1:12" x14ac:dyDescent="0.3">
      <c r="A96" t="s">
        <v>106</v>
      </c>
      <c r="B96" s="2">
        <v>45722</v>
      </c>
      <c r="C96" t="s">
        <v>685</v>
      </c>
      <c r="D96" t="s">
        <v>786</v>
      </c>
      <c r="E96" t="s">
        <v>793</v>
      </c>
      <c r="F96" t="s">
        <v>805</v>
      </c>
      <c r="G96" t="s">
        <v>810</v>
      </c>
      <c r="H96">
        <v>5</v>
      </c>
      <c r="I96">
        <v>40.79</v>
      </c>
      <c r="J96">
        <v>0.2</v>
      </c>
      <c r="K96">
        <v>163.16</v>
      </c>
      <c r="L96" t="s">
        <v>814</v>
      </c>
    </row>
    <row r="97" spans="1:12" x14ac:dyDescent="0.3">
      <c r="A97" t="s">
        <v>107</v>
      </c>
      <c r="B97" s="2">
        <v>45723</v>
      </c>
      <c r="C97" t="s">
        <v>686</v>
      </c>
      <c r="D97" t="s">
        <v>788</v>
      </c>
      <c r="E97" t="s">
        <v>795</v>
      </c>
      <c r="F97" t="s">
        <v>805</v>
      </c>
      <c r="G97" t="s">
        <v>810</v>
      </c>
      <c r="H97">
        <v>2</v>
      </c>
      <c r="I97">
        <v>47.18</v>
      </c>
      <c r="J97">
        <v>0.2</v>
      </c>
      <c r="K97">
        <v>75.489999999999995</v>
      </c>
      <c r="L97" t="s">
        <v>815</v>
      </c>
    </row>
    <row r="98" spans="1:12" x14ac:dyDescent="0.3">
      <c r="A98" t="s">
        <v>108</v>
      </c>
      <c r="B98" s="2">
        <v>45724</v>
      </c>
      <c r="C98" t="s">
        <v>641</v>
      </c>
      <c r="D98" t="s">
        <v>789</v>
      </c>
      <c r="E98" t="s">
        <v>792</v>
      </c>
      <c r="F98" t="s">
        <v>799</v>
      </c>
      <c r="G98" t="s">
        <v>809</v>
      </c>
      <c r="H98">
        <v>1</v>
      </c>
      <c r="I98">
        <v>59.3</v>
      </c>
      <c r="J98">
        <v>0.1</v>
      </c>
      <c r="K98">
        <v>53.37</v>
      </c>
      <c r="L98" t="s">
        <v>815</v>
      </c>
    </row>
    <row r="99" spans="1:12" x14ac:dyDescent="0.3">
      <c r="A99" t="s">
        <v>109</v>
      </c>
      <c r="B99" s="2">
        <v>45725</v>
      </c>
      <c r="C99" t="s">
        <v>656</v>
      </c>
      <c r="D99" t="s">
        <v>785</v>
      </c>
      <c r="E99" t="s">
        <v>792</v>
      </c>
      <c r="F99" t="s">
        <v>803</v>
      </c>
      <c r="G99" t="s">
        <v>810</v>
      </c>
      <c r="H99">
        <v>6</v>
      </c>
      <c r="I99">
        <v>122.95</v>
      </c>
      <c r="J99">
        <v>0.15</v>
      </c>
      <c r="K99">
        <v>627.04999999999995</v>
      </c>
      <c r="L99" t="s">
        <v>814</v>
      </c>
    </row>
    <row r="100" spans="1:12" x14ac:dyDescent="0.3">
      <c r="A100" t="s">
        <v>110</v>
      </c>
      <c r="B100" s="2">
        <v>45727</v>
      </c>
      <c r="C100" t="s">
        <v>630</v>
      </c>
      <c r="D100" t="s">
        <v>789</v>
      </c>
      <c r="E100" t="s">
        <v>792</v>
      </c>
      <c r="F100" t="s">
        <v>797</v>
      </c>
      <c r="G100" t="s">
        <v>809</v>
      </c>
      <c r="H100">
        <v>1</v>
      </c>
      <c r="I100">
        <v>239.68</v>
      </c>
      <c r="J100">
        <v>0.3</v>
      </c>
      <c r="K100">
        <v>167.78</v>
      </c>
      <c r="L100" t="s">
        <v>813</v>
      </c>
    </row>
    <row r="101" spans="1:12" x14ac:dyDescent="0.3">
      <c r="A101" t="s">
        <v>111</v>
      </c>
      <c r="B101" s="2">
        <v>45727</v>
      </c>
      <c r="C101" t="s">
        <v>621</v>
      </c>
      <c r="D101" t="s">
        <v>786</v>
      </c>
      <c r="E101" t="s">
        <v>793</v>
      </c>
      <c r="F101" t="s">
        <v>804</v>
      </c>
      <c r="G101" t="s">
        <v>809</v>
      </c>
      <c r="H101">
        <v>1</v>
      </c>
      <c r="I101">
        <v>362.49</v>
      </c>
      <c r="J101">
        <v>0.15</v>
      </c>
      <c r="K101">
        <v>308.12</v>
      </c>
      <c r="L101" t="s">
        <v>813</v>
      </c>
    </row>
    <row r="102" spans="1:12" x14ac:dyDescent="0.3">
      <c r="A102" t="s">
        <v>112</v>
      </c>
      <c r="B102" s="2">
        <v>45729</v>
      </c>
      <c r="C102" t="s">
        <v>617</v>
      </c>
      <c r="D102" t="s">
        <v>785</v>
      </c>
      <c r="E102" t="s">
        <v>792</v>
      </c>
      <c r="F102" t="s">
        <v>800</v>
      </c>
      <c r="G102" t="s">
        <v>810</v>
      </c>
      <c r="H102">
        <v>8</v>
      </c>
      <c r="I102">
        <v>615.87</v>
      </c>
      <c r="J102">
        <v>0</v>
      </c>
      <c r="K102">
        <v>4926.96</v>
      </c>
      <c r="L102" t="s">
        <v>813</v>
      </c>
    </row>
    <row r="103" spans="1:12" x14ac:dyDescent="0.3">
      <c r="A103" t="s">
        <v>113</v>
      </c>
      <c r="B103" s="2">
        <v>45730</v>
      </c>
      <c r="C103" t="s">
        <v>687</v>
      </c>
      <c r="D103" t="s">
        <v>787</v>
      </c>
      <c r="E103" t="s">
        <v>794</v>
      </c>
      <c r="F103" t="s">
        <v>799</v>
      </c>
      <c r="G103" t="s">
        <v>809</v>
      </c>
      <c r="H103">
        <v>2</v>
      </c>
      <c r="I103">
        <v>59.34</v>
      </c>
      <c r="J103">
        <v>0</v>
      </c>
      <c r="K103">
        <v>118.68</v>
      </c>
      <c r="L103" t="s">
        <v>814</v>
      </c>
    </row>
    <row r="104" spans="1:12" x14ac:dyDescent="0.3">
      <c r="A104" t="s">
        <v>114</v>
      </c>
      <c r="B104" s="2">
        <v>45730</v>
      </c>
      <c r="C104" t="s">
        <v>688</v>
      </c>
      <c r="D104" t="s">
        <v>788</v>
      </c>
      <c r="E104" t="s">
        <v>795</v>
      </c>
      <c r="F104" t="s">
        <v>797</v>
      </c>
      <c r="G104" t="s">
        <v>809</v>
      </c>
      <c r="H104">
        <v>7</v>
      </c>
      <c r="I104">
        <v>209.14</v>
      </c>
      <c r="J104">
        <v>0.1</v>
      </c>
      <c r="K104">
        <v>1317.58</v>
      </c>
      <c r="L104" t="s">
        <v>816</v>
      </c>
    </row>
    <row r="105" spans="1:12" x14ac:dyDescent="0.3">
      <c r="A105" t="s">
        <v>115</v>
      </c>
      <c r="B105" s="2">
        <v>45730</v>
      </c>
      <c r="C105" t="s">
        <v>617</v>
      </c>
      <c r="D105" t="s">
        <v>790</v>
      </c>
      <c r="E105" t="s">
        <v>796</v>
      </c>
      <c r="F105" t="s">
        <v>804</v>
      </c>
      <c r="G105" t="s">
        <v>809</v>
      </c>
      <c r="H105">
        <v>7</v>
      </c>
      <c r="I105">
        <v>371.5</v>
      </c>
      <c r="J105">
        <v>0.2</v>
      </c>
      <c r="K105">
        <v>2080.4</v>
      </c>
      <c r="L105" t="s">
        <v>813</v>
      </c>
    </row>
    <row r="106" spans="1:12" x14ac:dyDescent="0.3">
      <c r="A106" t="s">
        <v>116</v>
      </c>
      <c r="B106" s="2">
        <v>45731</v>
      </c>
      <c r="C106" t="s">
        <v>629</v>
      </c>
      <c r="D106" t="s">
        <v>785</v>
      </c>
      <c r="E106" t="s">
        <v>792</v>
      </c>
      <c r="F106" t="s">
        <v>806</v>
      </c>
      <c r="G106" t="s">
        <v>810</v>
      </c>
      <c r="H106">
        <v>2</v>
      </c>
      <c r="I106">
        <v>84.35</v>
      </c>
      <c r="J106">
        <v>0.1</v>
      </c>
      <c r="K106">
        <v>151.83000000000001</v>
      </c>
      <c r="L106" t="s">
        <v>814</v>
      </c>
    </row>
    <row r="107" spans="1:12" x14ac:dyDescent="0.3">
      <c r="A107" t="s">
        <v>117</v>
      </c>
      <c r="B107" s="2">
        <v>45731</v>
      </c>
      <c r="C107" t="s">
        <v>689</v>
      </c>
      <c r="D107" t="s">
        <v>785</v>
      </c>
      <c r="E107" t="s">
        <v>792</v>
      </c>
      <c r="F107" t="s">
        <v>800</v>
      </c>
      <c r="G107" t="s">
        <v>810</v>
      </c>
      <c r="H107">
        <v>4</v>
      </c>
      <c r="I107">
        <v>586.17999999999995</v>
      </c>
      <c r="J107">
        <v>0.2</v>
      </c>
      <c r="K107">
        <v>1875.78</v>
      </c>
      <c r="L107" t="s">
        <v>814</v>
      </c>
    </row>
    <row r="108" spans="1:12" x14ac:dyDescent="0.3">
      <c r="A108" t="s">
        <v>118</v>
      </c>
      <c r="B108" s="2">
        <v>45734</v>
      </c>
      <c r="C108" t="s">
        <v>690</v>
      </c>
      <c r="D108" t="s">
        <v>787</v>
      </c>
      <c r="E108" t="s">
        <v>794</v>
      </c>
      <c r="F108" t="s">
        <v>806</v>
      </c>
      <c r="G108" t="s">
        <v>810</v>
      </c>
      <c r="H108">
        <v>5</v>
      </c>
      <c r="I108">
        <v>86.24</v>
      </c>
      <c r="J108">
        <v>0.2</v>
      </c>
      <c r="K108">
        <v>344.96</v>
      </c>
      <c r="L108" t="s">
        <v>815</v>
      </c>
    </row>
    <row r="109" spans="1:12" x14ac:dyDescent="0.3">
      <c r="A109" t="s">
        <v>119</v>
      </c>
      <c r="B109" s="2">
        <v>45735</v>
      </c>
      <c r="C109" t="s">
        <v>691</v>
      </c>
      <c r="D109" t="s">
        <v>787</v>
      </c>
      <c r="E109" t="s">
        <v>794</v>
      </c>
      <c r="F109" t="s">
        <v>797</v>
      </c>
      <c r="G109" t="s">
        <v>809</v>
      </c>
      <c r="H109">
        <v>4</v>
      </c>
      <c r="I109">
        <v>232.57</v>
      </c>
      <c r="J109">
        <v>0</v>
      </c>
      <c r="K109">
        <v>930.28</v>
      </c>
      <c r="L109" t="s">
        <v>814</v>
      </c>
    </row>
    <row r="110" spans="1:12" x14ac:dyDescent="0.3">
      <c r="A110" t="s">
        <v>120</v>
      </c>
      <c r="B110" s="2">
        <v>45735</v>
      </c>
      <c r="C110" t="s">
        <v>669</v>
      </c>
      <c r="D110" t="s">
        <v>786</v>
      </c>
      <c r="E110" t="s">
        <v>793</v>
      </c>
      <c r="F110" t="s">
        <v>799</v>
      </c>
      <c r="G110" t="s">
        <v>809</v>
      </c>
      <c r="H110">
        <v>6</v>
      </c>
      <c r="I110">
        <v>58.58</v>
      </c>
      <c r="J110">
        <v>0</v>
      </c>
      <c r="K110">
        <v>351.48</v>
      </c>
      <c r="L110" t="s">
        <v>814</v>
      </c>
    </row>
    <row r="111" spans="1:12" x14ac:dyDescent="0.3">
      <c r="A111" t="s">
        <v>121</v>
      </c>
      <c r="B111" s="2">
        <v>45735</v>
      </c>
      <c r="C111" t="s">
        <v>665</v>
      </c>
      <c r="D111" t="s">
        <v>787</v>
      </c>
      <c r="E111" t="s">
        <v>794</v>
      </c>
      <c r="F111" t="s">
        <v>797</v>
      </c>
      <c r="G111" t="s">
        <v>809</v>
      </c>
      <c r="H111">
        <v>2</v>
      </c>
      <c r="I111">
        <v>198.71</v>
      </c>
      <c r="J111">
        <v>0.2</v>
      </c>
      <c r="K111">
        <v>317.94</v>
      </c>
      <c r="L111" t="s">
        <v>814</v>
      </c>
    </row>
    <row r="112" spans="1:12" x14ac:dyDescent="0.3">
      <c r="A112" t="s">
        <v>122</v>
      </c>
      <c r="B112" s="2">
        <v>45739</v>
      </c>
      <c r="C112" t="s">
        <v>635</v>
      </c>
      <c r="D112" t="s">
        <v>788</v>
      </c>
      <c r="E112" t="s">
        <v>795</v>
      </c>
      <c r="F112" t="s">
        <v>807</v>
      </c>
      <c r="G112" t="s">
        <v>810</v>
      </c>
      <c r="H112">
        <v>2</v>
      </c>
      <c r="I112">
        <v>988.64</v>
      </c>
      <c r="J112">
        <v>0.1</v>
      </c>
      <c r="K112">
        <v>1779.55</v>
      </c>
      <c r="L112" t="s">
        <v>815</v>
      </c>
    </row>
    <row r="113" spans="1:12" x14ac:dyDescent="0.3">
      <c r="A113" t="s">
        <v>123</v>
      </c>
      <c r="B113" s="2">
        <v>45739</v>
      </c>
      <c r="C113" t="s">
        <v>660</v>
      </c>
      <c r="D113" t="s">
        <v>787</v>
      </c>
      <c r="E113" t="s">
        <v>794</v>
      </c>
      <c r="F113" t="s">
        <v>798</v>
      </c>
      <c r="G113" t="s">
        <v>810</v>
      </c>
      <c r="H113">
        <v>2</v>
      </c>
      <c r="I113">
        <v>277.73</v>
      </c>
      <c r="J113">
        <v>0.05</v>
      </c>
      <c r="K113">
        <v>527.69000000000005</v>
      </c>
      <c r="L113" t="s">
        <v>813</v>
      </c>
    </row>
    <row r="114" spans="1:12" x14ac:dyDescent="0.3">
      <c r="A114" t="s">
        <v>124</v>
      </c>
      <c r="B114" s="2">
        <v>45740</v>
      </c>
      <c r="C114" t="s">
        <v>647</v>
      </c>
      <c r="D114" t="s">
        <v>787</v>
      </c>
      <c r="E114" t="s">
        <v>794</v>
      </c>
      <c r="F114" t="s">
        <v>806</v>
      </c>
      <c r="G114" t="s">
        <v>810</v>
      </c>
      <c r="H114">
        <v>7</v>
      </c>
      <c r="I114">
        <v>77.010000000000005</v>
      </c>
      <c r="J114">
        <v>0.25</v>
      </c>
      <c r="K114">
        <v>404.3</v>
      </c>
      <c r="L114" t="s">
        <v>813</v>
      </c>
    </row>
    <row r="115" spans="1:12" x14ac:dyDescent="0.3">
      <c r="A115" t="s">
        <v>125</v>
      </c>
      <c r="B115" s="2">
        <v>45740</v>
      </c>
      <c r="C115" t="s">
        <v>632</v>
      </c>
      <c r="D115" t="s">
        <v>785</v>
      </c>
      <c r="E115" t="s">
        <v>792</v>
      </c>
      <c r="F115" t="s">
        <v>801</v>
      </c>
      <c r="G115" t="s">
        <v>811</v>
      </c>
      <c r="H115">
        <v>2</v>
      </c>
      <c r="I115">
        <v>13.67</v>
      </c>
      <c r="J115">
        <v>0.15</v>
      </c>
      <c r="K115">
        <v>23.24</v>
      </c>
      <c r="L115" t="s">
        <v>816</v>
      </c>
    </row>
    <row r="116" spans="1:12" x14ac:dyDescent="0.3">
      <c r="A116" t="s">
        <v>126</v>
      </c>
      <c r="B116" s="2">
        <v>45740</v>
      </c>
      <c r="C116" t="s">
        <v>692</v>
      </c>
      <c r="D116" t="s">
        <v>785</v>
      </c>
      <c r="E116" t="s">
        <v>792</v>
      </c>
      <c r="F116" t="s">
        <v>806</v>
      </c>
      <c r="G116" t="s">
        <v>810</v>
      </c>
      <c r="H116">
        <v>6</v>
      </c>
      <c r="I116">
        <v>86.69</v>
      </c>
      <c r="J116">
        <v>0.05</v>
      </c>
      <c r="K116">
        <v>494.13</v>
      </c>
      <c r="L116" t="s">
        <v>813</v>
      </c>
    </row>
    <row r="117" spans="1:12" x14ac:dyDescent="0.3">
      <c r="A117" t="s">
        <v>127</v>
      </c>
      <c r="B117" s="2">
        <v>45741</v>
      </c>
      <c r="C117" t="s">
        <v>693</v>
      </c>
      <c r="D117" t="s">
        <v>787</v>
      </c>
      <c r="E117" t="s">
        <v>794</v>
      </c>
      <c r="F117" t="s">
        <v>808</v>
      </c>
      <c r="G117" t="s">
        <v>812</v>
      </c>
      <c r="H117">
        <v>4</v>
      </c>
      <c r="I117">
        <v>73.58</v>
      </c>
      <c r="J117">
        <v>0.1</v>
      </c>
      <c r="K117">
        <v>264.89</v>
      </c>
      <c r="L117" t="s">
        <v>815</v>
      </c>
    </row>
    <row r="118" spans="1:12" x14ac:dyDescent="0.3">
      <c r="A118" t="s">
        <v>128</v>
      </c>
      <c r="B118" s="2">
        <v>45741</v>
      </c>
      <c r="C118" t="s">
        <v>633</v>
      </c>
      <c r="D118" t="s">
        <v>785</v>
      </c>
      <c r="E118" t="s">
        <v>792</v>
      </c>
      <c r="F118" t="s">
        <v>807</v>
      </c>
      <c r="G118" t="s">
        <v>810</v>
      </c>
      <c r="H118">
        <v>7</v>
      </c>
      <c r="I118">
        <v>929.28</v>
      </c>
      <c r="J118">
        <v>0</v>
      </c>
      <c r="K118">
        <v>6504.96</v>
      </c>
      <c r="L118" t="s">
        <v>815</v>
      </c>
    </row>
    <row r="119" spans="1:12" x14ac:dyDescent="0.3">
      <c r="A119" t="s">
        <v>129</v>
      </c>
      <c r="B119" s="2">
        <v>45741</v>
      </c>
      <c r="C119" t="s">
        <v>633</v>
      </c>
      <c r="D119" t="s">
        <v>790</v>
      </c>
      <c r="E119" t="s">
        <v>796</v>
      </c>
      <c r="F119" t="s">
        <v>806</v>
      </c>
      <c r="G119" t="s">
        <v>810</v>
      </c>
      <c r="H119">
        <v>6</v>
      </c>
      <c r="I119">
        <v>78.09</v>
      </c>
      <c r="J119">
        <v>0.3</v>
      </c>
      <c r="K119">
        <v>327.98</v>
      </c>
      <c r="L119" t="s">
        <v>814</v>
      </c>
    </row>
    <row r="120" spans="1:12" x14ac:dyDescent="0.3">
      <c r="A120" t="s">
        <v>130</v>
      </c>
      <c r="B120" s="2">
        <v>45741</v>
      </c>
      <c r="C120" t="s">
        <v>613</v>
      </c>
      <c r="D120" t="s">
        <v>790</v>
      </c>
      <c r="E120" t="s">
        <v>796</v>
      </c>
      <c r="F120" t="s">
        <v>802</v>
      </c>
      <c r="G120" t="s">
        <v>811</v>
      </c>
      <c r="H120">
        <v>8</v>
      </c>
      <c r="I120">
        <v>245.05</v>
      </c>
      <c r="J120">
        <v>0.15</v>
      </c>
      <c r="K120">
        <v>1666.34</v>
      </c>
      <c r="L120" t="s">
        <v>813</v>
      </c>
    </row>
    <row r="121" spans="1:12" x14ac:dyDescent="0.3">
      <c r="A121" t="s">
        <v>131</v>
      </c>
      <c r="B121" s="2">
        <v>45742</v>
      </c>
      <c r="C121" t="s">
        <v>694</v>
      </c>
      <c r="D121" t="s">
        <v>785</v>
      </c>
      <c r="E121" t="s">
        <v>792</v>
      </c>
      <c r="F121" t="s">
        <v>799</v>
      </c>
      <c r="G121" t="s">
        <v>809</v>
      </c>
      <c r="H121">
        <v>2</v>
      </c>
      <c r="I121">
        <v>50.53</v>
      </c>
      <c r="J121">
        <v>0.05</v>
      </c>
      <c r="K121">
        <v>96.01</v>
      </c>
      <c r="L121" t="s">
        <v>813</v>
      </c>
    </row>
    <row r="122" spans="1:12" x14ac:dyDescent="0.3">
      <c r="A122" t="s">
        <v>132</v>
      </c>
      <c r="B122" s="2">
        <v>45743</v>
      </c>
      <c r="C122" t="s">
        <v>695</v>
      </c>
      <c r="D122" t="s">
        <v>790</v>
      </c>
      <c r="E122" t="s">
        <v>796</v>
      </c>
      <c r="F122" t="s">
        <v>808</v>
      </c>
      <c r="G122" t="s">
        <v>812</v>
      </c>
      <c r="H122">
        <v>4</v>
      </c>
      <c r="I122">
        <v>77.959999999999994</v>
      </c>
      <c r="J122">
        <v>0.15</v>
      </c>
      <c r="K122">
        <v>265.06</v>
      </c>
      <c r="L122" t="s">
        <v>815</v>
      </c>
    </row>
    <row r="123" spans="1:12" x14ac:dyDescent="0.3">
      <c r="A123" t="s">
        <v>133</v>
      </c>
      <c r="B123" s="2">
        <v>45743</v>
      </c>
      <c r="C123" t="s">
        <v>643</v>
      </c>
      <c r="D123" t="s">
        <v>788</v>
      </c>
      <c r="E123" t="s">
        <v>795</v>
      </c>
      <c r="F123" t="s">
        <v>801</v>
      </c>
      <c r="G123" t="s">
        <v>811</v>
      </c>
      <c r="H123">
        <v>5</v>
      </c>
      <c r="I123">
        <v>14.19</v>
      </c>
      <c r="J123">
        <v>0</v>
      </c>
      <c r="K123">
        <v>70.95</v>
      </c>
      <c r="L123" t="s">
        <v>814</v>
      </c>
    </row>
    <row r="124" spans="1:12" x14ac:dyDescent="0.3">
      <c r="A124" t="s">
        <v>134</v>
      </c>
      <c r="B124" s="2">
        <v>45743</v>
      </c>
      <c r="C124" t="s">
        <v>696</v>
      </c>
      <c r="D124" t="s">
        <v>785</v>
      </c>
      <c r="E124" t="s">
        <v>792</v>
      </c>
      <c r="F124" t="s">
        <v>807</v>
      </c>
      <c r="G124" t="s">
        <v>810</v>
      </c>
      <c r="H124">
        <v>4</v>
      </c>
      <c r="I124">
        <v>987.6</v>
      </c>
      <c r="J124">
        <v>0</v>
      </c>
      <c r="K124">
        <v>3950.4</v>
      </c>
      <c r="L124" t="s">
        <v>815</v>
      </c>
    </row>
    <row r="125" spans="1:12" x14ac:dyDescent="0.3">
      <c r="A125" t="s">
        <v>135</v>
      </c>
      <c r="B125" s="2">
        <v>45744</v>
      </c>
      <c r="C125" t="s">
        <v>697</v>
      </c>
      <c r="D125" t="s">
        <v>789</v>
      </c>
      <c r="E125" t="s">
        <v>792</v>
      </c>
      <c r="F125" t="s">
        <v>800</v>
      </c>
      <c r="G125" t="s">
        <v>810</v>
      </c>
      <c r="H125">
        <v>7</v>
      </c>
      <c r="I125">
        <v>700</v>
      </c>
      <c r="J125">
        <v>0.2</v>
      </c>
      <c r="K125">
        <v>3920</v>
      </c>
      <c r="L125" t="s">
        <v>816</v>
      </c>
    </row>
    <row r="126" spans="1:12" x14ac:dyDescent="0.3">
      <c r="A126" t="s">
        <v>136</v>
      </c>
      <c r="B126" s="2">
        <v>45745</v>
      </c>
      <c r="C126" t="s">
        <v>612</v>
      </c>
      <c r="D126" t="s">
        <v>785</v>
      </c>
      <c r="E126" t="s">
        <v>792</v>
      </c>
      <c r="F126" t="s">
        <v>804</v>
      </c>
      <c r="G126" t="s">
        <v>809</v>
      </c>
      <c r="H126">
        <v>7</v>
      </c>
      <c r="I126">
        <v>321.43</v>
      </c>
      <c r="J126">
        <v>0.25</v>
      </c>
      <c r="K126">
        <v>1687.51</v>
      </c>
      <c r="L126" t="s">
        <v>815</v>
      </c>
    </row>
    <row r="127" spans="1:12" x14ac:dyDescent="0.3">
      <c r="A127" t="s">
        <v>137</v>
      </c>
      <c r="B127" s="2">
        <v>45747</v>
      </c>
      <c r="C127" t="s">
        <v>698</v>
      </c>
      <c r="D127" t="s">
        <v>785</v>
      </c>
      <c r="E127" t="s">
        <v>792</v>
      </c>
      <c r="F127" t="s">
        <v>805</v>
      </c>
      <c r="G127" t="s">
        <v>810</v>
      </c>
      <c r="H127">
        <v>5</v>
      </c>
      <c r="I127">
        <v>45.93</v>
      </c>
      <c r="J127">
        <v>0</v>
      </c>
      <c r="K127">
        <v>229.65</v>
      </c>
      <c r="L127" t="s">
        <v>814</v>
      </c>
    </row>
    <row r="128" spans="1:12" x14ac:dyDescent="0.3">
      <c r="A128" t="s">
        <v>138</v>
      </c>
      <c r="B128" s="2">
        <v>45747</v>
      </c>
      <c r="C128" t="s">
        <v>699</v>
      </c>
      <c r="D128" t="s">
        <v>785</v>
      </c>
      <c r="E128" t="s">
        <v>792</v>
      </c>
      <c r="F128" t="s">
        <v>803</v>
      </c>
      <c r="G128" t="s">
        <v>810</v>
      </c>
      <c r="H128">
        <v>2</v>
      </c>
      <c r="I128">
        <v>124.39</v>
      </c>
      <c r="J128">
        <v>0</v>
      </c>
      <c r="K128">
        <v>248.78</v>
      </c>
      <c r="L128" t="s">
        <v>814</v>
      </c>
    </row>
    <row r="129" spans="1:12" x14ac:dyDescent="0.3">
      <c r="A129" t="s">
        <v>139</v>
      </c>
      <c r="B129" s="2">
        <v>45747</v>
      </c>
      <c r="C129" t="s">
        <v>675</v>
      </c>
      <c r="D129" t="s">
        <v>788</v>
      </c>
      <c r="E129" t="s">
        <v>795</v>
      </c>
      <c r="F129" t="s">
        <v>801</v>
      </c>
      <c r="G129" t="s">
        <v>811</v>
      </c>
      <c r="H129">
        <v>7</v>
      </c>
      <c r="I129">
        <v>15.18</v>
      </c>
      <c r="J129">
        <v>0.15</v>
      </c>
      <c r="K129">
        <v>90.32</v>
      </c>
      <c r="L129" t="s">
        <v>814</v>
      </c>
    </row>
    <row r="130" spans="1:12" x14ac:dyDescent="0.3">
      <c r="A130" t="s">
        <v>140</v>
      </c>
      <c r="B130" s="2">
        <v>45747</v>
      </c>
      <c r="C130" t="s">
        <v>666</v>
      </c>
      <c r="D130" t="s">
        <v>788</v>
      </c>
      <c r="E130" t="s">
        <v>795</v>
      </c>
      <c r="F130" t="s">
        <v>802</v>
      </c>
      <c r="G130" t="s">
        <v>811</v>
      </c>
      <c r="H130">
        <v>4</v>
      </c>
      <c r="I130">
        <v>260.88</v>
      </c>
      <c r="J130">
        <v>0.1</v>
      </c>
      <c r="K130">
        <v>939.17</v>
      </c>
      <c r="L130" t="s">
        <v>816</v>
      </c>
    </row>
    <row r="131" spans="1:12" x14ac:dyDescent="0.3">
      <c r="A131" t="s">
        <v>141</v>
      </c>
      <c r="B131" s="2">
        <v>45749</v>
      </c>
      <c r="C131" t="s">
        <v>700</v>
      </c>
      <c r="D131" t="s">
        <v>786</v>
      </c>
      <c r="E131" t="s">
        <v>793</v>
      </c>
      <c r="F131" t="s">
        <v>797</v>
      </c>
      <c r="G131" t="s">
        <v>809</v>
      </c>
      <c r="H131">
        <v>6</v>
      </c>
      <c r="I131">
        <v>203.78</v>
      </c>
      <c r="J131">
        <v>0.2</v>
      </c>
      <c r="K131">
        <v>978.14</v>
      </c>
      <c r="L131" t="s">
        <v>816</v>
      </c>
    </row>
    <row r="132" spans="1:12" x14ac:dyDescent="0.3">
      <c r="A132" t="s">
        <v>142</v>
      </c>
      <c r="B132" s="2">
        <v>45749</v>
      </c>
      <c r="C132" t="s">
        <v>701</v>
      </c>
      <c r="D132" t="s">
        <v>788</v>
      </c>
      <c r="E132" t="s">
        <v>795</v>
      </c>
      <c r="F132" t="s">
        <v>802</v>
      </c>
      <c r="G132" t="s">
        <v>811</v>
      </c>
      <c r="H132">
        <v>8</v>
      </c>
      <c r="I132">
        <v>247.13</v>
      </c>
      <c r="J132">
        <v>0.15</v>
      </c>
      <c r="K132">
        <v>1680.48</v>
      </c>
      <c r="L132" t="s">
        <v>816</v>
      </c>
    </row>
    <row r="133" spans="1:12" x14ac:dyDescent="0.3">
      <c r="A133" t="s">
        <v>143</v>
      </c>
      <c r="B133" s="2">
        <v>45750</v>
      </c>
      <c r="C133" t="s">
        <v>663</v>
      </c>
      <c r="D133" t="s">
        <v>789</v>
      </c>
      <c r="E133" t="s">
        <v>792</v>
      </c>
      <c r="F133" t="s">
        <v>806</v>
      </c>
      <c r="G133" t="s">
        <v>810</v>
      </c>
      <c r="H133">
        <v>1</v>
      </c>
      <c r="I133">
        <v>79.89</v>
      </c>
      <c r="J133">
        <v>0</v>
      </c>
      <c r="K133">
        <v>79.89</v>
      </c>
      <c r="L133" t="s">
        <v>814</v>
      </c>
    </row>
    <row r="134" spans="1:12" x14ac:dyDescent="0.3">
      <c r="A134" t="s">
        <v>144</v>
      </c>
      <c r="B134" s="2">
        <v>45750</v>
      </c>
      <c r="C134" t="s">
        <v>697</v>
      </c>
      <c r="D134" t="s">
        <v>789</v>
      </c>
      <c r="E134" t="s">
        <v>792</v>
      </c>
      <c r="F134" t="s">
        <v>802</v>
      </c>
      <c r="G134" t="s">
        <v>811</v>
      </c>
      <c r="H134">
        <v>1</v>
      </c>
      <c r="I134">
        <v>235.18</v>
      </c>
      <c r="J134">
        <v>0.05</v>
      </c>
      <c r="K134">
        <v>223.42</v>
      </c>
      <c r="L134" t="s">
        <v>815</v>
      </c>
    </row>
    <row r="135" spans="1:12" x14ac:dyDescent="0.3">
      <c r="A135" t="s">
        <v>145</v>
      </c>
      <c r="B135" s="2">
        <v>45750</v>
      </c>
      <c r="C135" t="s">
        <v>641</v>
      </c>
      <c r="D135" t="s">
        <v>785</v>
      </c>
      <c r="E135" t="s">
        <v>792</v>
      </c>
      <c r="F135" t="s">
        <v>808</v>
      </c>
      <c r="G135" t="s">
        <v>812</v>
      </c>
      <c r="H135">
        <v>2</v>
      </c>
      <c r="I135">
        <v>81.11</v>
      </c>
      <c r="J135">
        <v>0.05</v>
      </c>
      <c r="K135">
        <v>154.11000000000001</v>
      </c>
      <c r="L135" t="s">
        <v>815</v>
      </c>
    </row>
    <row r="136" spans="1:12" x14ac:dyDescent="0.3">
      <c r="A136" t="s">
        <v>146</v>
      </c>
      <c r="B136" s="2">
        <v>45751</v>
      </c>
      <c r="C136" t="s">
        <v>670</v>
      </c>
      <c r="D136" t="s">
        <v>788</v>
      </c>
      <c r="E136" t="s">
        <v>795</v>
      </c>
      <c r="F136" t="s">
        <v>800</v>
      </c>
      <c r="G136" t="s">
        <v>810</v>
      </c>
      <c r="H136">
        <v>5</v>
      </c>
      <c r="I136">
        <v>677.06</v>
      </c>
      <c r="J136">
        <v>0.1</v>
      </c>
      <c r="K136">
        <v>3046.77</v>
      </c>
      <c r="L136" t="s">
        <v>815</v>
      </c>
    </row>
    <row r="137" spans="1:12" x14ac:dyDescent="0.3">
      <c r="A137" t="s">
        <v>147</v>
      </c>
      <c r="B137" s="2">
        <v>45752</v>
      </c>
      <c r="C137" t="s">
        <v>654</v>
      </c>
      <c r="D137" t="s">
        <v>790</v>
      </c>
      <c r="E137" t="s">
        <v>796</v>
      </c>
      <c r="F137" t="s">
        <v>799</v>
      </c>
      <c r="G137" t="s">
        <v>809</v>
      </c>
      <c r="H137">
        <v>1</v>
      </c>
      <c r="I137">
        <v>59.98</v>
      </c>
      <c r="J137">
        <v>0.05</v>
      </c>
      <c r="K137">
        <v>56.98</v>
      </c>
      <c r="L137" t="s">
        <v>815</v>
      </c>
    </row>
    <row r="138" spans="1:12" x14ac:dyDescent="0.3">
      <c r="A138" t="s">
        <v>148</v>
      </c>
      <c r="B138" s="2">
        <v>45752</v>
      </c>
      <c r="C138" t="s">
        <v>688</v>
      </c>
      <c r="D138" t="s">
        <v>789</v>
      </c>
      <c r="E138" t="s">
        <v>792</v>
      </c>
      <c r="F138" t="s">
        <v>807</v>
      </c>
      <c r="G138" t="s">
        <v>810</v>
      </c>
      <c r="H138">
        <v>8</v>
      </c>
      <c r="I138">
        <v>972.96</v>
      </c>
      <c r="J138">
        <v>0</v>
      </c>
      <c r="K138">
        <v>7783.68</v>
      </c>
      <c r="L138" t="s">
        <v>814</v>
      </c>
    </row>
    <row r="139" spans="1:12" x14ac:dyDescent="0.3">
      <c r="A139" t="s">
        <v>149</v>
      </c>
      <c r="B139" s="2">
        <v>45753</v>
      </c>
      <c r="C139" t="s">
        <v>702</v>
      </c>
      <c r="D139" t="s">
        <v>790</v>
      </c>
      <c r="E139" t="s">
        <v>796</v>
      </c>
      <c r="F139" t="s">
        <v>797</v>
      </c>
      <c r="G139" t="s">
        <v>809</v>
      </c>
      <c r="H139">
        <v>2</v>
      </c>
      <c r="I139">
        <v>209.48</v>
      </c>
      <c r="J139">
        <v>0</v>
      </c>
      <c r="K139">
        <v>418.96</v>
      </c>
      <c r="L139" t="s">
        <v>816</v>
      </c>
    </row>
    <row r="140" spans="1:12" x14ac:dyDescent="0.3">
      <c r="A140" t="s">
        <v>150</v>
      </c>
      <c r="B140" s="2">
        <v>45753</v>
      </c>
      <c r="C140" t="s">
        <v>703</v>
      </c>
      <c r="D140" t="s">
        <v>789</v>
      </c>
      <c r="E140" t="s">
        <v>792</v>
      </c>
      <c r="F140" t="s">
        <v>798</v>
      </c>
      <c r="G140" t="s">
        <v>810</v>
      </c>
      <c r="H140">
        <v>6</v>
      </c>
      <c r="I140">
        <v>285.07</v>
      </c>
      <c r="J140">
        <v>0.2</v>
      </c>
      <c r="K140">
        <v>1368.34</v>
      </c>
      <c r="L140" t="s">
        <v>815</v>
      </c>
    </row>
    <row r="141" spans="1:12" x14ac:dyDescent="0.3">
      <c r="A141" t="s">
        <v>151</v>
      </c>
      <c r="B141" s="2">
        <v>45754</v>
      </c>
      <c r="C141" t="s">
        <v>617</v>
      </c>
      <c r="D141" t="s">
        <v>790</v>
      </c>
      <c r="E141" t="s">
        <v>796</v>
      </c>
      <c r="F141" t="s">
        <v>807</v>
      </c>
      <c r="G141" t="s">
        <v>810</v>
      </c>
      <c r="H141">
        <v>4</v>
      </c>
      <c r="I141">
        <v>943.46</v>
      </c>
      <c r="J141">
        <v>0.1</v>
      </c>
      <c r="K141">
        <v>3396.46</v>
      </c>
      <c r="L141" t="s">
        <v>816</v>
      </c>
    </row>
    <row r="142" spans="1:12" x14ac:dyDescent="0.3">
      <c r="A142" t="s">
        <v>152</v>
      </c>
      <c r="B142" s="2">
        <v>45755</v>
      </c>
      <c r="C142" t="s">
        <v>704</v>
      </c>
      <c r="D142" t="s">
        <v>789</v>
      </c>
      <c r="E142" t="s">
        <v>792</v>
      </c>
      <c r="F142" t="s">
        <v>802</v>
      </c>
      <c r="G142" t="s">
        <v>811</v>
      </c>
      <c r="H142">
        <v>7</v>
      </c>
      <c r="I142">
        <v>244.65</v>
      </c>
      <c r="J142">
        <v>0.2</v>
      </c>
      <c r="K142">
        <v>1370.04</v>
      </c>
      <c r="L142" t="s">
        <v>815</v>
      </c>
    </row>
    <row r="143" spans="1:12" x14ac:dyDescent="0.3">
      <c r="A143" t="s">
        <v>153</v>
      </c>
      <c r="B143" s="2">
        <v>45756</v>
      </c>
      <c r="C143" t="s">
        <v>655</v>
      </c>
      <c r="D143" t="s">
        <v>785</v>
      </c>
      <c r="E143" t="s">
        <v>792</v>
      </c>
      <c r="F143" t="s">
        <v>805</v>
      </c>
      <c r="G143" t="s">
        <v>810</v>
      </c>
      <c r="H143">
        <v>0</v>
      </c>
      <c r="I143">
        <v>46.46</v>
      </c>
      <c r="J143">
        <v>0.15</v>
      </c>
      <c r="K143">
        <v>39.49</v>
      </c>
      <c r="L143" t="s">
        <v>814</v>
      </c>
    </row>
    <row r="144" spans="1:12" x14ac:dyDescent="0.3">
      <c r="A144" t="s">
        <v>154</v>
      </c>
      <c r="B144" s="2">
        <v>45756</v>
      </c>
      <c r="C144" t="s">
        <v>629</v>
      </c>
      <c r="D144" t="s">
        <v>790</v>
      </c>
      <c r="E144" t="s">
        <v>796</v>
      </c>
      <c r="F144" t="s">
        <v>797</v>
      </c>
      <c r="G144" t="s">
        <v>809</v>
      </c>
      <c r="H144">
        <v>2</v>
      </c>
      <c r="I144">
        <v>216.63</v>
      </c>
      <c r="J144">
        <v>0.1</v>
      </c>
      <c r="K144">
        <v>389.93</v>
      </c>
      <c r="L144" t="s">
        <v>815</v>
      </c>
    </row>
    <row r="145" spans="1:12" x14ac:dyDescent="0.3">
      <c r="A145" t="s">
        <v>155</v>
      </c>
      <c r="B145" s="2">
        <v>45758</v>
      </c>
      <c r="C145" t="s">
        <v>633</v>
      </c>
      <c r="D145" t="s">
        <v>785</v>
      </c>
      <c r="E145" t="s">
        <v>792</v>
      </c>
      <c r="F145" t="s">
        <v>802</v>
      </c>
      <c r="G145" t="s">
        <v>811</v>
      </c>
      <c r="H145">
        <v>4</v>
      </c>
      <c r="I145">
        <v>237.34</v>
      </c>
      <c r="J145">
        <v>0.15</v>
      </c>
      <c r="K145">
        <v>806.96</v>
      </c>
      <c r="L145" t="s">
        <v>813</v>
      </c>
    </row>
    <row r="146" spans="1:12" x14ac:dyDescent="0.3">
      <c r="A146" t="s">
        <v>156</v>
      </c>
      <c r="B146" s="2">
        <v>45758</v>
      </c>
      <c r="C146" t="s">
        <v>631</v>
      </c>
      <c r="D146" t="s">
        <v>788</v>
      </c>
      <c r="E146" t="s">
        <v>795</v>
      </c>
      <c r="F146" t="s">
        <v>800</v>
      </c>
      <c r="G146" t="s">
        <v>810</v>
      </c>
      <c r="H146">
        <v>3</v>
      </c>
      <c r="I146">
        <v>668.63</v>
      </c>
      <c r="J146">
        <v>0.1</v>
      </c>
      <c r="K146">
        <v>1805.3</v>
      </c>
      <c r="L146" t="s">
        <v>815</v>
      </c>
    </row>
    <row r="147" spans="1:12" x14ac:dyDescent="0.3">
      <c r="A147" t="s">
        <v>157</v>
      </c>
      <c r="B147" s="2">
        <v>45759</v>
      </c>
      <c r="C147" t="s">
        <v>705</v>
      </c>
      <c r="D147" t="s">
        <v>787</v>
      </c>
      <c r="E147" t="s">
        <v>794</v>
      </c>
      <c r="F147" t="s">
        <v>802</v>
      </c>
      <c r="G147" t="s">
        <v>811</v>
      </c>
      <c r="H147">
        <v>3</v>
      </c>
      <c r="I147">
        <v>234.52</v>
      </c>
      <c r="J147">
        <v>0</v>
      </c>
      <c r="K147">
        <v>703.56</v>
      </c>
      <c r="L147" t="s">
        <v>814</v>
      </c>
    </row>
    <row r="148" spans="1:12" x14ac:dyDescent="0.3">
      <c r="A148" t="s">
        <v>158</v>
      </c>
      <c r="B148" s="2">
        <v>45760</v>
      </c>
      <c r="C148" t="s">
        <v>706</v>
      </c>
      <c r="D148" t="s">
        <v>790</v>
      </c>
      <c r="E148" t="s">
        <v>796</v>
      </c>
      <c r="F148" t="s">
        <v>805</v>
      </c>
      <c r="G148" t="s">
        <v>810</v>
      </c>
      <c r="H148">
        <v>7</v>
      </c>
      <c r="I148">
        <v>42.48</v>
      </c>
      <c r="J148">
        <v>0.2</v>
      </c>
      <c r="K148">
        <v>237.89</v>
      </c>
      <c r="L148" t="s">
        <v>816</v>
      </c>
    </row>
    <row r="149" spans="1:12" x14ac:dyDescent="0.3">
      <c r="A149" t="s">
        <v>159</v>
      </c>
      <c r="B149" s="2">
        <v>45760</v>
      </c>
      <c r="C149" t="s">
        <v>703</v>
      </c>
      <c r="D149" t="s">
        <v>787</v>
      </c>
      <c r="E149" t="s">
        <v>794</v>
      </c>
      <c r="F149" t="s">
        <v>804</v>
      </c>
      <c r="G149" t="s">
        <v>809</v>
      </c>
      <c r="H149">
        <v>1</v>
      </c>
      <c r="I149">
        <v>372.95</v>
      </c>
      <c r="J149">
        <v>0.05</v>
      </c>
      <c r="K149">
        <v>354.3</v>
      </c>
      <c r="L149" t="s">
        <v>816</v>
      </c>
    </row>
    <row r="150" spans="1:12" x14ac:dyDescent="0.3">
      <c r="A150" t="s">
        <v>160</v>
      </c>
      <c r="B150" s="2">
        <v>45760</v>
      </c>
      <c r="C150" t="s">
        <v>685</v>
      </c>
      <c r="D150" t="s">
        <v>790</v>
      </c>
      <c r="E150" t="s">
        <v>796</v>
      </c>
      <c r="F150" t="s">
        <v>804</v>
      </c>
      <c r="G150" t="s">
        <v>809</v>
      </c>
      <c r="H150">
        <v>5</v>
      </c>
      <c r="I150">
        <v>357.55</v>
      </c>
      <c r="J150">
        <v>0.05</v>
      </c>
      <c r="K150">
        <v>1698.36</v>
      </c>
      <c r="L150" t="s">
        <v>813</v>
      </c>
    </row>
    <row r="151" spans="1:12" x14ac:dyDescent="0.3">
      <c r="A151" t="s">
        <v>161</v>
      </c>
      <c r="B151" s="2">
        <v>45761</v>
      </c>
      <c r="C151" t="s">
        <v>623</v>
      </c>
      <c r="D151" t="s">
        <v>790</v>
      </c>
      <c r="E151" t="s">
        <v>796</v>
      </c>
      <c r="F151" t="s">
        <v>805</v>
      </c>
      <c r="G151" t="s">
        <v>810</v>
      </c>
      <c r="H151">
        <v>5</v>
      </c>
      <c r="I151">
        <v>45.79</v>
      </c>
      <c r="J151">
        <v>0.15</v>
      </c>
      <c r="K151">
        <v>194.61</v>
      </c>
      <c r="L151" t="s">
        <v>815</v>
      </c>
    </row>
    <row r="152" spans="1:12" x14ac:dyDescent="0.3">
      <c r="A152" t="s">
        <v>162</v>
      </c>
      <c r="B152" s="2">
        <v>45761</v>
      </c>
      <c r="C152" t="s">
        <v>661</v>
      </c>
      <c r="D152" t="s">
        <v>786</v>
      </c>
      <c r="E152" t="s">
        <v>793</v>
      </c>
      <c r="F152" t="s">
        <v>805</v>
      </c>
      <c r="G152" t="s">
        <v>810</v>
      </c>
      <c r="H152">
        <v>3</v>
      </c>
      <c r="I152">
        <v>43.82</v>
      </c>
      <c r="J152">
        <v>0.25</v>
      </c>
      <c r="K152">
        <v>98.6</v>
      </c>
      <c r="L152" t="s">
        <v>813</v>
      </c>
    </row>
    <row r="153" spans="1:12" x14ac:dyDescent="0.3">
      <c r="A153" t="s">
        <v>163</v>
      </c>
      <c r="B153" s="2">
        <v>45761</v>
      </c>
      <c r="C153" t="s">
        <v>707</v>
      </c>
      <c r="D153" t="s">
        <v>788</v>
      </c>
      <c r="E153" t="s">
        <v>795</v>
      </c>
      <c r="F153" t="s">
        <v>808</v>
      </c>
      <c r="G153" t="s">
        <v>812</v>
      </c>
      <c r="H153">
        <v>1</v>
      </c>
      <c r="I153">
        <v>80.97</v>
      </c>
      <c r="J153">
        <v>0.2</v>
      </c>
      <c r="K153">
        <v>64.78</v>
      </c>
      <c r="L153" t="s">
        <v>814</v>
      </c>
    </row>
    <row r="154" spans="1:12" x14ac:dyDescent="0.3">
      <c r="A154" t="s">
        <v>164</v>
      </c>
      <c r="B154" s="2">
        <v>45761</v>
      </c>
      <c r="C154" t="s">
        <v>708</v>
      </c>
      <c r="D154" t="s">
        <v>788</v>
      </c>
      <c r="E154" t="s">
        <v>795</v>
      </c>
      <c r="F154" t="s">
        <v>798</v>
      </c>
      <c r="G154" t="s">
        <v>810</v>
      </c>
      <c r="H154">
        <v>2</v>
      </c>
      <c r="I154">
        <v>285.25</v>
      </c>
      <c r="J154">
        <v>0.05</v>
      </c>
      <c r="K154">
        <v>541.98</v>
      </c>
      <c r="L154" t="s">
        <v>814</v>
      </c>
    </row>
    <row r="155" spans="1:12" x14ac:dyDescent="0.3">
      <c r="A155" t="s">
        <v>165</v>
      </c>
      <c r="B155" s="2">
        <v>45762</v>
      </c>
      <c r="C155" t="s">
        <v>709</v>
      </c>
      <c r="D155" t="s">
        <v>785</v>
      </c>
      <c r="E155" t="s">
        <v>792</v>
      </c>
      <c r="F155" t="s">
        <v>802</v>
      </c>
      <c r="G155" t="s">
        <v>811</v>
      </c>
      <c r="H155">
        <v>3</v>
      </c>
      <c r="I155">
        <v>242.74</v>
      </c>
      <c r="J155">
        <v>0.25</v>
      </c>
      <c r="K155">
        <v>546.16</v>
      </c>
      <c r="L155" t="s">
        <v>815</v>
      </c>
    </row>
    <row r="156" spans="1:12" x14ac:dyDescent="0.3">
      <c r="A156" t="s">
        <v>166</v>
      </c>
      <c r="B156" s="2">
        <v>45762</v>
      </c>
      <c r="C156" t="s">
        <v>612</v>
      </c>
      <c r="D156" t="s">
        <v>789</v>
      </c>
      <c r="E156" t="s">
        <v>792</v>
      </c>
      <c r="F156" t="s">
        <v>803</v>
      </c>
      <c r="G156" t="s">
        <v>810</v>
      </c>
      <c r="H156">
        <v>2</v>
      </c>
      <c r="I156">
        <v>130.6</v>
      </c>
      <c r="J156">
        <v>0.2</v>
      </c>
      <c r="K156">
        <v>208.96</v>
      </c>
      <c r="L156" t="s">
        <v>815</v>
      </c>
    </row>
    <row r="157" spans="1:12" x14ac:dyDescent="0.3">
      <c r="A157" t="s">
        <v>167</v>
      </c>
      <c r="B157" s="2">
        <v>45763</v>
      </c>
      <c r="C157" t="s">
        <v>625</v>
      </c>
      <c r="D157" t="s">
        <v>789</v>
      </c>
      <c r="E157" t="s">
        <v>792</v>
      </c>
      <c r="F157" t="s">
        <v>799</v>
      </c>
      <c r="G157" t="s">
        <v>809</v>
      </c>
      <c r="H157">
        <v>6</v>
      </c>
      <c r="I157">
        <v>52.25</v>
      </c>
      <c r="J157">
        <v>0.05</v>
      </c>
      <c r="K157">
        <v>297.82</v>
      </c>
      <c r="L157" t="s">
        <v>813</v>
      </c>
    </row>
    <row r="158" spans="1:12" x14ac:dyDescent="0.3">
      <c r="A158" t="s">
        <v>168</v>
      </c>
      <c r="B158" s="2">
        <v>45764</v>
      </c>
      <c r="C158" t="s">
        <v>710</v>
      </c>
      <c r="D158" t="s">
        <v>787</v>
      </c>
      <c r="E158" t="s">
        <v>794</v>
      </c>
      <c r="F158" t="s">
        <v>805</v>
      </c>
      <c r="G158" t="s">
        <v>810</v>
      </c>
      <c r="H158">
        <v>7</v>
      </c>
      <c r="I158">
        <v>47.85</v>
      </c>
      <c r="J158">
        <v>0</v>
      </c>
      <c r="K158">
        <v>334.95</v>
      </c>
      <c r="L158" t="s">
        <v>814</v>
      </c>
    </row>
    <row r="159" spans="1:12" x14ac:dyDescent="0.3">
      <c r="A159" t="s">
        <v>169</v>
      </c>
      <c r="B159" s="2">
        <v>45765</v>
      </c>
      <c r="C159" t="s">
        <v>708</v>
      </c>
      <c r="D159" t="s">
        <v>787</v>
      </c>
      <c r="E159" t="s">
        <v>794</v>
      </c>
      <c r="F159" t="s">
        <v>803</v>
      </c>
      <c r="G159" t="s">
        <v>810</v>
      </c>
      <c r="H159">
        <v>6</v>
      </c>
      <c r="I159">
        <v>128.74</v>
      </c>
      <c r="J159">
        <v>0.1</v>
      </c>
      <c r="K159">
        <v>695.2</v>
      </c>
      <c r="L159" t="s">
        <v>813</v>
      </c>
    </row>
    <row r="160" spans="1:12" x14ac:dyDescent="0.3">
      <c r="A160" t="s">
        <v>170</v>
      </c>
      <c r="B160" s="2">
        <v>45765</v>
      </c>
      <c r="C160" t="s">
        <v>708</v>
      </c>
      <c r="D160" t="s">
        <v>786</v>
      </c>
      <c r="E160" t="s">
        <v>793</v>
      </c>
      <c r="F160" t="s">
        <v>802</v>
      </c>
      <c r="G160" t="s">
        <v>811</v>
      </c>
      <c r="H160">
        <v>1</v>
      </c>
      <c r="I160">
        <v>246.2</v>
      </c>
      <c r="J160">
        <v>0</v>
      </c>
      <c r="K160">
        <v>246.2</v>
      </c>
      <c r="L160" t="s">
        <v>814</v>
      </c>
    </row>
    <row r="161" spans="1:12" x14ac:dyDescent="0.3">
      <c r="A161" t="s">
        <v>171</v>
      </c>
      <c r="B161" s="2">
        <v>45766</v>
      </c>
      <c r="C161" t="s">
        <v>711</v>
      </c>
      <c r="D161" t="s">
        <v>786</v>
      </c>
      <c r="E161" t="s">
        <v>793</v>
      </c>
      <c r="F161" t="s">
        <v>807</v>
      </c>
      <c r="G161" t="s">
        <v>810</v>
      </c>
      <c r="H161">
        <v>5</v>
      </c>
      <c r="I161">
        <v>861.91</v>
      </c>
      <c r="J161">
        <v>0.25</v>
      </c>
      <c r="K161">
        <v>3232.16</v>
      </c>
      <c r="L161" t="s">
        <v>814</v>
      </c>
    </row>
    <row r="162" spans="1:12" x14ac:dyDescent="0.3">
      <c r="A162" t="s">
        <v>172</v>
      </c>
      <c r="B162" s="2">
        <v>45766</v>
      </c>
      <c r="C162" t="s">
        <v>712</v>
      </c>
      <c r="D162" t="s">
        <v>788</v>
      </c>
      <c r="E162" t="s">
        <v>795</v>
      </c>
      <c r="F162" t="s">
        <v>801</v>
      </c>
      <c r="G162" t="s">
        <v>811</v>
      </c>
      <c r="H162">
        <v>8</v>
      </c>
      <c r="I162">
        <v>15.24</v>
      </c>
      <c r="J162">
        <v>0.1</v>
      </c>
      <c r="K162">
        <v>109.73</v>
      </c>
      <c r="L162" t="s">
        <v>813</v>
      </c>
    </row>
    <row r="163" spans="1:12" x14ac:dyDescent="0.3">
      <c r="A163" t="s">
        <v>173</v>
      </c>
      <c r="B163" s="2">
        <v>45767</v>
      </c>
      <c r="C163" t="s">
        <v>615</v>
      </c>
      <c r="D163" t="s">
        <v>786</v>
      </c>
      <c r="E163" t="s">
        <v>793</v>
      </c>
      <c r="F163" t="s">
        <v>797</v>
      </c>
      <c r="G163" t="s">
        <v>809</v>
      </c>
      <c r="H163">
        <v>3</v>
      </c>
      <c r="I163">
        <v>237.73</v>
      </c>
      <c r="J163">
        <v>0.2</v>
      </c>
      <c r="K163">
        <v>570.54999999999995</v>
      </c>
      <c r="L163" t="s">
        <v>815</v>
      </c>
    </row>
    <row r="164" spans="1:12" x14ac:dyDescent="0.3">
      <c r="A164" t="s">
        <v>174</v>
      </c>
      <c r="B164" s="2">
        <v>45768</v>
      </c>
      <c r="C164" t="s">
        <v>713</v>
      </c>
      <c r="D164" t="s">
        <v>787</v>
      </c>
      <c r="E164" t="s">
        <v>794</v>
      </c>
      <c r="F164" t="s">
        <v>801</v>
      </c>
      <c r="G164" t="s">
        <v>811</v>
      </c>
      <c r="H164">
        <v>4</v>
      </c>
      <c r="I164">
        <v>16.239999999999998</v>
      </c>
      <c r="J164">
        <v>0</v>
      </c>
      <c r="K164">
        <v>64.959999999999994</v>
      </c>
      <c r="L164" t="s">
        <v>814</v>
      </c>
    </row>
    <row r="165" spans="1:12" x14ac:dyDescent="0.3">
      <c r="A165" t="s">
        <v>175</v>
      </c>
      <c r="B165" s="2">
        <v>45768</v>
      </c>
      <c r="C165" t="s">
        <v>714</v>
      </c>
      <c r="D165" t="s">
        <v>787</v>
      </c>
      <c r="E165" t="s">
        <v>794</v>
      </c>
      <c r="F165" t="s">
        <v>800</v>
      </c>
      <c r="G165" t="s">
        <v>810</v>
      </c>
      <c r="H165">
        <v>3</v>
      </c>
      <c r="I165">
        <v>590.21</v>
      </c>
      <c r="J165">
        <v>0.05</v>
      </c>
      <c r="K165">
        <v>1682.1</v>
      </c>
      <c r="L165" t="s">
        <v>814</v>
      </c>
    </row>
    <row r="166" spans="1:12" x14ac:dyDescent="0.3">
      <c r="A166" t="s">
        <v>176</v>
      </c>
      <c r="B166" s="2">
        <v>45768</v>
      </c>
      <c r="C166" t="s">
        <v>715</v>
      </c>
      <c r="D166" t="s">
        <v>789</v>
      </c>
      <c r="E166" t="s">
        <v>792</v>
      </c>
      <c r="F166" t="s">
        <v>807</v>
      </c>
      <c r="G166" t="s">
        <v>810</v>
      </c>
      <c r="H166">
        <v>3</v>
      </c>
      <c r="I166">
        <v>863.48</v>
      </c>
      <c r="J166">
        <v>0.1</v>
      </c>
      <c r="K166">
        <v>2331.4</v>
      </c>
      <c r="L166" t="s">
        <v>815</v>
      </c>
    </row>
    <row r="167" spans="1:12" x14ac:dyDescent="0.3">
      <c r="A167" t="s">
        <v>177</v>
      </c>
      <c r="B167" s="2">
        <v>45768</v>
      </c>
      <c r="C167" t="s">
        <v>716</v>
      </c>
      <c r="D167" t="s">
        <v>789</v>
      </c>
      <c r="E167" t="s">
        <v>792</v>
      </c>
      <c r="F167" t="s">
        <v>808</v>
      </c>
      <c r="G167" t="s">
        <v>812</v>
      </c>
      <c r="H167">
        <v>1</v>
      </c>
      <c r="I167">
        <v>69.37</v>
      </c>
      <c r="J167">
        <v>0.1</v>
      </c>
      <c r="K167">
        <v>62.43</v>
      </c>
      <c r="L167" t="s">
        <v>815</v>
      </c>
    </row>
    <row r="168" spans="1:12" x14ac:dyDescent="0.3">
      <c r="A168" t="s">
        <v>178</v>
      </c>
      <c r="B168" s="2">
        <v>45768</v>
      </c>
      <c r="C168" t="s">
        <v>717</v>
      </c>
      <c r="D168" t="s">
        <v>786</v>
      </c>
      <c r="E168" t="s">
        <v>793</v>
      </c>
      <c r="F168" t="s">
        <v>797</v>
      </c>
      <c r="G168" t="s">
        <v>809</v>
      </c>
      <c r="H168">
        <v>3</v>
      </c>
      <c r="I168">
        <v>205.27</v>
      </c>
      <c r="J168">
        <v>0.1</v>
      </c>
      <c r="K168">
        <v>554.23</v>
      </c>
      <c r="L168" t="s">
        <v>816</v>
      </c>
    </row>
    <row r="169" spans="1:12" x14ac:dyDescent="0.3">
      <c r="A169" t="s">
        <v>179</v>
      </c>
      <c r="B169" s="2">
        <v>45769</v>
      </c>
      <c r="C169" t="s">
        <v>718</v>
      </c>
      <c r="D169" t="s">
        <v>789</v>
      </c>
      <c r="E169" t="s">
        <v>792</v>
      </c>
      <c r="F169" t="s">
        <v>805</v>
      </c>
      <c r="G169" t="s">
        <v>810</v>
      </c>
      <c r="H169">
        <v>1</v>
      </c>
      <c r="I169">
        <v>40.57</v>
      </c>
      <c r="J169">
        <v>0.05</v>
      </c>
      <c r="K169">
        <v>38.54</v>
      </c>
      <c r="L169" t="s">
        <v>814</v>
      </c>
    </row>
    <row r="170" spans="1:12" x14ac:dyDescent="0.3">
      <c r="A170" t="s">
        <v>180</v>
      </c>
      <c r="B170" s="2">
        <v>45770</v>
      </c>
      <c r="C170" t="s">
        <v>641</v>
      </c>
      <c r="D170" t="s">
        <v>788</v>
      </c>
      <c r="E170" t="s">
        <v>795</v>
      </c>
      <c r="F170" t="s">
        <v>800</v>
      </c>
      <c r="G170" t="s">
        <v>810</v>
      </c>
      <c r="H170">
        <v>8</v>
      </c>
      <c r="I170">
        <v>613.33000000000004</v>
      </c>
      <c r="J170">
        <v>0.3</v>
      </c>
      <c r="K170">
        <v>3434.65</v>
      </c>
      <c r="L170" t="s">
        <v>815</v>
      </c>
    </row>
    <row r="171" spans="1:12" x14ac:dyDescent="0.3">
      <c r="A171" t="s">
        <v>181</v>
      </c>
      <c r="B171" s="2">
        <v>45770</v>
      </c>
      <c r="C171" t="s">
        <v>719</v>
      </c>
      <c r="D171" t="s">
        <v>786</v>
      </c>
      <c r="E171" t="s">
        <v>793</v>
      </c>
      <c r="F171" t="s">
        <v>807</v>
      </c>
      <c r="G171" t="s">
        <v>810</v>
      </c>
      <c r="H171">
        <v>3</v>
      </c>
      <c r="I171">
        <v>880.64</v>
      </c>
      <c r="J171">
        <v>0.15</v>
      </c>
      <c r="K171">
        <v>2245.63</v>
      </c>
      <c r="L171" t="s">
        <v>816</v>
      </c>
    </row>
    <row r="172" spans="1:12" x14ac:dyDescent="0.3">
      <c r="A172" t="s">
        <v>182</v>
      </c>
      <c r="B172" s="2">
        <v>45771</v>
      </c>
      <c r="C172" t="s">
        <v>624</v>
      </c>
      <c r="D172" t="s">
        <v>789</v>
      </c>
      <c r="E172" t="s">
        <v>792</v>
      </c>
      <c r="F172" t="s">
        <v>802</v>
      </c>
      <c r="G172" t="s">
        <v>811</v>
      </c>
      <c r="H172">
        <v>7</v>
      </c>
      <c r="I172">
        <v>267.20999999999998</v>
      </c>
      <c r="J172">
        <v>0.25</v>
      </c>
      <c r="K172">
        <v>1402.85</v>
      </c>
      <c r="L172" t="s">
        <v>814</v>
      </c>
    </row>
    <row r="173" spans="1:12" x14ac:dyDescent="0.3">
      <c r="A173" t="s">
        <v>183</v>
      </c>
      <c r="B173" s="2">
        <v>45772</v>
      </c>
      <c r="C173" t="s">
        <v>720</v>
      </c>
      <c r="D173" t="s">
        <v>789</v>
      </c>
      <c r="E173" t="s">
        <v>792</v>
      </c>
      <c r="F173" t="s">
        <v>801</v>
      </c>
      <c r="G173" t="s">
        <v>811</v>
      </c>
      <c r="H173">
        <v>8</v>
      </c>
      <c r="I173">
        <v>16.170000000000002</v>
      </c>
      <c r="J173">
        <v>0.05</v>
      </c>
      <c r="K173">
        <v>122.89</v>
      </c>
      <c r="L173" t="s">
        <v>814</v>
      </c>
    </row>
    <row r="174" spans="1:12" x14ac:dyDescent="0.3">
      <c r="A174" t="s">
        <v>184</v>
      </c>
      <c r="B174" s="2">
        <v>45774</v>
      </c>
      <c r="C174" t="s">
        <v>630</v>
      </c>
      <c r="D174" t="s">
        <v>789</v>
      </c>
      <c r="E174" t="s">
        <v>792</v>
      </c>
      <c r="F174" t="s">
        <v>803</v>
      </c>
      <c r="G174" t="s">
        <v>810</v>
      </c>
      <c r="H174">
        <v>6</v>
      </c>
      <c r="I174">
        <v>124.69</v>
      </c>
      <c r="J174">
        <v>0.15</v>
      </c>
      <c r="K174">
        <v>635.91999999999996</v>
      </c>
      <c r="L174" t="s">
        <v>816</v>
      </c>
    </row>
    <row r="175" spans="1:12" x14ac:dyDescent="0.3">
      <c r="A175" t="s">
        <v>185</v>
      </c>
      <c r="B175" s="2">
        <v>45774</v>
      </c>
      <c r="C175" t="s">
        <v>721</v>
      </c>
      <c r="D175" t="s">
        <v>786</v>
      </c>
      <c r="E175" t="s">
        <v>793</v>
      </c>
      <c r="F175" t="s">
        <v>799</v>
      </c>
      <c r="G175" t="s">
        <v>809</v>
      </c>
      <c r="H175">
        <v>6</v>
      </c>
      <c r="I175">
        <v>53.9</v>
      </c>
      <c r="J175">
        <v>0.1</v>
      </c>
      <c r="K175">
        <v>291.06</v>
      </c>
      <c r="L175" t="s">
        <v>814</v>
      </c>
    </row>
    <row r="176" spans="1:12" x14ac:dyDescent="0.3">
      <c r="A176" t="s">
        <v>186</v>
      </c>
      <c r="B176" s="2">
        <v>45774</v>
      </c>
      <c r="C176" t="s">
        <v>693</v>
      </c>
      <c r="D176" t="s">
        <v>787</v>
      </c>
      <c r="E176" t="s">
        <v>794</v>
      </c>
      <c r="F176" t="s">
        <v>808</v>
      </c>
      <c r="G176" t="s">
        <v>812</v>
      </c>
      <c r="H176">
        <v>8</v>
      </c>
      <c r="I176">
        <v>74.87</v>
      </c>
      <c r="J176">
        <v>0</v>
      </c>
      <c r="K176">
        <v>598.96</v>
      </c>
      <c r="L176" t="s">
        <v>815</v>
      </c>
    </row>
    <row r="177" spans="1:12" x14ac:dyDescent="0.3">
      <c r="A177" t="s">
        <v>187</v>
      </c>
      <c r="B177" s="2">
        <v>45774</v>
      </c>
      <c r="C177" t="s">
        <v>688</v>
      </c>
      <c r="D177" t="s">
        <v>788</v>
      </c>
      <c r="E177" t="s">
        <v>795</v>
      </c>
      <c r="F177" t="s">
        <v>805</v>
      </c>
      <c r="G177" t="s">
        <v>810</v>
      </c>
      <c r="H177">
        <v>7</v>
      </c>
      <c r="I177">
        <v>43.25</v>
      </c>
      <c r="J177">
        <v>0.05</v>
      </c>
      <c r="K177">
        <v>287.61</v>
      </c>
      <c r="L177" t="s">
        <v>814</v>
      </c>
    </row>
    <row r="178" spans="1:12" x14ac:dyDescent="0.3">
      <c r="A178" t="s">
        <v>188</v>
      </c>
      <c r="B178" s="2">
        <v>45774</v>
      </c>
      <c r="C178" t="s">
        <v>675</v>
      </c>
      <c r="D178" t="s">
        <v>787</v>
      </c>
      <c r="E178" t="s">
        <v>794</v>
      </c>
      <c r="F178" t="s">
        <v>800</v>
      </c>
      <c r="G178" t="s">
        <v>810</v>
      </c>
      <c r="H178">
        <v>1</v>
      </c>
      <c r="I178">
        <v>637.67999999999995</v>
      </c>
      <c r="J178">
        <v>0.1</v>
      </c>
      <c r="K178">
        <v>573.91</v>
      </c>
      <c r="L178" t="s">
        <v>813</v>
      </c>
    </row>
    <row r="179" spans="1:12" x14ac:dyDescent="0.3">
      <c r="A179" t="s">
        <v>189</v>
      </c>
      <c r="B179" s="2">
        <v>45775</v>
      </c>
      <c r="C179" t="s">
        <v>623</v>
      </c>
      <c r="D179" t="s">
        <v>788</v>
      </c>
      <c r="E179" t="s">
        <v>795</v>
      </c>
      <c r="F179" t="s">
        <v>797</v>
      </c>
      <c r="G179" t="s">
        <v>809</v>
      </c>
      <c r="H179">
        <v>5</v>
      </c>
      <c r="I179">
        <v>208.43</v>
      </c>
      <c r="J179">
        <v>0.05</v>
      </c>
      <c r="K179">
        <v>990.04</v>
      </c>
      <c r="L179" t="s">
        <v>813</v>
      </c>
    </row>
    <row r="180" spans="1:12" x14ac:dyDescent="0.3">
      <c r="A180" t="s">
        <v>190</v>
      </c>
      <c r="B180" s="2">
        <v>45775</v>
      </c>
      <c r="C180" t="s">
        <v>633</v>
      </c>
      <c r="D180" t="s">
        <v>790</v>
      </c>
      <c r="E180" t="s">
        <v>796</v>
      </c>
      <c r="F180" t="s">
        <v>808</v>
      </c>
      <c r="G180" t="s">
        <v>812</v>
      </c>
      <c r="H180">
        <v>2</v>
      </c>
      <c r="I180">
        <v>76.14</v>
      </c>
      <c r="J180">
        <v>0.25</v>
      </c>
      <c r="K180">
        <v>114.21</v>
      </c>
      <c r="L180" t="s">
        <v>814</v>
      </c>
    </row>
    <row r="181" spans="1:12" x14ac:dyDescent="0.3">
      <c r="A181" t="s">
        <v>191</v>
      </c>
      <c r="B181" s="2">
        <v>45775</v>
      </c>
      <c r="C181" t="s">
        <v>722</v>
      </c>
      <c r="D181" t="s">
        <v>786</v>
      </c>
      <c r="E181" t="s">
        <v>793</v>
      </c>
      <c r="F181" t="s">
        <v>797</v>
      </c>
      <c r="G181" t="s">
        <v>809</v>
      </c>
      <c r="H181">
        <v>6</v>
      </c>
      <c r="I181">
        <v>229.42</v>
      </c>
      <c r="J181">
        <v>0.1</v>
      </c>
      <c r="K181">
        <v>1238.8699999999999</v>
      </c>
      <c r="L181" t="s">
        <v>813</v>
      </c>
    </row>
    <row r="182" spans="1:12" x14ac:dyDescent="0.3">
      <c r="A182" t="s">
        <v>192</v>
      </c>
      <c r="B182" s="2">
        <v>45776</v>
      </c>
      <c r="C182" t="s">
        <v>705</v>
      </c>
      <c r="D182" t="s">
        <v>789</v>
      </c>
      <c r="E182" t="s">
        <v>792</v>
      </c>
      <c r="F182" t="s">
        <v>800</v>
      </c>
      <c r="G182" t="s">
        <v>810</v>
      </c>
      <c r="H182">
        <v>1</v>
      </c>
      <c r="I182">
        <v>654.04999999999995</v>
      </c>
      <c r="J182">
        <v>0.25</v>
      </c>
      <c r="K182">
        <v>490.54</v>
      </c>
      <c r="L182" t="s">
        <v>814</v>
      </c>
    </row>
    <row r="183" spans="1:12" x14ac:dyDescent="0.3">
      <c r="A183" t="s">
        <v>193</v>
      </c>
      <c r="B183" s="2">
        <v>45777</v>
      </c>
      <c r="C183" t="s">
        <v>688</v>
      </c>
      <c r="D183" t="s">
        <v>789</v>
      </c>
      <c r="E183" t="s">
        <v>792</v>
      </c>
      <c r="F183" t="s">
        <v>808</v>
      </c>
      <c r="G183" t="s">
        <v>812</v>
      </c>
      <c r="H183">
        <v>5</v>
      </c>
      <c r="I183">
        <v>80.69</v>
      </c>
      <c r="J183">
        <v>0.05</v>
      </c>
      <c r="K183">
        <v>383.28</v>
      </c>
      <c r="L183" t="s">
        <v>815</v>
      </c>
    </row>
    <row r="184" spans="1:12" x14ac:dyDescent="0.3">
      <c r="A184" t="s">
        <v>194</v>
      </c>
      <c r="B184" s="2">
        <v>45777</v>
      </c>
      <c r="C184" t="s">
        <v>632</v>
      </c>
      <c r="D184" t="s">
        <v>790</v>
      </c>
      <c r="E184" t="s">
        <v>796</v>
      </c>
      <c r="F184" t="s">
        <v>802</v>
      </c>
      <c r="G184" t="s">
        <v>811</v>
      </c>
      <c r="H184">
        <v>5</v>
      </c>
      <c r="I184">
        <v>272.81</v>
      </c>
      <c r="J184">
        <v>0</v>
      </c>
      <c r="K184">
        <v>1364.05</v>
      </c>
      <c r="L184" t="s">
        <v>814</v>
      </c>
    </row>
    <row r="185" spans="1:12" x14ac:dyDescent="0.3">
      <c r="A185" t="s">
        <v>195</v>
      </c>
      <c r="B185" s="2">
        <v>45777</v>
      </c>
      <c r="C185" t="s">
        <v>723</v>
      </c>
      <c r="D185" t="s">
        <v>785</v>
      </c>
      <c r="E185" t="s">
        <v>792</v>
      </c>
      <c r="F185" t="s">
        <v>802</v>
      </c>
      <c r="G185" t="s">
        <v>811</v>
      </c>
      <c r="H185">
        <v>7</v>
      </c>
      <c r="I185">
        <v>249.69</v>
      </c>
      <c r="J185">
        <v>0.1</v>
      </c>
      <c r="K185">
        <v>1573.05</v>
      </c>
      <c r="L185" t="s">
        <v>815</v>
      </c>
    </row>
    <row r="186" spans="1:12" x14ac:dyDescent="0.3">
      <c r="A186" t="s">
        <v>196</v>
      </c>
      <c r="B186" s="2">
        <v>45779</v>
      </c>
      <c r="C186" t="s">
        <v>674</v>
      </c>
      <c r="D186" t="s">
        <v>786</v>
      </c>
      <c r="E186" t="s">
        <v>793</v>
      </c>
      <c r="F186" t="s">
        <v>801</v>
      </c>
      <c r="G186" t="s">
        <v>811</v>
      </c>
      <c r="H186">
        <v>6</v>
      </c>
      <c r="I186">
        <v>13.94</v>
      </c>
      <c r="J186">
        <v>0.2</v>
      </c>
      <c r="K186">
        <v>66.91</v>
      </c>
      <c r="L186" t="s">
        <v>815</v>
      </c>
    </row>
    <row r="187" spans="1:12" x14ac:dyDescent="0.3">
      <c r="A187" t="s">
        <v>197</v>
      </c>
      <c r="B187" s="2">
        <v>45780</v>
      </c>
      <c r="C187" t="s">
        <v>672</v>
      </c>
      <c r="D187" t="s">
        <v>785</v>
      </c>
      <c r="E187" t="s">
        <v>792</v>
      </c>
      <c r="F187" t="s">
        <v>800</v>
      </c>
      <c r="G187" t="s">
        <v>810</v>
      </c>
      <c r="H187">
        <v>5</v>
      </c>
      <c r="I187">
        <v>689.5</v>
      </c>
      <c r="J187">
        <v>0.1</v>
      </c>
      <c r="K187">
        <v>3102.75</v>
      </c>
      <c r="L187" t="s">
        <v>816</v>
      </c>
    </row>
    <row r="188" spans="1:12" x14ac:dyDescent="0.3">
      <c r="A188" t="s">
        <v>198</v>
      </c>
      <c r="B188" s="2">
        <v>45780</v>
      </c>
      <c r="C188" t="s">
        <v>721</v>
      </c>
      <c r="D188" t="s">
        <v>786</v>
      </c>
      <c r="E188" t="s">
        <v>793</v>
      </c>
      <c r="F188" t="s">
        <v>800</v>
      </c>
      <c r="G188" t="s">
        <v>810</v>
      </c>
      <c r="H188">
        <v>2</v>
      </c>
      <c r="I188">
        <v>606.77</v>
      </c>
      <c r="J188">
        <v>0</v>
      </c>
      <c r="K188">
        <v>1213.54</v>
      </c>
      <c r="L188" t="s">
        <v>815</v>
      </c>
    </row>
    <row r="189" spans="1:12" x14ac:dyDescent="0.3">
      <c r="A189" t="s">
        <v>199</v>
      </c>
      <c r="B189" s="2">
        <v>45781</v>
      </c>
      <c r="C189" t="s">
        <v>724</v>
      </c>
      <c r="D189" t="s">
        <v>789</v>
      </c>
      <c r="E189" t="s">
        <v>792</v>
      </c>
      <c r="F189" t="s">
        <v>801</v>
      </c>
      <c r="G189" t="s">
        <v>811</v>
      </c>
      <c r="H189">
        <v>3</v>
      </c>
      <c r="I189">
        <v>14.12</v>
      </c>
      <c r="J189">
        <v>0.1</v>
      </c>
      <c r="K189">
        <v>38.119999999999997</v>
      </c>
      <c r="L189" t="s">
        <v>814</v>
      </c>
    </row>
    <row r="190" spans="1:12" x14ac:dyDescent="0.3">
      <c r="A190" t="s">
        <v>200</v>
      </c>
      <c r="B190" s="2">
        <v>45783</v>
      </c>
      <c r="C190" t="s">
        <v>725</v>
      </c>
      <c r="D190" t="s">
        <v>787</v>
      </c>
      <c r="E190" t="s">
        <v>794</v>
      </c>
      <c r="F190" t="s">
        <v>799</v>
      </c>
      <c r="G190" t="s">
        <v>809</v>
      </c>
      <c r="H190">
        <v>6</v>
      </c>
      <c r="I190">
        <v>57.26</v>
      </c>
      <c r="J190">
        <v>0.05</v>
      </c>
      <c r="K190">
        <v>326.38</v>
      </c>
      <c r="L190" t="s">
        <v>814</v>
      </c>
    </row>
    <row r="191" spans="1:12" x14ac:dyDescent="0.3">
      <c r="A191" t="s">
        <v>201</v>
      </c>
      <c r="B191" s="2">
        <v>45783</v>
      </c>
      <c r="C191" t="s">
        <v>684</v>
      </c>
      <c r="D191" t="s">
        <v>788</v>
      </c>
      <c r="E191" t="s">
        <v>795</v>
      </c>
      <c r="F191" t="s">
        <v>801</v>
      </c>
      <c r="G191" t="s">
        <v>811</v>
      </c>
      <c r="H191">
        <v>6</v>
      </c>
      <c r="I191">
        <v>16.260000000000002</v>
      </c>
      <c r="J191">
        <v>0.15</v>
      </c>
      <c r="K191">
        <v>82.93</v>
      </c>
      <c r="L191" t="s">
        <v>813</v>
      </c>
    </row>
    <row r="192" spans="1:12" x14ac:dyDescent="0.3">
      <c r="A192" t="s">
        <v>202</v>
      </c>
      <c r="B192" s="2">
        <v>45784</v>
      </c>
      <c r="C192" t="s">
        <v>616</v>
      </c>
      <c r="D192" t="s">
        <v>785</v>
      </c>
      <c r="E192" t="s">
        <v>792</v>
      </c>
      <c r="F192" t="s">
        <v>802</v>
      </c>
      <c r="G192" t="s">
        <v>811</v>
      </c>
      <c r="H192">
        <v>4</v>
      </c>
      <c r="I192">
        <v>240.55</v>
      </c>
      <c r="J192">
        <v>0</v>
      </c>
      <c r="K192">
        <v>962.2</v>
      </c>
      <c r="L192" t="s">
        <v>814</v>
      </c>
    </row>
    <row r="193" spans="1:12" x14ac:dyDescent="0.3">
      <c r="A193" t="s">
        <v>203</v>
      </c>
      <c r="B193" s="2">
        <v>45784</v>
      </c>
      <c r="C193" t="s">
        <v>621</v>
      </c>
      <c r="D193" t="s">
        <v>789</v>
      </c>
      <c r="E193" t="s">
        <v>792</v>
      </c>
      <c r="F193" t="s">
        <v>807</v>
      </c>
      <c r="G193" t="s">
        <v>810</v>
      </c>
      <c r="H193">
        <v>8</v>
      </c>
      <c r="I193">
        <v>944.69</v>
      </c>
      <c r="J193">
        <v>0</v>
      </c>
      <c r="K193">
        <v>7557.52</v>
      </c>
      <c r="L193" t="s">
        <v>814</v>
      </c>
    </row>
    <row r="194" spans="1:12" x14ac:dyDescent="0.3">
      <c r="A194" t="s">
        <v>204</v>
      </c>
      <c r="B194" s="2">
        <v>45785</v>
      </c>
      <c r="C194" t="s">
        <v>672</v>
      </c>
      <c r="D194" t="s">
        <v>788</v>
      </c>
      <c r="E194" t="s">
        <v>795</v>
      </c>
      <c r="F194" t="s">
        <v>808</v>
      </c>
      <c r="G194" t="s">
        <v>812</v>
      </c>
      <c r="H194">
        <v>1</v>
      </c>
      <c r="I194">
        <v>77.33</v>
      </c>
      <c r="J194">
        <v>0.3</v>
      </c>
      <c r="K194">
        <v>54.13</v>
      </c>
      <c r="L194" t="s">
        <v>814</v>
      </c>
    </row>
    <row r="195" spans="1:12" x14ac:dyDescent="0.3">
      <c r="A195" t="s">
        <v>205</v>
      </c>
      <c r="B195" s="2">
        <v>45786</v>
      </c>
      <c r="C195" t="s">
        <v>685</v>
      </c>
      <c r="D195" t="s">
        <v>790</v>
      </c>
      <c r="E195" t="s">
        <v>796</v>
      </c>
      <c r="F195" t="s">
        <v>803</v>
      </c>
      <c r="G195" t="s">
        <v>810</v>
      </c>
      <c r="H195">
        <v>3</v>
      </c>
      <c r="I195">
        <v>114.65</v>
      </c>
      <c r="J195">
        <v>0.3</v>
      </c>
      <c r="K195">
        <v>240.76</v>
      </c>
      <c r="L195" t="s">
        <v>814</v>
      </c>
    </row>
    <row r="196" spans="1:12" x14ac:dyDescent="0.3">
      <c r="A196" t="s">
        <v>206</v>
      </c>
      <c r="B196" s="2">
        <v>45786</v>
      </c>
      <c r="C196" t="s">
        <v>724</v>
      </c>
      <c r="D196" t="s">
        <v>787</v>
      </c>
      <c r="E196" t="s">
        <v>794</v>
      </c>
      <c r="F196" t="s">
        <v>804</v>
      </c>
      <c r="G196" t="s">
        <v>809</v>
      </c>
      <c r="H196">
        <v>4</v>
      </c>
      <c r="I196">
        <v>324.33999999999997</v>
      </c>
      <c r="J196">
        <v>0</v>
      </c>
      <c r="K196">
        <v>1297.3599999999999</v>
      </c>
      <c r="L196" t="s">
        <v>813</v>
      </c>
    </row>
    <row r="197" spans="1:12" x14ac:dyDescent="0.3">
      <c r="A197" t="s">
        <v>207</v>
      </c>
      <c r="B197" s="2">
        <v>45787</v>
      </c>
      <c r="C197" t="s">
        <v>726</v>
      </c>
      <c r="D197" t="s">
        <v>785</v>
      </c>
      <c r="E197" t="s">
        <v>792</v>
      </c>
      <c r="F197" t="s">
        <v>807</v>
      </c>
      <c r="G197" t="s">
        <v>810</v>
      </c>
      <c r="H197">
        <v>2</v>
      </c>
      <c r="I197">
        <v>882.79</v>
      </c>
      <c r="J197">
        <v>0.15</v>
      </c>
      <c r="K197">
        <v>1500.74</v>
      </c>
      <c r="L197" t="s">
        <v>815</v>
      </c>
    </row>
    <row r="198" spans="1:12" x14ac:dyDescent="0.3">
      <c r="A198" t="s">
        <v>208</v>
      </c>
      <c r="B198" s="2">
        <v>45788</v>
      </c>
      <c r="C198" t="s">
        <v>702</v>
      </c>
      <c r="D198" t="s">
        <v>788</v>
      </c>
      <c r="E198" t="s">
        <v>795</v>
      </c>
      <c r="F198" t="s">
        <v>808</v>
      </c>
      <c r="G198" t="s">
        <v>812</v>
      </c>
      <c r="H198">
        <v>3</v>
      </c>
      <c r="I198">
        <v>75.92</v>
      </c>
      <c r="J198">
        <v>0.1</v>
      </c>
      <c r="K198">
        <v>204.98</v>
      </c>
      <c r="L198" t="s">
        <v>816</v>
      </c>
    </row>
    <row r="199" spans="1:12" x14ac:dyDescent="0.3">
      <c r="A199" t="s">
        <v>209</v>
      </c>
      <c r="B199" s="2">
        <v>45790</v>
      </c>
      <c r="C199" t="s">
        <v>727</v>
      </c>
      <c r="D199" t="s">
        <v>786</v>
      </c>
      <c r="E199" t="s">
        <v>793</v>
      </c>
      <c r="F199" t="s">
        <v>801</v>
      </c>
      <c r="G199" t="s">
        <v>811</v>
      </c>
      <c r="H199">
        <v>7</v>
      </c>
      <c r="I199">
        <v>16.09</v>
      </c>
      <c r="J199">
        <v>0</v>
      </c>
      <c r="K199">
        <v>112.63</v>
      </c>
      <c r="L199" t="s">
        <v>816</v>
      </c>
    </row>
    <row r="200" spans="1:12" x14ac:dyDescent="0.3">
      <c r="A200" t="s">
        <v>210</v>
      </c>
      <c r="B200" s="2">
        <v>45790</v>
      </c>
      <c r="C200" t="s">
        <v>646</v>
      </c>
      <c r="D200" t="s">
        <v>787</v>
      </c>
      <c r="E200" t="s">
        <v>794</v>
      </c>
      <c r="F200" t="s">
        <v>807</v>
      </c>
      <c r="G200" t="s">
        <v>810</v>
      </c>
      <c r="H200">
        <v>4</v>
      </c>
      <c r="I200">
        <v>939.48</v>
      </c>
      <c r="J200">
        <v>0.2</v>
      </c>
      <c r="K200">
        <v>3006.34</v>
      </c>
      <c r="L200" t="s">
        <v>814</v>
      </c>
    </row>
    <row r="201" spans="1:12" x14ac:dyDescent="0.3">
      <c r="A201" t="s">
        <v>211</v>
      </c>
      <c r="B201" s="2">
        <v>45791</v>
      </c>
      <c r="C201" t="s">
        <v>701</v>
      </c>
      <c r="D201" t="s">
        <v>785</v>
      </c>
      <c r="E201" t="s">
        <v>792</v>
      </c>
      <c r="F201" t="s">
        <v>802</v>
      </c>
      <c r="G201" t="s">
        <v>811</v>
      </c>
      <c r="H201">
        <v>5</v>
      </c>
      <c r="I201">
        <v>243.52</v>
      </c>
      <c r="J201">
        <v>0.05</v>
      </c>
      <c r="K201">
        <v>1156.72</v>
      </c>
      <c r="L201" t="s">
        <v>815</v>
      </c>
    </row>
    <row r="202" spans="1:12" x14ac:dyDescent="0.3">
      <c r="A202" t="s">
        <v>212</v>
      </c>
      <c r="B202" s="2">
        <v>45792</v>
      </c>
      <c r="C202" t="s">
        <v>664</v>
      </c>
      <c r="D202" t="s">
        <v>788</v>
      </c>
      <c r="E202" t="s">
        <v>795</v>
      </c>
      <c r="F202" t="s">
        <v>805</v>
      </c>
      <c r="G202" t="s">
        <v>810</v>
      </c>
      <c r="H202">
        <v>4</v>
      </c>
      <c r="I202">
        <v>46.91</v>
      </c>
      <c r="J202">
        <v>0.05</v>
      </c>
      <c r="K202">
        <v>178.26</v>
      </c>
      <c r="L202" t="s">
        <v>814</v>
      </c>
    </row>
    <row r="203" spans="1:12" x14ac:dyDescent="0.3">
      <c r="A203" t="s">
        <v>213</v>
      </c>
      <c r="B203" s="2">
        <v>45793</v>
      </c>
      <c r="C203" t="s">
        <v>724</v>
      </c>
      <c r="D203" t="s">
        <v>785</v>
      </c>
      <c r="E203" t="s">
        <v>792</v>
      </c>
      <c r="F203" t="s">
        <v>802</v>
      </c>
      <c r="G203" t="s">
        <v>811</v>
      </c>
      <c r="H203">
        <v>4</v>
      </c>
      <c r="I203">
        <v>250.91</v>
      </c>
      <c r="J203">
        <v>0.15</v>
      </c>
      <c r="K203">
        <v>853.09</v>
      </c>
      <c r="L203" t="s">
        <v>814</v>
      </c>
    </row>
    <row r="204" spans="1:12" x14ac:dyDescent="0.3">
      <c r="A204" t="s">
        <v>214</v>
      </c>
      <c r="B204" s="2">
        <v>45793</v>
      </c>
      <c r="C204" t="s">
        <v>648</v>
      </c>
      <c r="D204" t="s">
        <v>785</v>
      </c>
      <c r="E204" t="s">
        <v>792</v>
      </c>
      <c r="F204" t="s">
        <v>802</v>
      </c>
      <c r="G204" t="s">
        <v>811</v>
      </c>
      <c r="H204">
        <v>6</v>
      </c>
      <c r="I204">
        <v>246.13</v>
      </c>
      <c r="J204">
        <v>0.2</v>
      </c>
      <c r="K204">
        <v>1181.42</v>
      </c>
      <c r="L204" t="s">
        <v>814</v>
      </c>
    </row>
    <row r="205" spans="1:12" x14ac:dyDescent="0.3">
      <c r="A205" t="s">
        <v>215</v>
      </c>
      <c r="B205" s="2">
        <v>45793</v>
      </c>
      <c r="C205" t="s">
        <v>665</v>
      </c>
      <c r="D205" t="s">
        <v>785</v>
      </c>
      <c r="E205" t="s">
        <v>792</v>
      </c>
      <c r="F205" t="s">
        <v>799</v>
      </c>
      <c r="G205" t="s">
        <v>809</v>
      </c>
      <c r="H205">
        <v>2</v>
      </c>
      <c r="I205">
        <v>58</v>
      </c>
      <c r="J205">
        <v>0.1</v>
      </c>
      <c r="K205">
        <v>104.4</v>
      </c>
      <c r="L205" t="s">
        <v>814</v>
      </c>
    </row>
    <row r="206" spans="1:12" x14ac:dyDescent="0.3">
      <c r="A206" t="s">
        <v>216</v>
      </c>
      <c r="B206" s="2">
        <v>45793</v>
      </c>
      <c r="C206" t="s">
        <v>641</v>
      </c>
      <c r="D206" t="s">
        <v>789</v>
      </c>
      <c r="E206" t="s">
        <v>792</v>
      </c>
      <c r="F206" t="s">
        <v>801</v>
      </c>
      <c r="G206" t="s">
        <v>811</v>
      </c>
      <c r="H206">
        <v>2</v>
      </c>
      <c r="I206">
        <v>13.94</v>
      </c>
      <c r="J206">
        <v>0.1</v>
      </c>
      <c r="K206">
        <v>25.09</v>
      </c>
      <c r="L206" t="s">
        <v>814</v>
      </c>
    </row>
    <row r="207" spans="1:12" x14ac:dyDescent="0.3">
      <c r="A207" t="s">
        <v>217</v>
      </c>
      <c r="B207" s="2">
        <v>45794</v>
      </c>
      <c r="C207" t="s">
        <v>728</v>
      </c>
      <c r="D207" t="s">
        <v>786</v>
      </c>
      <c r="E207" t="s">
        <v>793</v>
      </c>
      <c r="F207" t="s">
        <v>799</v>
      </c>
      <c r="G207" t="s">
        <v>809</v>
      </c>
      <c r="H207">
        <v>8</v>
      </c>
      <c r="I207">
        <v>59.83</v>
      </c>
      <c r="J207">
        <v>0.1</v>
      </c>
      <c r="K207">
        <v>430.78</v>
      </c>
      <c r="L207" t="s">
        <v>814</v>
      </c>
    </row>
    <row r="208" spans="1:12" x14ac:dyDescent="0.3">
      <c r="A208" t="s">
        <v>218</v>
      </c>
      <c r="B208" s="2">
        <v>45794</v>
      </c>
      <c r="C208" t="s">
        <v>699</v>
      </c>
      <c r="D208" t="s">
        <v>789</v>
      </c>
      <c r="E208" t="s">
        <v>792</v>
      </c>
      <c r="F208" t="s">
        <v>807</v>
      </c>
      <c r="G208" t="s">
        <v>810</v>
      </c>
      <c r="H208">
        <v>5</v>
      </c>
      <c r="I208">
        <v>959.51</v>
      </c>
      <c r="J208">
        <v>0.25</v>
      </c>
      <c r="K208">
        <v>3598.16</v>
      </c>
      <c r="L208" t="s">
        <v>814</v>
      </c>
    </row>
    <row r="209" spans="1:12" x14ac:dyDescent="0.3">
      <c r="A209" t="s">
        <v>219</v>
      </c>
      <c r="B209" s="2">
        <v>45795</v>
      </c>
      <c r="C209" t="s">
        <v>664</v>
      </c>
      <c r="D209" t="s">
        <v>787</v>
      </c>
      <c r="E209" t="s">
        <v>794</v>
      </c>
      <c r="F209" t="s">
        <v>799</v>
      </c>
      <c r="G209" t="s">
        <v>809</v>
      </c>
      <c r="H209">
        <v>6</v>
      </c>
      <c r="I209">
        <v>56.34</v>
      </c>
      <c r="J209">
        <v>0.2</v>
      </c>
      <c r="K209">
        <v>270.43</v>
      </c>
      <c r="L209" t="s">
        <v>816</v>
      </c>
    </row>
    <row r="210" spans="1:12" x14ac:dyDescent="0.3">
      <c r="A210" t="s">
        <v>220</v>
      </c>
      <c r="B210" s="2">
        <v>45796</v>
      </c>
      <c r="C210" t="s">
        <v>729</v>
      </c>
      <c r="D210" t="s">
        <v>785</v>
      </c>
      <c r="E210" t="s">
        <v>792</v>
      </c>
      <c r="F210" t="s">
        <v>802</v>
      </c>
      <c r="G210" t="s">
        <v>811</v>
      </c>
      <c r="H210">
        <v>2</v>
      </c>
      <c r="I210">
        <v>226.03</v>
      </c>
      <c r="J210">
        <v>0.05</v>
      </c>
      <c r="K210">
        <v>429.46</v>
      </c>
      <c r="L210" t="s">
        <v>815</v>
      </c>
    </row>
    <row r="211" spans="1:12" x14ac:dyDescent="0.3">
      <c r="A211" t="s">
        <v>221</v>
      </c>
      <c r="B211" s="2">
        <v>45796</v>
      </c>
      <c r="C211" t="s">
        <v>626</v>
      </c>
      <c r="D211" t="s">
        <v>785</v>
      </c>
      <c r="E211" t="s">
        <v>792</v>
      </c>
      <c r="F211" t="s">
        <v>798</v>
      </c>
      <c r="G211" t="s">
        <v>810</v>
      </c>
      <c r="H211">
        <v>1</v>
      </c>
      <c r="I211">
        <v>316.33</v>
      </c>
      <c r="J211">
        <v>0</v>
      </c>
      <c r="K211">
        <v>316.33</v>
      </c>
      <c r="L211" t="s">
        <v>814</v>
      </c>
    </row>
    <row r="212" spans="1:12" x14ac:dyDescent="0.3">
      <c r="A212" t="s">
        <v>222</v>
      </c>
      <c r="B212" s="2">
        <v>45797</v>
      </c>
      <c r="C212" t="s">
        <v>730</v>
      </c>
      <c r="D212" t="s">
        <v>786</v>
      </c>
      <c r="E212" t="s">
        <v>793</v>
      </c>
      <c r="F212" t="s">
        <v>805</v>
      </c>
      <c r="G212" t="s">
        <v>810</v>
      </c>
      <c r="H212">
        <v>4</v>
      </c>
      <c r="I212">
        <v>45.27</v>
      </c>
      <c r="J212">
        <v>0.05</v>
      </c>
      <c r="K212">
        <v>172.03</v>
      </c>
      <c r="L212" t="s">
        <v>814</v>
      </c>
    </row>
    <row r="213" spans="1:12" x14ac:dyDescent="0.3">
      <c r="A213" t="s">
        <v>223</v>
      </c>
      <c r="B213" s="2">
        <v>45798</v>
      </c>
      <c r="C213" t="s">
        <v>665</v>
      </c>
      <c r="D213" t="s">
        <v>788</v>
      </c>
      <c r="E213" t="s">
        <v>795</v>
      </c>
      <c r="F213" t="s">
        <v>807</v>
      </c>
      <c r="G213" t="s">
        <v>810</v>
      </c>
      <c r="H213">
        <v>7</v>
      </c>
      <c r="I213">
        <v>855.96</v>
      </c>
      <c r="J213">
        <v>0</v>
      </c>
      <c r="K213">
        <v>5991.72</v>
      </c>
      <c r="L213" t="s">
        <v>814</v>
      </c>
    </row>
    <row r="214" spans="1:12" x14ac:dyDescent="0.3">
      <c r="A214" t="s">
        <v>224</v>
      </c>
      <c r="B214" s="2">
        <v>45798</v>
      </c>
      <c r="C214" t="s">
        <v>725</v>
      </c>
      <c r="D214" t="s">
        <v>787</v>
      </c>
      <c r="E214" t="s">
        <v>794</v>
      </c>
      <c r="F214" t="s">
        <v>801</v>
      </c>
      <c r="G214" t="s">
        <v>811</v>
      </c>
      <c r="H214">
        <v>6</v>
      </c>
      <c r="I214">
        <v>14.79</v>
      </c>
      <c r="J214">
        <v>0</v>
      </c>
      <c r="K214">
        <v>88.74</v>
      </c>
      <c r="L214" t="s">
        <v>815</v>
      </c>
    </row>
    <row r="215" spans="1:12" x14ac:dyDescent="0.3">
      <c r="A215" t="s">
        <v>225</v>
      </c>
      <c r="B215" s="2">
        <v>45798</v>
      </c>
      <c r="C215" t="s">
        <v>731</v>
      </c>
      <c r="D215" t="s">
        <v>787</v>
      </c>
      <c r="E215" t="s">
        <v>794</v>
      </c>
      <c r="F215" t="s">
        <v>806</v>
      </c>
      <c r="G215" t="s">
        <v>810</v>
      </c>
      <c r="H215">
        <v>6</v>
      </c>
      <c r="I215">
        <v>81.77</v>
      </c>
      <c r="J215">
        <v>0.05</v>
      </c>
      <c r="K215">
        <v>466.09</v>
      </c>
      <c r="L215" t="s">
        <v>814</v>
      </c>
    </row>
    <row r="216" spans="1:12" x14ac:dyDescent="0.3">
      <c r="A216" t="s">
        <v>226</v>
      </c>
      <c r="B216" s="2">
        <v>45799</v>
      </c>
      <c r="C216" t="s">
        <v>614</v>
      </c>
      <c r="D216" t="s">
        <v>789</v>
      </c>
      <c r="E216" t="s">
        <v>792</v>
      </c>
      <c r="F216" t="s">
        <v>806</v>
      </c>
      <c r="G216" t="s">
        <v>810</v>
      </c>
      <c r="H216">
        <v>4</v>
      </c>
      <c r="I216">
        <v>72.680000000000007</v>
      </c>
      <c r="J216">
        <v>0.1</v>
      </c>
      <c r="K216">
        <v>261.64999999999998</v>
      </c>
      <c r="L216" t="s">
        <v>815</v>
      </c>
    </row>
    <row r="217" spans="1:12" x14ac:dyDescent="0.3">
      <c r="A217" t="s">
        <v>227</v>
      </c>
      <c r="B217" s="2">
        <v>45802</v>
      </c>
      <c r="C217" t="s">
        <v>732</v>
      </c>
      <c r="D217" t="s">
        <v>790</v>
      </c>
      <c r="E217" t="s">
        <v>796</v>
      </c>
      <c r="F217" t="s">
        <v>804</v>
      </c>
      <c r="G217" t="s">
        <v>809</v>
      </c>
      <c r="H217">
        <v>7</v>
      </c>
      <c r="I217">
        <v>368.83</v>
      </c>
      <c r="J217">
        <v>0.25</v>
      </c>
      <c r="K217">
        <v>1936.36</v>
      </c>
      <c r="L217" t="s">
        <v>813</v>
      </c>
    </row>
    <row r="218" spans="1:12" x14ac:dyDescent="0.3">
      <c r="A218" t="s">
        <v>228</v>
      </c>
      <c r="B218" s="2">
        <v>45802</v>
      </c>
      <c r="C218" t="s">
        <v>687</v>
      </c>
      <c r="D218" t="s">
        <v>789</v>
      </c>
      <c r="E218" t="s">
        <v>792</v>
      </c>
      <c r="F218" t="s">
        <v>807</v>
      </c>
      <c r="G218" t="s">
        <v>810</v>
      </c>
      <c r="H218">
        <v>7</v>
      </c>
      <c r="I218">
        <v>986.15</v>
      </c>
      <c r="J218">
        <v>0.05</v>
      </c>
      <c r="K218">
        <v>6557.9</v>
      </c>
      <c r="L218" t="s">
        <v>814</v>
      </c>
    </row>
    <row r="219" spans="1:12" x14ac:dyDescent="0.3">
      <c r="A219" t="s">
        <v>229</v>
      </c>
      <c r="B219" s="2">
        <v>45803</v>
      </c>
      <c r="C219" t="s">
        <v>704</v>
      </c>
      <c r="D219" t="s">
        <v>785</v>
      </c>
      <c r="E219" t="s">
        <v>792</v>
      </c>
      <c r="F219" t="s">
        <v>808</v>
      </c>
      <c r="G219" t="s">
        <v>812</v>
      </c>
      <c r="H219">
        <v>8</v>
      </c>
      <c r="I219">
        <v>73.28</v>
      </c>
      <c r="J219">
        <v>0.2</v>
      </c>
      <c r="K219">
        <v>468.99</v>
      </c>
      <c r="L219" t="s">
        <v>815</v>
      </c>
    </row>
    <row r="220" spans="1:12" x14ac:dyDescent="0.3">
      <c r="A220" t="s">
        <v>230</v>
      </c>
      <c r="B220" s="2">
        <v>45803</v>
      </c>
      <c r="C220" t="s">
        <v>672</v>
      </c>
      <c r="D220" t="s">
        <v>789</v>
      </c>
      <c r="E220" t="s">
        <v>792</v>
      </c>
      <c r="F220" t="s">
        <v>805</v>
      </c>
      <c r="G220" t="s">
        <v>810</v>
      </c>
      <c r="H220">
        <v>6</v>
      </c>
      <c r="I220">
        <v>41.78</v>
      </c>
      <c r="J220">
        <v>0.05</v>
      </c>
      <c r="K220">
        <v>238.15</v>
      </c>
      <c r="L220" t="s">
        <v>815</v>
      </c>
    </row>
    <row r="221" spans="1:12" x14ac:dyDescent="0.3">
      <c r="A221" t="s">
        <v>231</v>
      </c>
      <c r="B221" s="2">
        <v>45803</v>
      </c>
      <c r="C221" t="s">
        <v>683</v>
      </c>
      <c r="D221" t="s">
        <v>790</v>
      </c>
      <c r="E221" t="s">
        <v>796</v>
      </c>
      <c r="F221" t="s">
        <v>801</v>
      </c>
      <c r="G221" t="s">
        <v>811</v>
      </c>
      <c r="H221">
        <v>5</v>
      </c>
      <c r="I221">
        <v>13.99</v>
      </c>
      <c r="J221">
        <v>0.1</v>
      </c>
      <c r="K221">
        <v>62.96</v>
      </c>
      <c r="L221" t="s">
        <v>813</v>
      </c>
    </row>
    <row r="222" spans="1:12" x14ac:dyDescent="0.3">
      <c r="A222" t="s">
        <v>232</v>
      </c>
      <c r="B222" s="2">
        <v>45803</v>
      </c>
      <c r="C222" t="s">
        <v>689</v>
      </c>
      <c r="D222" t="s">
        <v>786</v>
      </c>
      <c r="E222" t="s">
        <v>793</v>
      </c>
      <c r="F222" t="s">
        <v>803</v>
      </c>
      <c r="G222" t="s">
        <v>810</v>
      </c>
      <c r="H222">
        <v>8</v>
      </c>
      <c r="I222">
        <v>116.96</v>
      </c>
      <c r="J222">
        <v>0</v>
      </c>
      <c r="K222">
        <v>935.68</v>
      </c>
      <c r="L222" t="s">
        <v>813</v>
      </c>
    </row>
    <row r="223" spans="1:12" x14ac:dyDescent="0.3">
      <c r="A223" t="s">
        <v>233</v>
      </c>
      <c r="B223" s="2">
        <v>45804</v>
      </c>
      <c r="C223" t="s">
        <v>686</v>
      </c>
      <c r="D223" t="s">
        <v>785</v>
      </c>
      <c r="E223" t="s">
        <v>792</v>
      </c>
      <c r="F223" t="s">
        <v>799</v>
      </c>
      <c r="G223" t="s">
        <v>809</v>
      </c>
      <c r="H223">
        <v>3</v>
      </c>
      <c r="I223">
        <v>52.64</v>
      </c>
      <c r="J223">
        <v>0.1</v>
      </c>
      <c r="K223">
        <v>142.13</v>
      </c>
      <c r="L223" t="s">
        <v>815</v>
      </c>
    </row>
    <row r="224" spans="1:12" x14ac:dyDescent="0.3">
      <c r="A224" t="s">
        <v>234</v>
      </c>
      <c r="B224" s="2">
        <v>45804</v>
      </c>
      <c r="C224" t="s">
        <v>695</v>
      </c>
      <c r="D224" t="s">
        <v>787</v>
      </c>
      <c r="E224" t="s">
        <v>794</v>
      </c>
      <c r="F224" t="s">
        <v>804</v>
      </c>
      <c r="G224" t="s">
        <v>809</v>
      </c>
      <c r="H224">
        <v>3</v>
      </c>
      <c r="I224">
        <v>348.76</v>
      </c>
      <c r="J224">
        <v>0</v>
      </c>
      <c r="K224">
        <v>1046.28</v>
      </c>
      <c r="L224" t="s">
        <v>816</v>
      </c>
    </row>
    <row r="225" spans="1:12" x14ac:dyDescent="0.3">
      <c r="A225" t="s">
        <v>235</v>
      </c>
      <c r="B225" s="2">
        <v>45804</v>
      </c>
      <c r="C225" t="s">
        <v>687</v>
      </c>
      <c r="D225" t="s">
        <v>787</v>
      </c>
      <c r="E225" t="s">
        <v>794</v>
      </c>
      <c r="F225" t="s">
        <v>806</v>
      </c>
      <c r="G225" t="s">
        <v>810</v>
      </c>
      <c r="H225">
        <v>4</v>
      </c>
      <c r="I225">
        <v>86.57</v>
      </c>
      <c r="J225">
        <v>0.1</v>
      </c>
      <c r="K225">
        <v>311.64999999999998</v>
      </c>
      <c r="L225" t="s">
        <v>814</v>
      </c>
    </row>
    <row r="226" spans="1:12" x14ac:dyDescent="0.3">
      <c r="A226" t="s">
        <v>236</v>
      </c>
      <c r="B226" s="2">
        <v>45805</v>
      </c>
      <c r="C226" t="s">
        <v>613</v>
      </c>
      <c r="D226" t="s">
        <v>789</v>
      </c>
      <c r="E226" t="s">
        <v>792</v>
      </c>
      <c r="F226" t="s">
        <v>798</v>
      </c>
      <c r="G226" t="s">
        <v>810</v>
      </c>
      <c r="H226">
        <v>6</v>
      </c>
      <c r="I226">
        <v>323.99</v>
      </c>
      <c r="J226">
        <v>0</v>
      </c>
      <c r="K226">
        <v>1943.94</v>
      </c>
      <c r="L226" t="s">
        <v>815</v>
      </c>
    </row>
    <row r="227" spans="1:12" x14ac:dyDescent="0.3">
      <c r="A227" t="s">
        <v>237</v>
      </c>
      <c r="B227" s="2">
        <v>45806</v>
      </c>
      <c r="C227" t="s">
        <v>631</v>
      </c>
      <c r="D227" t="s">
        <v>789</v>
      </c>
      <c r="E227" t="s">
        <v>792</v>
      </c>
      <c r="F227" t="s">
        <v>800</v>
      </c>
      <c r="G227" t="s">
        <v>810</v>
      </c>
      <c r="H227">
        <v>7</v>
      </c>
      <c r="I227">
        <v>665.41</v>
      </c>
      <c r="J227">
        <v>0.15</v>
      </c>
      <c r="K227">
        <v>3959.19</v>
      </c>
      <c r="L227" t="s">
        <v>815</v>
      </c>
    </row>
    <row r="228" spans="1:12" x14ac:dyDescent="0.3">
      <c r="A228" t="s">
        <v>238</v>
      </c>
      <c r="B228" s="2">
        <v>45806</v>
      </c>
      <c r="C228" t="s">
        <v>733</v>
      </c>
      <c r="D228" t="s">
        <v>789</v>
      </c>
      <c r="E228" t="s">
        <v>792</v>
      </c>
      <c r="F228" t="s">
        <v>808</v>
      </c>
      <c r="G228" t="s">
        <v>812</v>
      </c>
      <c r="H228">
        <v>4</v>
      </c>
      <c r="I228">
        <v>82.27</v>
      </c>
      <c r="J228">
        <v>0.15</v>
      </c>
      <c r="K228">
        <v>279.72000000000003</v>
      </c>
      <c r="L228" t="s">
        <v>814</v>
      </c>
    </row>
    <row r="229" spans="1:12" x14ac:dyDescent="0.3">
      <c r="A229" t="s">
        <v>239</v>
      </c>
      <c r="B229" s="2">
        <v>45806</v>
      </c>
      <c r="C229" t="s">
        <v>643</v>
      </c>
      <c r="D229" t="s">
        <v>789</v>
      </c>
      <c r="E229" t="s">
        <v>792</v>
      </c>
      <c r="F229" t="s">
        <v>806</v>
      </c>
      <c r="G229" t="s">
        <v>810</v>
      </c>
      <c r="H229">
        <v>7</v>
      </c>
      <c r="I229">
        <v>74.010000000000005</v>
      </c>
      <c r="J229">
        <v>0.15</v>
      </c>
      <c r="K229">
        <v>440.36</v>
      </c>
      <c r="L229" t="s">
        <v>816</v>
      </c>
    </row>
    <row r="230" spans="1:12" x14ac:dyDescent="0.3">
      <c r="A230" t="s">
        <v>240</v>
      </c>
      <c r="B230" s="2">
        <v>45809</v>
      </c>
      <c r="C230" t="s">
        <v>726</v>
      </c>
      <c r="D230" t="s">
        <v>790</v>
      </c>
      <c r="E230" t="s">
        <v>796</v>
      </c>
      <c r="F230" t="s">
        <v>798</v>
      </c>
      <c r="G230" t="s">
        <v>810</v>
      </c>
      <c r="H230">
        <v>1</v>
      </c>
      <c r="I230">
        <v>286.73</v>
      </c>
      <c r="J230">
        <v>0.15</v>
      </c>
      <c r="K230">
        <v>243.72</v>
      </c>
      <c r="L230" t="s">
        <v>813</v>
      </c>
    </row>
    <row r="231" spans="1:12" x14ac:dyDescent="0.3">
      <c r="A231" t="s">
        <v>241</v>
      </c>
      <c r="B231" s="2">
        <v>45810</v>
      </c>
      <c r="C231" t="s">
        <v>631</v>
      </c>
      <c r="D231" t="s">
        <v>787</v>
      </c>
      <c r="E231" t="s">
        <v>794</v>
      </c>
      <c r="F231" t="s">
        <v>806</v>
      </c>
      <c r="G231" t="s">
        <v>810</v>
      </c>
      <c r="H231">
        <v>8</v>
      </c>
      <c r="I231">
        <v>85.55</v>
      </c>
      <c r="J231">
        <v>0.25</v>
      </c>
      <c r="K231">
        <v>513.29999999999995</v>
      </c>
      <c r="L231" t="s">
        <v>813</v>
      </c>
    </row>
    <row r="232" spans="1:12" x14ac:dyDescent="0.3">
      <c r="A232" t="s">
        <v>242</v>
      </c>
      <c r="B232" s="2">
        <v>45810</v>
      </c>
      <c r="C232" t="s">
        <v>671</v>
      </c>
      <c r="D232" t="s">
        <v>788</v>
      </c>
      <c r="E232" t="s">
        <v>795</v>
      </c>
      <c r="F232" t="s">
        <v>801</v>
      </c>
      <c r="G232" t="s">
        <v>811</v>
      </c>
      <c r="H232">
        <v>2</v>
      </c>
      <c r="I232">
        <v>14.51</v>
      </c>
      <c r="J232">
        <v>0.25</v>
      </c>
      <c r="K232">
        <v>21.76</v>
      </c>
      <c r="L232" t="s">
        <v>814</v>
      </c>
    </row>
    <row r="233" spans="1:12" x14ac:dyDescent="0.3">
      <c r="A233" t="s">
        <v>243</v>
      </c>
      <c r="B233" s="2">
        <v>45811</v>
      </c>
      <c r="C233" t="s">
        <v>701</v>
      </c>
      <c r="D233" t="s">
        <v>785</v>
      </c>
      <c r="E233" t="s">
        <v>792</v>
      </c>
      <c r="F233" t="s">
        <v>799</v>
      </c>
      <c r="G233" t="s">
        <v>809</v>
      </c>
      <c r="H233">
        <v>1</v>
      </c>
      <c r="I233">
        <v>52.99</v>
      </c>
      <c r="J233">
        <v>0</v>
      </c>
      <c r="K233">
        <v>52.99</v>
      </c>
      <c r="L233" t="s">
        <v>815</v>
      </c>
    </row>
    <row r="234" spans="1:12" x14ac:dyDescent="0.3">
      <c r="A234" t="s">
        <v>244</v>
      </c>
      <c r="B234" s="2">
        <v>45812</v>
      </c>
      <c r="C234" t="s">
        <v>734</v>
      </c>
      <c r="D234" t="s">
        <v>790</v>
      </c>
      <c r="E234" t="s">
        <v>796</v>
      </c>
      <c r="F234" t="s">
        <v>806</v>
      </c>
      <c r="G234" t="s">
        <v>810</v>
      </c>
      <c r="H234">
        <v>8</v>
      </c>
      <c r="I234">
        <v>80.09</v>
      </c>
      <c r="J234">
        <v>0.25</v>
      </c>
      <c r="K234">
        <v>480.54</v>
      </c>
      <c r="L234" t="s">
        <v>814</v>
      </c>
    </row>
    <row r="235" spans="1:12" x14ac:dyDescent="0.3">
      <c r="A235" t="s">
        <v>245</v>
      </c>
      <c r="B235" s="2">
        <v>45813</v>
      </c>
      <c r="C235" t="s">
        <v>735</v>
      </c>
      <c r="D235" t="s">
        <v>789</v>
      </c>
      <c r="E235" t="s">
        <v>792</v>
      </c>
      <c r="F235" t="s">
        <v>805</v>
      </c>
      <c r="G235" t="s">
        <v>810</v>
      </c>
      <c r="H235">
        <v>6</v>
      </c>
      <c r="I235">
        <v>46.85</v>
      </c>
      <c r="J235">
        <v>0.45</v>
      </c>
      <c r="K235">
        <v>238.94</v>
      </c>
      <c r="L235" t="s">
        <v>814</v>
      </c>
    </row>
    <row r="236" spans="1:12" x14ac:dyDescent="0.3">
      <c r="A236" t="s">
        <v>246</v>
      </c>
      <c r="B236" s="2">
        <v>45813</v>
      </c>
      <c r="C236" t="s">
        <v>705</v>
      </c>
      <c r="D236" t="s">
        <v>785</v>
      </c>
      <c r="E236" t="s">
        <v>792</v>
      </c>
      <c r="F236" t="s">
        <v>797</v>
      </c>
      <c r="G236" t="s">
        <v>809</v>
      </c>
      <c r="H236">
        <v>8</v>
      </c>
      <c r="I236">
        <v>221.02</v>
      </c>
      <c r="J236">
        <v>0.15</v>
      </c>
      <c r="K236">
        <v>1502.94</v>
      </c>
      <c r="L236" t="s">
        <v>816</v>
      </c>
    </row>
    <row r="237" spans="1:12" x14ac:dyDescent="0.3">
      <c r="A237" t="s">
        <v>247</v>
      </c>
      <c r="B237" s="2">
        <v>45814</v>
      </c>
      <c r="C237" t="s">
        <v>622</v>
      </c>
      <c r="D237" t="s">
        <v>789</v>
      </c>
      <c r="E237" t="s">
        <v>792</v>
      </c>
      <c r="F237" t="s">
        <v>800</v>
      </c>
      <c r="G237" t="s">
        <v>810</v>
      </c>
      <c r="H237">
        <v>7</v>
      </c>
      <c r="I237">
        <v>641.16</v>
      </c>
      <c r="J237">
        <v>0.3</v>
      </c>
      <c r="K237">
        <v>3141.68</v>
      </c>
      <c r="L237" t="s">
        <v>814</v>
      </c>
    </row>
    <row r="238" spans="1:12" x14ac:dyDescent="0.3">
      <c r="A238" t="s">
        <v>248</v>
      </c>
      <c r="B238" s="2">
        <v>45815</v>
      </c>
      <c r="C238" t="s">
        <v>640</v>
      </c>
      <c r="D238" t="s">
        <v>789</v>
      </c>
      <c r="E238" t="s">
        <v>792</v>
      </c>
      <c r="F238" t="s">
        <v>799</v>
      </c>
      <c r="G238" t="s">
        <v>809</v>
      </c>
      <c r="H238">
        <v>7</v>
      </c>
      <c r="I238">
        <v>53.87</v>
      </c>
      <c r="J238">
        <v>0.1</v>
      </c>
      <c r="K238">
        <v>339.38</v>
      </c>
      <c r="L238" t="s">
        <v>815</v>
      </c>
    </row>
    <row r="239" spans="1:12" x14ac:dyDescent="0.3">
      <c r="A239" t="s">
        <v>249</v>
      </c>
      <c r="B239" s="2">
        <v>45816</v>
      </c>
      <c r="C239" t="s">
        <v>642</v>
      </c>
      <c r="D239" t="s">
        <v>789</v>
      </c>
      <c r="E239" t="s">
        <v>792</v>
      </c>
      <c r="F239" t="s">
        <v>797</v>
      </c>
      <c r="G239" t="s">
        <v>809</v>
      </c>
      <c r="H239">
        <v>4</v>
      </c>
      <c r="I239">
        <v>200.32</v>
      </c>
      <c r="J239">
        <v>0.1</v>
      </c>
      <c r="K239">
        <v>721.15</v>
      </c>
      <c r="L239" t="s">
        <v>815</v>
      </c>
    </row>
    <row r="240" spans="1:12" x14ac:dyDescent="0.3">
      <c r="A240" t="s">
        <v>250</v>
      </c>
      <c r="B240" s="2">
        <v>45817</v>
      </c>
      <c r="C240" t="s">
        <v>655</v>
      </c>
      <c r="D240" t="s">
        <v>785</v>
      </c>
      <c r="E240" t="s">
        <v>792</v>
      </c>
      <c r="F240" t="s">
        <v>807</v>
      </c>
      <c r="G240" t="s">
        <v>810</v>
      </c>
      <c r="H240">
        <v>6</v>
      </c>
      <c r="I240">
        <v>814.25</v>
      </c>
      <c r="J240">
        <v>0.15</v>
      </c>
      <c r="K240">
        <v>4152.68</v>
      </c>
      <c r="L240" t="s">
        <v>815</v>
      </c>
    </row>
    <row r="241" spans="1:12" x14ac:dyDescent="0.3">
      <c r="A241" t="s">
        <v>251</v>
      </c>
      <c r="B241" s="2">
        <v>45817</v>
      </c>
      <c r="C241" t="s">
        <v>653</v>
      </c>
      <c r="D241" t="s">
        <v>787</v>
      </c>
      <c r="E241" t="s">
        <v>794</v>
      </c>
      <c r="F241" t="s">
        <v>797</v>
      </c>
      <c r="G241" t="s">
        <v>809</v>
      </c>
      <c r="H241">
        <v>8</v>
      </c>
      <c r="I241">
        <v>201.11</v>
      </c>
      <c r="J241">
        <v>0.15</v>
      </c>
      <c r="K241">
        <v>1367.55</v>
      </c>
      <c r="L241" t="s">
        <v>814</v>
      </c>
    </row>
    <row r="242" spans="1:12" x14ac:dyDescent="0.3">
      <c r="A242" t="s">
        <v>252</v>
      </c>
      <c r="B242" s="2">
        <v>45817</v>
      </c>
      <c r="C242" t="s">
        <v>736</v>
      </c>
      <c r="D242" t="s">
        <v>785</v>
      </c>
      <c r="E242" t="s">
        <v>792</v>
      </c>
      <c r="F242" t="s">
        <v>799</v>
      </c>
      <c r="G242" t="s">
        <v>809</v>
      </c>
      <c r="H242">
        <v>5</v>
      </c>
      <c r="I242">
        <v>59.8</v>
      </c>
      <c r="J242">
        <v>0.2</v>
      </c>
      <c r="K242">
        <v>239.2</v>
      </c>
      <c r="L242" t="s">
        <v>814</v>
      </c>
    </row>
    <row r="243" spans="1:12" x14ac:dyDescent="0.3">
      <c r="A243" t="s">
        <v>253</v>
      </c>
      <c r="B243" s="2">
        <v>45817</v>
      </c>
      <c r="C243" t="s">
        <v>666</v>
      </c>
      <c r="D243" t="s">
        <v>785</v>
      </c>
      <c r="E243" t="s">
        <v>792</v>
      </c>
      <c r="F243" t="s">
        <v>805</v>
      </c>
      <c r="G243" t="s">
        <v>810</v>
      </c>
      <c r="H243">
        <v>6</v>
      </c>
      <c r="I243">
        <v>44.08</v>
      </c>
      <c r="J243">
        <v>0.25</v>
      </c>
      <c r="K243">
        <v>198.36</v>
      </c>
      <c r="L243" t="s">
        <v>816</v>
      </c>
    </row>
    <row r="244" spans="1:12" x14ac:dyDescent="0.3">
      <c r="A244" t="s">
        <v>254</v>
      </c>
      <c r="B244" s="2">
        <v>45818</v>
      </c>
      <c r="C244" t="s">
        <v>733</v>
      </c>
      <c r="D244" t="s">
        <v>789</v>
      </c>
      <c r="E244" t="s">
        <v>792</v>
      </c>
      <c r="F244" t="s">
        <v>804</v>
      </c>
      <c r="G244" t="s">
        <v>809</v>
      </c>
      <c r="H244">
        <v>4</v>
      </c>
      <c r="I244">
        <v>358.65</v>
      </c>
      <c r="J244">
        <v>0</v>
      </c>
      <c r="K244">
        <v>1434.6</v>
      </c>
      <c r="L244" t="s">
        <v>813</v>
      </c>
    </row>
    <row r="245" spans="1:12" x14ac:dyDescent="0.3">
      <c r="A245" t="s">
        <v>255</v>
      </c>
      <c r="B245" s="2">
        <v>45818</v>
      </c>
      <c r="C245" t="s">
        <v>698</v>
      </c>
      <c r="D245" t="s">
        <v>789</v>
      </c>
      <c r="E245" t="s">
        <v>792</v>
      </c>
      <c r="F245" t="s">
        <v>800</v>
      </c>
      <c r="G245" t="s">
        <v>810</v>
      </c>
      <c r="H245">
        <v>8</v>
      </c>
      <c r="I245">
        <v>631.13</v>
      </c>
      <c r="J245">
        <v>0.1</v>
      </c>
      <c r="K245">
        <v>4544.1400000000003</v>
      </c>
      <c r="L245" t="s">
        <v>814</v>
      </c>
    </row>
    <row r="246" spans="1:12" x14ac:dyDescent="0.3">
      <c r="A246" t="s">
        <v>256</v>
      </c>
      <c r="B246" s="2">
        <v>45818</v>
      </c>
      <c r="C246" t="s">
        <v>733</v>
      </c>
      <c r="D246" t="s">
        <v>788</v>
      </c>
      <c r="E246" t="s">
        <v>795</v>
      </c>
      <c r="F246" t="s">
        <v>806</v>
      </c>
      <c r="G246" t="s">
        <v>810</v>
      </c>
      <c r="H246">
        <v>1</v>
      </c>
      <c r="I246">
        <v>80.61</v>
      </c>
      <c r="J246">
        <v>0.15</v>
      </c>
      <c r="K246">
        <v>68.52</v>
      </c>
      <c r="L246" t="s">
        <v>813</v>
      </c>
    </row>
    <row r="247" spans="1:12" x14ac:dyDescent="0.3">
      <c r="A247" t="s">
        <v>257</v>
      </c>
      <c r="B247" s="2">
        <v>45819</v>
      </c>
      <c r="C247" t="s">
        <v>737</v>
      </c>
      <c r="D247" t="s">
        <v>786</v>
      </c>
      <c r="E247" t="s">
        <v>793</v>
      </c>
      <c r="F247" t="s">
        <v>799</v>
      </c>
      <c r="G247" t="s">
        <v>809</v>
      </c>
      <c r="H247">
        <v>3</v>
      </c>
      <c r="I247">
        <v>58.59</v>
      </c>
      <c r="J247">
        <v>0</v>
      </c>
      <c r="K247">
        <v>175.77</v>
      </c>
      <c r="L247" t="s">
        <v>815</v>
      </c>
    </row>
    <row r="248" spans="1:12" x14ac:dyDescent="0.3">
      <c r="A248" t="s">
        <v>258</v>
      </c>
      <c r="B248" s="2">
        <v>45820</v>
      </c>
      <c r="C248" t="s">
        <v>738</v>
      </c>
      <c r="D248" t="s">
        <v>786</v>
      </c>
      <c r="E248" t="s">
        <v>793</v>
      </c>
      <c r="F248" t="s">
        <v>803</v>
      </c>
      <c r="G248" t="s">
        <v>810</v>
      </c>
      <c r="H248">
        <v>8</v>
      </c>
      <c r="I248">
        <v>113.09</v>
      </c>
      <c r="J248">
        <v>0.2</v>
      </c>
      <c r="K248">
        <v>723.78</v>
      </c>
      <c r="L248" t="s">
        <v>814</v>
      </c>
    </row>
    <row r="249" spans="1:12" x14ac:dyDescent="0.3">
      <c r="A249" t="s">
        <v>259</v>
      </c>
      <c r="B249" s="2">
        <v>45821</v>
      </c>
      <c r="C249" t="s">
        <v>705</v>
      </c>
      <c r="D249" t="s">
        <v>785</v>
      </c>
      <c r="E249" t="s">
        <v>792</v>
      </c>
      <c r="F249" t="s">
        <v>806</v>
      </c>
      <c r="G249" t="s">
        <v>810</v>
      </c>
      <c r="H249">
        <v>8</v>
      </c>
      <c r="I249">
        <v>84.3</v>
      </c>
      <c r="J249">
        <v>0.15</v>
      </c>
      <c r="K249">
        <v>573.24</v>
      </c>
      <c r="L249" t="s">
        <v>813</v>
      </c>
    </row>
    <row r="250" spans="1:12" x14ac:dyDescent="0.3">
      <c r="A250" t="s">
        <v>260</v>
      </c>
      <c r="B250" s="2">
        <v>45821</v>
      </c>
      <c r="C250" t="s">
        <v>676</v>
      </c>
      <c r="D250" t="s">
        <v>788</v>
      </c>
      <c r="E250" t="s">
        <v>795</v>
      </c>
      <c r="F250" t="s">
        <v>804</v>
      </c>
      <c r="G250" t="s">
        <v>809</v>
      </c>
      <c r="H250">
        <v>7</v>
      </c>
      <c r="I250">
        <v>342.66</v>
      </c>
      <c r="J250">
        <v>0</v>
      </c>
      <c r="K250">
        <v>2398.62</v>
      </c>
      <c r="L250" t="s">
        <v>815</v>
      </c>
    </row>
    <row r="251" spans="1:12" x14ac:dyDescent="0.3">
      <c r="A251" t="s">
        <v>261</v>
      </c>
      <c r="B251" s="2">
        <v>45822</v>
      </c>
      <c r="C251" t="s">
        <v>665</v>
      </c>
      <c r="D251" t="s">
        <v>790</v>
      </c>
      <c r="E251" t="s">
        <v>796</v>
      </c>
      <c r="F251" t="s">
        <v>804</v>
      </c>
      <c r="G251" t="s">
        <v>809</v>
      </c>
      <c r="H251">
        <v>2</v>
      </c>
      <c r="I251">
        <v>372.95</v>
      </c>
      <c r="J251">
        <v>0.2</v>
      </c>
      <c r="K251">
        <v>596.72</v>
      </c>
      <c r="L251" t="s">
        <v>815</v>
      </c>
    </row>
    <row r="252" spans="1:12" x14ac:dyDescent="0.3">
      <c r="A252" t="s">
        <v>262</v>
      </c>
      <c r="B252" s="2">
        <v>45822</v>
      </c>
      <c r="C252" t="s">
        <v>716</v>
      </c>
      <c r="D252" t="s">
        <v>785</v>
      </c>
      <c r="E252" t="s">
        <v>792</v>
      </c>
      <c r="F252" t="s">
        <v>802</v>
      </c>
      <c r="G252" t="s">
        <v>811</v>
      </c>
      <c r="H252">
        <v>5</v>
      </c>
      <c r="I252">
        <v>238.38</v>
      </c>
      <c r="J252">
        <v>0.2</v>
      </c>
      <c r="K252">
        <v>953.52</v>
      </c>
      <c r="L252" t="s">
        <v>814</v>
      </c>
    </row>
    <row r="253" spans="1:12" x14ac:dyDescent="0.3">
      <c r="A253" t="s">
        <v>263</v>
      </c>
      <c r="B253" s="2">
        <v>45822</v>
      </c>
      <c r="C253" t="s">
        <v>709</v>
      </c>
      <c r="D253" t="s">
        <v>786</v>
      </c>
      <c r="E253" t="s">
        <v>793</v>
      </c>
      <c r="F253" t="s">
        <v>805</v>
      </c>
      <c r="G253" t="s">
        <v>810</v>
      </c>
      <c r="H253">
        <v>3</v>
      </c>
      <c r="I253">
        <v>40.56</v>
      </c>
      <c r="J253">
        <v>0.1</v>
      </c>
      <c r="K253">
        <v>109.51</v>
      </c>
      <c r="L253" t="s">
        <v>814</v>
      </c>
    </row>
    <row r="254" spans="1:12" x14ac:dyDescent="0.3">
      <c r="A254" t="s">
        <v>264</v>
      </c>
      <c r="B254" s="2">
        <v>45824</v>
      </c>
      <c r="C254" t="s">
        <v>615</v>
      </c>
      <c r="D254" t="s">
        <v>790</v>
      </c>
      <c r="E254" t="s">
        <v>796</v>
      </c>
      <c r="F254" t="s">
        <v>805</v>
      </c>
      <c r="G254" t="s">
        <v>810</v>
      </c>
      <c r="H254">
        <v>2</v>
      </c>
      <c r="I254">
        <v>41.38</v>
      </c>
      <c r="J254">
        <v>0.2</v>
      </c>
      <c r="K254">
        <v>66.209999999999994</v>
      </c>
      <c r="L254" t="s">
        <v>815</v>
      </c>
    </row>
    <row r="255" spans="1:12" x14ac:dyDescent="0.3">
      <c r="A255" t="s">
        <v>265</v>
      </c>
      <c r="B255" s="2">
        <v>45824</v>
      </c>
      <c r="C255" t="s">
        <v>677</v>
      </c>
      <c r="D255" t="s">
        <v>789</v>
      </c>
      <c r="E255" t="s">
        <v>792</v>
      </c>
      <c r="F255" t="s">
        <v>805</v>
      </c>
      <c r="G255" t="s">
        <v>810</v>
      </c>
      <c r="H255">
        <v>3</v>
      </c>
      <c r="I255">
        <v>46.6</v>
      </c>
      <c r="J255">
        <v>0</v>
      </c>
      <c r="K255">
        <v>139.80000000000001</v>
      </c>
      <c r="L255" t="s">
        <v>814</v>
      </c>
    </row>
    <row r="256" spans="1:12" x14ac:dyDescent="0.3">
      <c r="A256" t="s">
        <v>266</v>
      </c>
      <c r="B256" s="2">
        <v>45825</v>
      </c>
      <c r="C256" t="s">
        <v>739</v>
      </c>
      <c r="D256" t="s">
        <v>788</v>
      </c>
      <c r="E256" t="s">
        <v>795</v>
      </c>
      <c r="F256" t="s">
        <v>802</v>
      </c>
      <c r="G256" t="s">
        <v>811</v>
      </c>
      <c r="H256">
        <v>4</v>
      </c>
      <c r="I256">
        <v>268.33999999999997</v>
      </c>
      <c r="J256">
        <v>0.2</v>
      </c>
      <c r="K256">
        <v>858.69</v>
      </c>
      <c r="L256" t="s">
        <v>815</v>
      </c>
    </row>
    <row r="257" spans="1:12" x14ac:dyDescent="0.3">
      <c r="A257" t="s">
        <v>267</v>
      </c>
      <c r="B257" s="2">
        <v>45825</v>
      </c>
      <c r="C257" t="s">
        <v>665</v>
      </c>
      <c r="D257" t="s">
        <v>785</v>
      </c>
      <c r="E257" t="s">
        <v>792</v>
      </c>
      <c r="F257" t="s">
        <v>804</v>
      </c>
      <c r="G257" t="s">
        <v>809</v>
      </c>
      <c r="H257">
        <v>7</v>
      </c>
      <c r="I257">
        <v>376.57</v>
      </c>
      <c r="J257">
        <v>0.2</v>
      </c>
      <c r="K257">
        <v>2108.79</v>
      </c>
      <c r="L257" t="s">
        <v>814</v>
      </c>
    </row>
    <row r="258" spans="1:12" x14ac:dyDescent="0.3">
      <c r="A258" t="s">
        <v>268</v>
      </c>
      <c r="B258" s="2">
        <v>45825</v>
      </c>
      <c r="C258" t="s">
        <v>680</v>
      </c>
      <c r="D258" t="s">
        <v>788</v>
      </c>
      <c r="E258" t="s">
        <v>795</v>
      </c>
      <c r="F258" t="s">
        <v>800</v>
      </c>
      <c r="G258" t="s">
        <v>810</v>
      </c>
      <c r="H258">
        <v>5</v>
      </c>
      <c r="I258">
        <v>597.67999999999995</v>
      </c>
      <c r="J258">
        <v>0.1</v>
      </c>
      <c r="K258">
        <v>2689.56</v>
      </c>
      <c r="L258" t="s">
        <v>815</v>
      </c>
    </row>
    <row r="259" spans="1:12" x14ac:dyDescent="0.3">
      <c r="A259" t="s">
        <v>269</v>
      </c>
      <c r="B259" s="2">
        <v>45826</v>
      </c>
      <c r="C259" t="s">
        <v>733</v>
      </c>
      <c r="D259" t="s">
        <v>785</v>
      </c>
      <c r="E259" t="s">
        <v>792</v>
      </c>
      <c r="F259" t="s">
        <v>801</v>
      </c>
      <c r="G259" t="s">
        <v>811</v>
      </c>
      <c r="H259">
        <v>5</v>
      </c>
      <c r="I259">
        <v>15.08</v>
      </c>
      <c r="J259">
        <v>0.1</v>
      </c>
      <c r="K259">
        <v>67.86</v>
      </c>
      <c r="L259" t="s">
        <v>815</v>
      </c>
    </row>
    <row r="260" spans="1:12" x14ac:dyDescent="0.3">
      <c r="A260" t="s">
        <v>270</v>
      </c>
      <c r="B260" s="2">
        <v>45826</v>
      </c>
      <c r="C260" t="s">
        <v>659</v>
      </c>
      <c r="D260" t="s">
        <v>787</v>
      </c>
      <c r="E260" t="s">
        <v>794</v>
      </c>
      <c r="F260" t="s">
        <v>807</v>
      </c>
      <c r="G260" t="s">
        <v>810</v>
      </c>
      <c r="H260">
        <v>8</v>
      </c>
      <c r="I260">
        <v>830.66</v>
      </c>
      <c r="J260">
        <v>0.2</v>
      </c>
      <c r="K260">
        <v>5316.22</v>
      </c>
      <c r="L260" t="s">
        <v>813</v>
      </c>
    </row>
    <row r="261" spans="1:12" x14ac:dyDescent="0.3">
      <c r="A261" t="s">
        <v>271</v>
      </c>
      <c r="B261" s="2">
        <v>45828</v>
      </c>
      <c r="C261" t="s">
        <v>740</v>
      </c>
      <c r="D261" t="s">
        <v>785</v>
      </c>
      <c r="E261" t="s">
        <v>792</v>
      </c>
      <c r="F261" t="s">
        <v>807</v>
      </c>
      <c r="G261" t="s">
        <v>810</v>
      </c>
      <c r="H261">
        <v>3</v>
      </c>
      <c r="I261">
        <v>954.26</v>
      </c>
      <c r="J261">
        <v>0.1</v>
      </c>
      <c r="K261">
        <v>2576.5</v>
      </c>
      <c r="L261" t="s">
        <v>813</v>
      </c>
    </row>
    <row r="262" spans="1:12" x14ac:dyDescent="0.3">
      <c r="A262" t="s">
        <v>272</v>
      </c>
      <c r="B262" s="2">
        <v>45828</v>
      </c>
      <c r="C262" t="s">
        <v>702</v>
      </c>
      <c r="D262" t="s">
        <v>789</v>
      </c>
      <c r="E262" t="s">
        <v>792</v>
      </c>
      <c r="F262" t="s">
        <v>802</v>
      </c>
      <c r="G262" t="s">
        <v>811</v>
      </c>
      <c r="H262">
        <v>4</v>
      </c>
      <c r="I262">
        <v>266.44</v>
      </c>
      <c r="J262">
        <v>0.1</v>
      </c>
      <c r="K262">
        <v>959.18</v>
      </c>
      <c r="L262" t="s">
        <v>814</v>
      </c>
    </row>
    <row r="263" spans="1:12" x14ac:dyDescent="0.3">
      <c r="A263" t="s">
        <v>273</v>
      </c>
      <c r="B263" s="2">
        <v>45829</v>
      </c>
      <c r="C263" t="s">
        <v>693</v>
      </c>
      <c r="D263" t="s">
        <v>787</v>
      </c>
      <c r="E263" t="s">
        <v>794</v>
      </c>
      <c r="F263" t="s">
        <v>807</v>
      </c>
      <c r="G263" t="s">
        <v>810</v>
      </c>
      <c r="H263">
        <v>6</v>
      </c>
      <c r="I263">
        <v>870.59</v>
      </c>
      <c r="J263">
        <v>0</v>
      </c>
      <c r="K263">
        <v>5223.54</v>
      </c>
      <c r="L263" t="s">
        <v>814</v>
      </c>
    </row>
    <row r="264" spans="1:12" x14ac:dyDescent="0.3">
      <c r="A264" t="s">
        <v>274</v>
      </c>
      <c r="B264" s="2">
        <v>45829</v>
      </c>
      <c r="C264" t="s">
        <v>624</v>
      </c>
      <c r="D264" t="s">
        <v>787</v>
      </c>
      <c r="E264" t="s">
        <v>794</v>
      </c>
      <c r="F264" t="s">
        <v>802</v>
      </c>
      <c r="G264" t="s">
        <v>811</v>
      </c>
      <c r="H264">
        <v>1</v>
      </c>
      <c r="I264">
        <v>233.18</v>
      </c>
      <c r="J264">
        <v>0.05</v>
      </c>
      <c r="K264">
        <v>221.52</v>
      </c>
      <c r="L264" t="s">
        <v>816</v>
      </c>
    </row>
    <row r="265" spans="1:12" x14ac:dyDescent="0.3">
      <c r="A265" t="s">
        <v>275</v>
      </c>
      <c r="B265" s="2">
        <v>45829</v>
      </c>
      <c r="C265" t="s">
        <v>741</v>
      </c>
      <c r="D265" t="s">
        <v>785</v>
      </c>
      <c r="E265" t="s">
        <v>792</v>
      </c>
      <c r="F265" t="s">
        <v>806</v>
      </c>
      <c r="G265" t="s">
        <v>810</v>
      </c>
      <c r="H265">
        <v>4</v>
      </c>
      <c r="I265">
        <v>78.790000000000006</v>
      </c>
      <c r="J265">
        <v>0</v>
      </c>
      <c r="K265">
        <v>315.16000000000003</v>
      </c>
      <c r="L265" t="s">
        <v>813</v>
      </c>
    </row>
    <row r="266" spans="1:12" x14ac:dyDescent="0.3">
      <c r="A266" t="s">
        <v>276</v>
      </c>
      <c r="B266" s="2">
        <v>45829</v>
      </c>
      <c r="C266" t="s">
        <v>708</v>
      </c>
      <c r="D266" t="s">
        <v>790</v>
      </c>
      <c r="E266" t="s">
        <v>796</v>
      </c>
      <c r="F266" t="s">
        <v>800</v>
      </c>
      <c r="G266" t="s">
        <v>810</v>
      </c>
      <c r="H266">
        <v>5</v>
      </c>
      <c r="I266">
        <v>652.79</v>
      </c>
      <c r="J266">
        <v>0</v>
      </c>
      <c r="K266">
        <v>3263.95</v>
      </c>
      <c r="L266" t="s">
        <v>813</v>
      </c>
    </row>
    <row r="267" spans="1:12" x14ac:dyDescent="0.3">
      <c r="A267" t="s">
        <v>277</v>
      </c>
      <c r="B267" s="2">
        <v>45830</v>
      </c>
      <c r="C267" t="s">
        <v>667</v>
      </c>
      <c r="D267" t="s">
        <v>789</v>
      </c>
      <c r="E267" t="s">
        <v>792</v>
      </c>
      <c r="F267" t="s">
        <v>805</v>
      </c>
      <c r="G267" t="s">
        <v>810</v>
      </c>
      <c r="H267">
        <v>5</v>
      </c>
      <c r="I267">
        <v>46.04</v>
      </c>
      <c r="J267">
        <v>0.05</v>
      </c>
      <c r="K267">
        <v>218.69</v>
      </c>
      <c r="L267" t="s">
        <v>815</v>
      </c>
    </row>
    <row r="268" spans="1:12" x14ac:dyDescent="0.3">
      <c r="A268" t="s">
        <v>278</v>
      </c>
      <c r="B268" s="2">
        <v>45830</v>
      </c>
      <c r="C268" t="s">
        <v>699</v>
      </c>
      <c r="D268" t="s">
        <v>788</v>
      </c>
      <c r="E268" t="s">
        <v>795</v>
      </c>
      <c r="F268" t="s">
        <v>801</v>
      </c>
      <c r="G268" t="s">
        <v>811</v>
      </c>
      <c r="H268">
        <v>6</v>
      </c>
      <c r="I268">
        <v>16.14</v>
      </c>
      <c r="J268">
        <v>0.05</v>
      </c>
      <c r="K268">
        <v>92</v>
      </c>
      <c r="L268" t="s">
        <v>815</v>
      </c>
    </row>
    <row r="269" spans="1:12" x14ac:dyDescent="0.3">
      <c r="A269" t="s">
        <v>279</v>
      </c>
      <c r="B269" s="2">
        <v>45831</v>
      </c>
      <c r="C269" t="s">
        <v>679</v>
      </c>
      <c r="D269" t="s">
        <v>785</v>
      </c>
      <c r="E269" t="s">
        <v>792</v>
      </c>
      <c r="F269" t="s">
        <v>797</v>
      </c>
      <c r="G269" t="s">
        <v>809</v>
      </c>
      <c r="H269">
        <v>2</v>
      </c>
      <c r="I269">
        <v>215.46</v>
      </c>
      <c r="J269">
        <v>0</v>
      </c>
      <c r="K269">
        <v>430.92</v>
      </c>
      <c r="L269" t="s">
        <v>815</v>
      </c>
    </row>
    <row r="270" spans="1:12" x14ac:dyDescent="0.3">
      <c r="A270" t="s">
        <v>280</v>
      </c>
      <c r="B270" s="2">
        <v>45832</v>
      </c>
      <c r="C270" t="s">
        <v>622</v>
      </c>
      <c r="D270" t="s">
        <v>786</v>
      </c>
      <c r="E270" t="s">
        <v>793</v>
      </c>
      <c r="F270" t="s">
        <v>807</v>
      </c>
      <c r="G270" t="s">
        <v>810</v>
      </c>
      <c r="H270">
        <v>6</v>
      </c>
      <c r="I270">
        <v>895.92</v>
      </c>
      <c r="J270">
        <v>0.05</v>
      </c>
      <c r="K270">
        <v>5106.74</v>
      </c>
      <c r="L270" t="s">
        <v>814</v>
      </c>
    </row>
    <row r="271" spans="1:12" x14ac:dyDescent="0.3">
      <c r="A271" t="s">
        <v>281</v>
      </c>
      <c r="B271" s="2">
        <v>45833</v>
      </c>
      <c r="C271" t="s">
        <v>742</v>
      </c>
      <c r="D271" t="s">
        <v>786</v>
      </c>
      <c r="E271" t="s">
        <v>793</v>
      </c>
      <c r="F271" t="s">
        <v>800</v>
      </c>
      <c r="G271" t="s">
        <v>810</v>
      </c>
      <c r="H271">
        <v>8</v>
      </c>
      <c r="I271">
        <v>617.37</v>
      </c>
      <c r="J271">
        <v>0.1</v>
      </c>
      <c r="K271">
        <v>4445.0600000000004</v>
      </c>
      <c r="L271" t="s">
        <v>814</v>
      </c>
    </row>
    <row r="272" spans="1:12" x14ac:dyDescent="0.3">
      <c r="A272" t="s">
        <v>282</v>
      </c>
      <c r="B272" s="2">
        <v>45834</v>
      </c>
      <c r="C272" t="s">
        <v>646</v>
      </c>
      <c r="D272" t="s">
        <v>785</v>
      </c>
      <c r="E272" t="s">
        <v>792</v>
      </c>
      <c r="F272" t="s">
        <v>803</v>
      </c>
      <c r="G272" t="s">
        <v>810</v>
      </c>
      <c r="H272">
        <v>8</v>
      </c>
      <c r="I272">
        <v>116.4</v>
      </c>
      <c r="J272">
        <v>0</v>
      </c>
      <c r="K272">
        <v>931.2</v>
      </c>
      <c r="L272" t="s">
        <v>816</v>
      </c>
    </row>
    <row r="273" spans="1:12" x14ac:dyDescent="0.3">
      <c r="A273" t="s">
        <v>283</v>
      </c>
      <c r="B273" s="2">
        <v>45835</v>
      </c>
      <c r="C273" t="s">
        <v>743</v>
      </c>
      <c r="D273" t="s">
        <v>785</v>
      </c>
      <c r="E273" t="s">
        <v>792</v>
      </c>
      <c r="F273" t="s">
        <v>805</v>
      </c>
      <c r="G273" t="s">
        <v>810</v>
      </c>
      <c r="H273">
        <v>2</v>
      </c>
      <c r="I273">
        <v>49.26</v>
      </c>
      <c r="J273">
        <v>0.1</v>
      </c>
      <c r="K273">
        <v>88.67</v>
      </c>
      <c r="L273" t="s">
        <v>814</v>
      </c>
    </row>
    <row r="274" spans="1:12" x14ac:dyDescent="0.3">
      <c r="A274" t="s">
        <v>284</v>
      </c>
      <c r="B274" s="2">
        <v>45835</v>
      </c>
      <c r="C274" t="s">
        <v>643</v>
      </c>
      <c r="D274" t="s">
        <v>788</v>
      </c>
      <c r="E274" t="s">
        <v>795</v>
      </c>
      <c r="F274" t="s">
        <v>806</v>
      </c>
      <c r="G274" t="s">
        <v>810</v>
      </c>
      <c r="H274">
        <v>2</v>
      </c>
      <c r="I274">
        <v>75.010000000000005</v>
      </c>
      <c r="J274">
        <v>0.1</v>
      </c>
      <c r="K274">
        <v>135.02000000000001</v>
      </c>
      <c r="L274" t="s">
        <v>814</v>
      </c>
    </row>
    <row r="275" spans="1:12" x14ac:dyDescent="0.3">
      <c r="A275" t="s">
        <v>285</v>
      </c>
      <c r="B275" s="2">
        <v>45835</v>
      </c>
      <c r="C275" t="s">
        <v>657</v>
      </c>
      <c r="D275" t="s">
        <v>785</v>
      </c>
      <c r="E275" t="s">
        <v>792</v>
      </c>
      <c r="F275" t="s">
        <v>808</v>
      </c>
      <c r="G275" t="s">
        <v>812</v>
      </c>
      <c r="H275">
        <v>8</v>
      </c>
      <c r="I275">
        <v>77.47</v>
      </c>
      <c r="J275">
        <v>0.1</v>
      </c>
      <c r="K275">
        <v>557.78</v>
      </c>
      <c r="L275" t="s">
        <v>813</v>
      </c>
    </row>
    <row r="276" spans="1:12" x14ac:dyDescent="0.3">
      <c r="A276" t="s">
        <v>286</v>
      </c>
      <c r="B276" s="2">
        <v>45836</v>
      </c>
      <c r="C276" t="s">
        <v>618</v>
      </c>
      <c r="D276" t="s">
        <v>785</v>
      </c>
      <c r="E276" t="s">
        <v>792</v>
      </c>
      <c r="F276" t="s">
        <v>808</v>
      </c>
      <c r="G276" t="s">
        <v>812</v>
      </c>
      <c r="H276">
        <v>8</v>
      </c>
      <c r="I276">
        <v>81.72</v>
      </c>
      <c r="J276">
        <v>0.1</v>
      </c>
      <c r="K276">
        <v>588.38</v>
      </c>
      <c r="L276" t="s">
        <v>813</v>
      </c>
    </row>
    <row r="277" spans="1:12" x14ac:dyDescent="0.3">
      <c r="A277" t="s">
        <v>287</v>
      </c>
      <c r="B277" s="2">
        <v>45837</v>
      </c>
      <c r="C277" t="s">
        <v>633</v>
      </c>
      <c r="D277" t="s">
        <v>789</v>
      </c>
      <c r="E277" t="s">
        <v>792</v>
      </c>
      <c r="F277" t="s">
        <v>806</v>
      </c>
      <c r="G277" t="s">
        <v>810</v>
      </c>
      <c r="H277">
        <v>7</v>
      </c>
      <c r="I277">
        <v>74.69</v>
      </c>
      <c r="J277">
        <v>0.05</v>
      </c>
      <c r="K277">
        <v>496.69</v>
      </c>
      <c r="L277" t="s">
        <v>815</v>
      </c>
    </row>
    <row r="278" spans="1:12" x14ac:dyDescent="0.3">
      <c r="A278" t="s">
        <v>288</v>
      </c>
      <c r="B278" s="2">
        <v>45838</v>
      </c>
      <c r="C278" t="s">
        <v>678</v>
      </c>
      <c r="D278" t="s">
        <v>788</v>
      </c>
      <c r="E278" t="s">
        <v>795</v>
      </c>
      <c r="F278" t="s">
        <v>806</v>
      </c>
      <c r="G278" t="s">
        <v>810</v>
      </c>
      <c r="H278">
        <v>8</v>
      </c>
      <c r="I278">
        <v>82.47</v>
      </c>
      <c r="J278">
        <v>0</v>
      </c>
      <c r="K278">
        <v>659.76</v>
      </c>
      <c r="L278" t="s">
        <v>813</v>
      </c>
    </row>
    <row r="279" spans="1:12" x14ac:dyDescent="0.3">
      <c r="A279" t="s">
        <v>289</v>
      </c>
      <c r="B279" s="2">
        <v>45839</v>
      </c>
      <c r="C279" t="s">
        <v>684</v>
      </c>
      <c r="D279" t="s">
        <v>790</v>
      </c>
      <c r="E279" t="s">
        <v>796</v>
      </c>
      <c r="F279" t="s">
        <v>798</v>
      </c>
      <c r="G279" t="s">
        <v>810</v>
      </c>
      <c r="H279">
        <v>1</v>
      </c>
      <c r="I279">
        <v>276.79000000000002</v>
      </c>
      <c r="J279">
        <v>0.3</v>
      </c>
      <c r="K279">
        <v>193.75</v>
      </c>
      <c r="L279" t="s">
        <v>813</v>
      </c>
    </row>
    <row r="280" spans="1:12" x14ac:dyDescent="0.3">
      <c r="A280" t="s">
        <v>290</v>
      </c>
      <c r="B280" s="2">
        <v>45840</v>
      </c>
      <c r="C280" t="s">
        <v>674</v>
      </c>
      <c r="D280" t="s">
        <v>789</v>
      </c>
      <c r="E280" t="s">
        <v>792</v>
      </c>
      <c r="F280" t="s">
        <v>799</v>
      </c>
      <c r="G280" t="s">
        <v>809</v>
      </c>
      <c r="H280">
        <v>4</v>
      </c>
      <c r="I280">
        <v>54.79</v>
      </c>
      <c r="J280">
        <v>0.2</v>
      </c>
      <c r="K280">
        <v>175.33</v>
      </c>
      <c r="L280" t="s">
        <v>815</v>
      </c>
    </row>
    <row r="281" spans="1:12" x14ac:dyDescent="0.3">
      <c r="A281" t="s">
        <v>291</v>
      </c>
      <c r="B281" s="2">
        <v>45840</v>
      </c>
      <c r="C281" t="s">
        <v>716</v>
      </c>
      <c r="D281" t="s">
        <v>785</v>
      </c>
      <c r="E281" t="s">
        <v>792</v>
      </c>
      <c r="F281" t="s">
        <v>803</v>
      </c>
      <c r="G281" t="s">
        <v>810</v>
      </c>
      <c r="H281">
        <v>2</v>
      </c>
      <c r="I281">
        <v>131.54</v>
      </c>
      <c r="J281">
        <v>0.1</v>
      </c>
      <c r="K281">
        <v>236.77</v>
      </c>
      <c r="L281" t="s">
        <v>813</v>
      </c>
    </row>
    <row r="282" spans="1:12" x14ac:dyDescent="0.3">
      <c r="A282" t="s">
        <v>292</v>
      </c>
      <c r="B282" s="2">
        <v>45840</v>
      </c>
      <c r="C282" t="s">
        <v>714</v>
      </c>
      <c r="D282" t="s">
        <v>789</v>
      </c>
      <c r="E282" t="s">
        <v>792</v>
      </c>
      <c r="F282" t="s">
        <v>798</v>
      </c>
      <c r="G282" t="s">
        <v>810</v>
      </c>
      <c r="H282">
        <v>8</v>
      </c>
      <c r="I282">
        <v>290.45</v>
      </c>
      <c r="J282">
        <v>0.25</v>
      </c>
      <c r="K282">
        <v>1742.7</v>
      </c>
      <c r="L282" t="s">
        <v>813</v>
      </c>
    </row>
    <row r="283" spans="1:12" x14ac:dyDescent="0.3">
      <c r="A283" t="s">
        <v>293</v>
      </c>
      <c r="B283" s="2">
        <v>45842</v>
      </c>
      <c r="C283" t="s">
        <v>619</v>
      </c>
      <c r="D283" t="s">
        <v>788</v>
      </c>
      <c r="E283" t="s">
        <v>795</v>
      </c>
      <c r="F283" t="s">
        <v>798</v>
      </c>
      <c r="G283" t="s">
        <v>810</v>
      </c>
      <c r="H283">
        <v>3</v>
      </c>
      <c r="I283">
        <v>284.86</v>
      </c>
      <c r="J283">
        <v>0.05</v>
      </c>
      <c r="K283">
        <v>811.85</v>
      </c>
      <c r="L283" t="s">
        <v>813</v>
      </c>
    </row>
    <row r="284" spans="1:12" x14ac:dyDescent="0.3">
      <c r="A284" t="s">
        <v>294</v>
      </c>
      <c r="B284" s="2">
        <v>45843</v>
      </c>
      <c r="C284" t="s">
        <v>742</v>
      </c>
      <c r="D284" t="s">
        <v>788</v>
      </c>
      <c r="E284" t="s">
        <v>795</v>
      </c>
      <c r="F284" t="s">
        <v>797</v>
      </c>
      <c r="G284" t="s">
        <v>809</v>
      </c>
      <c r="H284">
        <v>7</v>
      </c>
      <c r="I284">
        <v>232.06</v>
      </c>
      <c r="J284">
        <v>0.15</v>
      </c>
      <c r="K284">
        <v>1380.76</v>
      </c>
      <c r="L284" t="s">
        <v>815</v>
      </c>
    </row>
    <row r="285" spans="1:12" x14ac:dyDescent="0.3">
      <c r="A285" t="s">
        <v>295</v>
      </c>
      <c r="B285" s="2">
        <v>45844</v>
      </c>
      <c r="C285" t="s">
        <v>639</v>
      </c>
      <c r="D285" t="s">
        <v>790</v>
      </c>
      <c r="E285" t="s">
        <v>796</v>
      </c>
      <c r="F285" t="s">
        <v>808</v>
      </c>
      <c r="G285" t="s">
        <v>812</v>
      </c>
      <c r="H285">
        <v>4</v>
      </c>
      <c r="I285">
        <v>82.05</v>
      </c>
      <c r="J285">
        <v>0.25</v>
      </c>
      <c r="K285">
        <v>246.15</v>
      </c>
      <c r="L285" t="s">
        <v>813</v>
      </c>
    </row>
    <row r="286" spans="1:12" x14ac:dyDescent="0.3">
      <c r="A286" t="s">
        <v>296</v>
      </c>
      <c r="B286" s="2">
        <v>45845</v>
      </c>
      <c r="C286" t="s">
        <v>690</v>
      </c>
      <c r="D286" t="s">
        <v>787</v>
      </c>
      <c r="E286" t="s">
        <v>794</v>
      </c>
      <c r="F286" t="s">
        <v>808</v>
      </c>
      <c r="G286" t="s">
        <v>812</v>
      </c>
      <c r="H286">
        <v>4</v>
      </c>
      <c r="I286">
        <v>67.650000000000006</v>
      </c>
      <c r="J286">
        <v>0.1</v>
      </c>
      <c r="K286">
        <v>243.54</v>
      </c>
      <c r="L286" t="s">
        <v>816</v>
      </c>
    </row>
    <row r="287" spans="1:12" x14ac:dyDescent="0.3">
      <c r="A287" t="s">
        <v>297</v>
      </c>
      <c r="B287" s="2">
        <v>45846</v>
      </c>
      <c r="C287" t="s">
        <v>720</v>
      </c>
      <c r="D287" t="s">
        <v>790</v>
      </c>
      <c r="E287" t="s">
        <v>796</v>
      </c>
      <c r="F287" t="s">
        <v>804</v>
      </c>
      <c r="G287" t="s">
        <v>809</v>
      </c>
      <c r="H287">
        <v>1</v>
      </c>
      <c r="I287">
        <v>343.66</v>
      </c>
      <c r="J287">
        <v>0.2</v>
      </c>
      <c r="K287">
        <v>274.93</v>
      </c>
      <c r="L287" t="s">
        <v>813</v>
      </c>
    </row>
    <row r="288" spans="1:12" x14ac:dyDescent="0.3">
      <c r="A288" t="s">
        <v>298</v>
      </c>
      <c r="B288" s="2">
        <v>45847</v>
      </c>
      <c r="C288" t="s">
        <v>652</v>
      </c>
      <c r="D288" t="s">
        <v>790</v>
      </c>
      <c r="E288" t="s">
        <v>796</v>
      </c>
      <c r="F288" t="s">
        <v>801</v>
      </c>
      <c r="G288" t="s">
        <v>811</v>
      </c>
      <c r="H288">
        <v>4</v>
      </c>
      <c r="I288">
        <v>15.17</v>
      </c>
      <c r="J288">
        <v>0.2</v>
      </c>
      <c r="K288">
        <v>48.54</v>
      </c>
      <c r="L288" t="s">
        <v>813</v>
      </c>
    </row>
    <row r="289" spans="1:12" x14ac:dyDescent="0.3">
      <c r="A289" t="s">
        <v>299</v>
      </c>
      <c r="B289" s="2">
        <v>45847</v>
      </c>
      <c r="C289" t="s">
        <v>743</v>
      </c>
      <c r="D289" t="s">
        <v>789</v>
      </c>
      <c r="E289" t="s">
        <v>792</v>
      </c>
      <c r="F289" t="s">
        <v>800</v>
      </c>
      <c r="G289" t="s">
        <v>810</v>
      </c>
      <c r="H289">
        <v>3</v>
      </c>
      <c r="I289">
        <v>616.08000000000004</v>
      </c>
      <c r="J289">
        <v>0.1</v>
      </c>
      <c r="K289">
        <v>1663.42</v>
      </c>
      <c r="L289" t="s">
        <v>813</v>
      </c>
    </row>
    <row r="290" spans="1:12" x14ac:dyDescent="0.3">
      <c r="A290" t="s">
        <v>300</v>
      </c>
      <c r="B290" s="2">
        <v>45849</v>
      </c>
      <c r="C290" t="s">
        <v>722</v>
      </c>
      <c r="D290" t="s">
        <v>787</v>
      </c>
      <c r="E290" t="s">
        <v>794</v>
      </c>
      <c r="F290" t="s">
        <v>804</v>
      </c>
      <c r="G290" t="s">
        <v>809</v>
      </c>
      <c r="H290">
        <v>5</v>
      </c>
      <c r="I290">
        <v>359.76</v>
      </c>
      <c r="J290">
        <v>0.2</v>
      </c>
      <c r="K290">
        <v>1439.04</v>
      </c>
      <c r="L290" t="s">
        <v>816</v>
      </c>
    </row>
    <row r="291" spans="1:12" x14ac:dyDescent="0.3">
      <c r="A291" t="s">
        <v>301</v>
      </c>
      <c r="B291" s="2">
        <v>45849</v>
      </c>
      <c r="C291" t="s">
        <v>744</v>
      </c>
      <c r="D291" t="s">
        <v>787</v>
      </c>
      <c r="E291" t="s">
        <v>794</v>
      </c>
      <c r="F291" t="s">
        <v>805</v>
      </c>
      <c r="G291" t="s">
        <v>810</v>
      </c>
      <c r="H291">
        <v>8</v>
      </c>
      <c r="I291">
        <v>48.91</v>
      </c>
      <c r="J291">
        <v>0.15</v>
      </c>
      <c r="K291">
        <v>332.59</v>
      </c>
      <c r="L291" t="s">
        <v>815</v>
      </c>
    </row>
    <row r="292" spans="1:12" x14ac:dyDescent="0.3">
      <c r="A292" t="s">
        <v>302</v>
      </c>
      <c r="B292" s="2">
        <v>45849</v>
      </c>
      <c r="C292" t="s">
        <v>689</v>
      </c>
      <c r="D292" t="s">
        <v>785</v>
      </c>
      <c r="E292" t="s">
        <v>792</v>
      </c>
      <c r="F292" t="s">
        <v>804</v>
      </c>
      <c r="G292" t="s">
        <v>809</v>
      </c>
      <c r="H292">
        <v>8</v>
      </c>
      <c r="I292">
        <v>360.59</v>
      </c>
      <c r="J292">
        <v>0</v>
      </c>
      <c r="K292">
        <v>2884.72</v>
      </c>
      <c r="L292" t="s">
        <v>815</v>
      </c>
    </row>
    <row r="293" spans="1:12" x14ac:dyDescent="0.3">
      <c r="A293" t="s">
        <v>303</v>
      </c>
      <c r="B293" s="2">
        <v>45849</v>
      </c>
      <c r="C293" t="s">
        <v>667</v>
      </c>
      <c r="D293" t="s">
        <v>785</v>
      </c>
      <c r="E293" t="s">
        <v>792</v>
      </c>
      <c r="F293" t="s">
        <v>806</v>
      </c>
      <c r="G293" t="s">
        <v>810</v>
      </c>
      <c r="H293">
        <v>8</v>
      </c>
      <c r="I293">
        <v>72.14</v>
      </c>
      <c r="J293">
        <v>0</v>
      </c>
      <c r="K293">
        <v>577.12</v>
      </c>
      <c r="L293" t="s">
        <v>814</v>
      </c>
    </row>
    <row r="294" spans="1:12" x14ac:dyDescent="0.3">
      <c r="A294" t="s">
        <v>304</v>
      </c>
      <c r="B294" s="2">
        <v>45849</v>
      </c>
      <c r="C294" t="s">
        <v>612</v>
      </c>
      <c r="D294" t="s">
        <v>786</v>
      </c>
      <c r="E294" t="s">
        <v>793</v>
      </c>
      <c r="F294" t="s">
        <v>798</v>
      </c>
      <c r="G294" t="s">
        <v>810</v>
      </c>
      <c r="H294">
        <v>8</v>
      </c>
      <c r="I294">
        <v>301.08</v>
      </c>
      <c r="J294">
        <v>0</v>
      </c>
      <c r="K294">
        <v>2408.64</v>
      </c>
      <c r="L294" t="s">
        <v>815</v>
      </c>
    </row>
    <row r="295" spans="1:12" x14ac:dyDescent="0.3">
      <c r="A295" t="s">
        <v>305</v>
      </c>
      <c r="B295" s="2">
        <v>45849</v>
      </c>
      <c r="C295" t="s">
        <v>655</v>
      </c>
      <c r="D295" t="s">
        <v>786</v>
      </c>
      <c r="E295" t="s">
        <v>793</v>
      </c>
      <c r="F295" t="s">
        <v>804</v>
      </c>
      <c r="G295" t="s">
        <v>809</v>
      </c>
      <c r="H295">
        <v>3</v>
      </c>
      <c r="I295">
        <v>376.59</v>
      </c>
      <c r="J295">
        <v>0.1</v>
      </c>
      <c r="K295">
        <v>1016.79</v>
      </c>
      <c r="L295" t="s">
        <v>814</v>
      </c>
    </row>
    <row r="296" spans="1:12" x14ac:dyDescent="0.3">
      <c r="A296" t="s">
        <v>306</v>
      </c>
      <c r="B296" s="2">
        <v>45850</v>
      </c>
      <c r="C296" t="s">
        <v>681</v>
      </c>
      <c r="D296" t="s">
        <v>785</v>
      </c>
      <c r="E296" t="s">
        <v>792</v>
      </c>
      <c r="F296" t="s">
        <v>806</v>
      </c>
      <c r="G296" t="s">
        <v>810</v>
      </c>
      <c r="H296">
        <v>6</v>
      </c>
      <c r="I296">
        <v>85.65</v>
      </c>
      <c r="J296">
        <v>0.15</v>
      </c>
      <c r="K296">
        <v>436.82</v>
      </c>
      <c r="L296" t="s">
        <v>815</v>
      </c>
    </row>
    <row r="297" spans="1:12" x14ac:dyDescent="0.3">
      <c r="A297" t="s">
        <v>307</v>
      </c>
      <c r="B297" s="2">
        <v>45851</v>
      </c>
      <c r="C297" t="s">
        <v>633</v>
      </c>
      <c r="D297" t="s">
        <v>789</v>
      </c>
      <c r="E297" t="s">
        <v>792</v>
      </c>
      <c r="F297" t="s">
        <v>806</v>
      </c>
      <c r="G297" t="s">
        <v>810</v>
      </c>
      <c r="H297">
        <v>3</v>
      </c>
      <c r="I297">
        <v>73.05</v>
      </c>
      <c r="J297">
        <v>0.15</v>
      </c>
      <c r="K297">
        <v>186.28</v>
      </c>
      <c r="L297" t="s">
        <v>815</v>
      </c>
    </row>
    <row r="298" spans="1:12" x14ac:dyDescent="0.3">
      <c r="A298" t="s">
        <v>308</v>
      </c>
      <c r="B298" s="2">
        <v>45851</v>
      </c>
      <c r="C298" t="s">
        <v>699</v>
      </c>
      <c r="D298" t="s">
        <v>788</v>
      </c>
      <c r="E298" t="s">
        <v>795</v>
      </c>
      <c r="F298" t="s">
        <v>799</v>
      </c>
      <c r="G298" t="s">
        <v>809</v>
      </c>
      <c r="H298">
        <v>4</v>
      </c>
      <c r="I298">
        <v>52.08</v>
      </c>
      <c r="J298">
        <v>0.2</v>
      </c>
      <c r="K298">
        <v>166.66</v>
      </c>
      <c r="L298" t="s">
        <v>816</v>
      </c>
    </row>
    <row r="299" spans="1:12" x14ac:dyDescent="0.3">
      <c r="A299" t="s">
        <v>309</v>
      </c>
      <c r="B299" s="2">
        <v>45852</v>
      </c>
      <c r="C299" t="s">
        <v>745</v>
      </c>
      <c r="D299" t="s">
        <v>790</v>
      </c>
      <c r="E299" t="s">
        <v>796</v>
      </c>
      <c r="F299" t="s">
        <v>801</v>
      </c>
      <c r="G299" t="s">
        <v>811</v>
      </c>
      <c r="H299">
        <v>1</v>
      </c>
      <c r="I299">
        <v>14.67</v>
      </c>
      <c r="J299">
        <v>0.05</v>
      </c>
      <c r="K299">
        <v>13.94</v>
      </c>
      <c r="L299" t="s">
        <v>815</v>
      </c>
    </row>
    <row r="300" spans="1:12" x14ac:dyDescent="0.3">
      <c r="A300" t="s">
        <v>310</v>
      </c>
      <c r="B300" s="2">
        <v>45852</v>
      </c>
      <c r="C300" t="s">
        <v>746</v>
      </c>
      <c r="D300" t="s">
        <v>787</v>
      </c>
      <c r="E300" t="s">
        <v>794</v>
      </c>
      <c r="F300" t="s">
        <v>800</v>
      </c>
      <c r="G300" t="s">
        <v>810</v>
      </c>
      <c r="H300">
        <v>1</v>
      </c>
      <c r="I300">
        <v>691.27</v>
      </c>
      <c r="J300">
        <v>0.05</v>
      </c>
      <c r="K300">
        <v>656.71</v>
      </c>
      <c r="L300" t="s">
        <v>814</v>
      </c>
    </row>
    <row r="301" spans="1:12" x14ac:dyDescent="0.3">
      <c r="A301" t="s">
        <v>311</v>
      </c>
      <c r="B301" s="2">
        <v>45854</v>
      </c>
      <c r="C301" t="s">
        <v>709</v>
      </c>
      <c r="D301" t="s">
        <v>789</v>
      </c>
      <c r="E301" t="s">
        <v>792</v>
      </c>
      <c r="F301" t="s">
        <v>803</v>
      </c>
      <c r="G301" t="s">
        <v>810</v>
      </c>
      <c r="H301">
        <v>6</v>
      </c>
      <c r="I301">
        <v>116.93</v>
      </c>
      <c r="J301">
        <v>0.1</v>
      </c>
      <c r="K301">
        <v>631.41999999999996</v>
      </c>
      <c r="L301" t="s">
        <v>814</v>
      </c>
    </row>
    <row r="302" spans="1:12" x14ac:dyDescent="0.3">
      <c r="A302" t="s">
        <v>312</v>
      </c>
      <c r="B302" s="2">
        <v>45855</v>
      </c>
      <c r="C302" t="s">
        <v>747</v>
      </c>
      <c r="D302" t="s">
        <v>785</v>
      </c>
      <c r="E302" t="s">
        <v>792</v>
      </c>
      <c r="F302" t="s">
        <v>805</v>
      </c>
      <c r="G302" t="s">
        <v>810</v>
      </c>
      <c r="H302">
        <v>8</v>
      </c>
      <c r="I302">
        <v>41.62</v>
      </c>
      <c r="J302">
        <v>0.25</v>
      </c>
      <c r="K302">
        <v>249.72</v>
      </c>
      <c r="L302" t="s">
        <v>813</v>
      </c>
    </row>
    <row r="303" spans="1:12" x14ac:dyDescent="0.3">
      <c r="A303" t="s">
        <v>313</v>
      </c>
      <c r="B303" s="2">
        <v>45857</v>
      </c>
      <c r="C303" t="s">
        <v>638</v>
      </c>
      <c r="D303" t="s">
        <v>789</v>
      </c>
      <c r="E303" t="s">
        <v>792</v>
      </c>
      <c r="F303" t="s">
        <v>804</v>
      </c>
      <c r="G303" t="s">
        <v>809</v>
      </c>
      <c r="H303">
        <v>4</v>
      </c>
      <c r="I303">
        <v>327.71</v>
      </c>
      <c r="J303">
        <v>0.25</v>
      </c>
      <c r="K303">
        <v>983.13</v>
      </c>
      <c r="L303" t="s">
        <v>815</v>
      </c>
    </row>
    <row r="304" spans="1:12" x14ac:dyDescent="0.3">
      <c r="A304" t="s">
        <v>314</v>
      </c>
      <c r="B304" s="2">
        <v>45857</v>
      </c>
      <c r="C304" t="s">
        <v>727</v>
      </c>
      <c r="D304" t="s">
        <v>790</v>
      </c>
      <c r="E304" t="s">
        <v>796</v>
      </c>
      <c r="F304" t="s">
        <v>804</v>
      </c>
      <c r="G304" t="s">
        <v>809</v>
      </c>
      <c r="H304">
        <v>8</v>
      </c>
      <c r="I304">
        <v>384.18</v>
      </c>
      <c r="J304">
        <v>0.1</v>
      </c>
      <c r="K304">
        <v>2766.1</v>
      </c>
      <c r="L304" t="s">
        <v>814</v>
      </c>
    </row>
    <row r="305" spans="1:12" x14ac:dyDescent="0.3">
      <c r="A305" t="s">
        <v>315</v>
      </c>
      <c r="B305" s="2">
        <v>45858</v>
      </c>
      <c r="C305" t="s">
        <v>636</v>
      </c>
      <c r="D305" t="s">
        <v>786</v>
      </c>
      <c r="E305" t="s">
        <v>793</v>
      </c>
      <c r="F305" t="s">
        <v>806</v>
      </c>
      <c r="G305" t="s">
        <v>810</v>
      </c>
      <c r="H305">
        <v>4</v>
      </c>
      <c r="I305">
        <v>72.25</v>
      </c>
      <c r="J305">
        <v>0.1</v>
      </c>
      <c r="K305">
        <v>260.10000000000002</v>
      </c>
      <c r="L305" t="s">
        <v>815</v>
      </c>
    </row>
    <row r="306" spans="1:12" x14ac:dyDescent="0.3">
      <c r="A306" t="s">
        <v>316</v>
      </c>
      <c r="B306" s="2">
        <v>45859</v>
      </c>
      <c r="C306" t="s">
        <v>710</v>
      </c>
      <c r="D306" t="s">
        <v>788</v>
      </c>
      <c r="E306" t="s">
        <v>795</v>
      </c>
      <c r="F306" t="s">
        <v>804</v>
      </c>
      <c r="G306" t="s">
        <v>809</v>
      </c>
      <c r="H306">
        <v>8</v>
      </c>
      <c r="I306">
        <v>368.33</v>
      </c>
      <c r="J306">
        <v>0.25</v>
      </c>
      <c r="K306">
        <v>2209.98</v>
      </c>
      <c r="L306" t="s">
        <v>814</v>
      </c>
    </row>
    <row r="307" spans="1:12" x14ac:dyDescent="0.3">
      <c r="A307" t="s">
        <v>317</v>
      </c>
      <c r="B307" s="2">
        <v>45859</v>
      </c>
      <c r="C307" t="s">
        <v>688</v>
      </c>
      <c r="D307" t="s">
        <v>788</v>
      </c>
      <c r="E307" t="s">
        <v>795</v>
      </c>
      <c r="F307" t="s">
        <v>804</v>
      </c>
      <c r="G307" t="s">
        <v>809</v>
      </c>
      <c r="H307">
        <v>6</v>
      </c>
      <c r="I307">
        <v>334.23</v>
      </c>
      <c r="J307">
        <v>0.2</v>
      </c>
      <c r="K307">
        <v>1604.3</v>
      </c>
      <c r="L307" t="s">
        <v>815</v>
      </c>
    </row>
    <row r="308" spans="1:12" x14ac:dyDescent="0.3">
      <c r="A308" t="s">
        <v>318</v>
      </c>
      <c r="B308" s="2">
        <v>45860</v>
      </c>
      <c r="C308" t="s">
        <v>748</v>
      </c>
      <c r="D308" t="s">
        <v>788</v>
      </c>
      <c r="E308" t="s">
        <v>795</v>
      </c>
      <c r="F308" t="s">
        <v>806</v>
      </c>
      <c r="G308" t="s">
        <v>810</v>
      </c>
      <c r="H308">
        <v>2</v>
      </c>
      <c r="I308">
        <v>80.97</v>
      </c>
      <c r="J308">
        <v>0.25</v>
      </c>
      <c r="K308">
        <v>121.46</v>
      </c>
      <c r="L308" t="s">
        <v>814</v>
      </c>
    </row>
    <row r="309" spans="1:12" x14ac:dyDescent="0.3">
      <c r="A309" t="s">
        <v>319</v>
      </c>
      <c r="B309" s="2">
        <v>45861</v>
      </c>
      <c r="C309" t="s">
        <v>749</v>
      </c>
      <c r="D309" t="s">
        <v>785</v>
      </c>
      <c r="E309" t="s">
        <v>792</v>
      </c>
      <c r="F309" t="s">
        <v>804</v>
      </c>
      <c r="G309" t="s">
        <v>809</v>
      </c>
      <c r="H309">
        <v>7</v>
      </c>
      <c r="I309">
        <v>317.85000000000002</v>
      </c>
      <c r="J309">
        <v>0.2</v>
      </c>
      <c r="K309">
        <v>1779.96</v>
      </c>
      <c r="L309" t="s">
        <v>813</v>
      </c>
    </row>
    <row r="310" spans="1:12" x14ac:dyDescent="0.3">
      <c r="A310" t="s">
        <v>320</v>
      </c>
      <c r="B310" s="2">
        <v>45861</v>
      </c>
      <c r="C310" t="s">
        <v>735</v>
      </c>
      <c r="D310" t="s">
        <v>789</v>
      </c>
      <c r="E310" t="s">
        <v>792</v>
      </c>
      <c r="F310" t="s">
        <v>808</v>
      </c>
      <c r="G310" t="s">
        <v>812</v>
      </c>
      <c r="H310">
        <v>4</v>
      </c>
      <c r="I310">
        <v>73.19</v>
      </c>
      <c r="J310">
        <v>0.15</v>
      </c>
      <c r="K310">
        <v>248.85</v>
      </c>
      <c r="L310" t="s">
        <v>814</v>
      </c>
    </row>
    <row r="311" spans="1:12" x14ac:dyDescent="0.3">
      <c r="A311" t="s">
        <v>321</v>
      </c>
      <c r="B311" s="2">
        <v>45862</v>
      </c>
      <c r="C311" t="s">
        <v>671</v>
      </c>
      <c r="D311" t="s">
        <v>788</v>
      </c>
      <c r="E311" t="s">
        <v>795</v>
      </c>
      <c r="F311" t="s">
        <v>797</v>
      </c>
      <c r="G311" t="s">
        <v>809</v>
      </c>
      <c r="H311">
        <v>5</v>
      </c>
      <c r="I311">
        <v>233.37</v>
      </c>
      <c r="J311">
        <v>0.1</v>
      </c>
      <c r="K311">
        <v>1050.1600000000001</v>
      </c>
      <c r="L311" t="s">
        <v>815</v>
      </c>
    </row>
    <row r="312" spans="1:12" x14ac:dyDescent="0.3">
      <c r="A312" t="s">
        <v>322</v>
      </c>
      <c r="B312" s="2">
        <v>45862</v>
      </c>
      <c r="C312" t="s">
        <v>620</v>
      </c>
      <c r="D312" t="s">
        <v>789</v>
      </c>
      <c r="E312" t="s">
        <v>792</v>
      </c>
      <c r="F312" t="s">
        <v>797</v>
      </c>
      <c r="G312" t="s">
        <v>809</v>
      </c>
      <c r="H312">
        <v>8</v>
      </c>
      <c r="I312">
        <v>200.89</v>
      </c>
      <c r="J312">
        <v>0.05</v>
      </c>
      <c r="K312">
        <v>1526.76</v>
      </c>
      <c r="L312" t="s">
        <v>814</v>
      </c>
    </row>
    <row r="313" spans="1:12" x14ac:dyDescent="0.3">
      <c r="A313" t="s">
        <v>323</v>
      </c>
      <c r="B313" s="2">
        <v>45862</v>
      </c>
      <c r="C313" t="s">
        <v>750</v>
      </c>
      <c r="D313" t="s">
        <v>787</v>
      </c>
      <c r="E313" t="s">
        <v>794</v>
      </c>
      <c r="F313" t="s">
        <v>799</v>
      </c>
      <c r="G313" t="s">
        <v>809</v>
      </c>
      <c r="H313">
        <v>4</v>
      </c>
      <c r="I313">
        <v>54.55</v>
      </c>
      <c r="J313">
        <v>0.3</v>
      </c>
      <c r="K313">
        <v>152.74</v>
      </c>
      <c r="L313" t="s">
        <v>815</v>
      </c>
    </row>
    <row r="314" spans="1:12" x14ac:dyDescent="0.3">
      <c r="A314" t="s">
        <v>324</v>
      </c>
      <c r="B314" s="2">
        <v>45863</v>
      </c>
      <c r="C314" t="s">
        <v>750</v>
      </c>
      <c r="D314" t="s">
        <v>786</v>
      </c>
      <c r="E314" t="s">
        <v>793</v>
      </c>
      <c r="F314" t="s">
        <v>798</v>
      </c>
      <c r="G314" t="s">
        <v>810</v>
      </c>
      <c r="H314">
        <v>2</v>
      </c>
      <c r="I314">
        <v>288.18</v>
      </c>
      <c r="J314">
        <v>0.05</v>
      </c>
      <c r="K314">
        <v>547.54</v>
      </c>
      <c r="L314" t="s">
        <v>813</v>
      </c>
    </row>
    <row r="315" spans="1:12" x14ac:dyDescent="0.3">
      <c r="A315" t="s">
        <v>325</v>
      </c>
      <c r="B315" s="2">
        <v>45864</v>
      </c>
      <c r="C315" t="s">
        <v>634</v>
      </c>
      <c r="D315" t="s">
        <v>786</v>
      </c>
      <c r="E315" t="s">
        <v>793</v>
      </c>
      <c r="F315" t="s">
        <v>797</v>
      </c>
      <c r="G315" t="s">
        <v>809</v>
      </c>
      <c r="H315">
        <v>4</v>
      </c>
      <c r="I315">
        <v>208.24</v>
      </c>
      <c r="J315">
        <v>0.2</v>
      </c>
      <c r="K315">
        <v>666.37</v>
      </c>
      <c r="L315" t="s">
        <v>814</v>
      </c>
    </row>
    <row r="316" spans="1:12" x14ac:dyDescent="0.3">
      <c r="A316" t="s">
        <v>326</v>
      </c>
      <c r="B316" s="2">
        <v>45865</v>
      </c>
      <c r="C316" t="s">
        <v>618</v>
      </c>
      <c r="D316" t="s">
        <v>788</v>
      </c>
      <c r="E316" t="s">
        <v>795</v>
      </c>
      <c r="F316" t="s">
        <v>797</v>
      </c>
      <c r="G316" t="s">
        <v>809</v>
      </c>
      <c r="H316">
        <v>6</v>
      </c>
      <c r="I316">
        <v>224.94</v>
      </c>
      <c r="J316">
        <v>0.1</v>
      </c>
      <c r="K316">
        <v>1214.68</v>
      </c>
      <c r="L316" t="s">
        <v>815</v>
      </c>
    </row>
    <row r="317" spans="1:12" x14ac:dyDescent="0.3">
      <c r="A317" t="s">
        <v>327</v>
      </c>
      <c r="B317" s="2">
        <v>45865</v>
      </c>
      <c r="C317" t="s">
        <v>749</v>
      </c>
      <c r="D317" t="s">
        <v>787</v>
      </c>
      <c r="E317" t="s">
        <v>794</v>
      </c>
      <c r="F317" t="s">
        <v>804</v>
      </c>
      <c r="G317" t="s">
        <v>809</v>
      </c>
      <c r="H317">
        <v>8</v>
      </c>
      <c r="I317">
        <v>330.19</v>
      </c>
      <c r="J317">
        <v>0.05</v>
      </c>
      <c r="K317">
        <v>2509.44</v>
      </c>
      <c r="L317" t="s">
        <v>815</v>
      </c>
    </row>
    <row r="318" spans="1:12" x14ac:dyDescent="0.3">
      <c r="A318" t="s">
        <v>328</v>
      </c>
      <c r="B318" s="2">
        <v>45865</v>
      </c>
      <c r="C318" t="s">
        <v>658</v>
      </c>
      <c r="D318" t="s">
        <v>790</v>
      </c>
      <c r="E318" t="s">
        <v>796</v>
      </c>
      <c r="F318" t="s">
        <v>804</v>
      </c>
      <c r="G318" t="s">
        <v>809</v>
      </c>
      <c r="H318">
        <v>6</v>
      </c>
      <c r="I318">
        <v>374.8</v>
      </c>
      <c r="J318">
        <v>0.1</v>
      </c>
      <c r="K318">
        <v>2023.92</v>
      </c>
      <c r="L318" t="s">
        <v>814</v>
      </c>
    </row>
    <row r="319" spans="1:12" x14ac:dyDescent="0.3">
      <c r="A319" t="s">
        <v>329</v>
      </c>
      <c r="B319" s="2">
        <v>45867</v>
      </c>
      <c r="C319" t="s">
        <v>664</v>
      </c>
      <c r="D319" t="s">
        <v>787</v>
      </c>
      <c r="E319" t="s">
        <v>794</v>
      </c>
      <c r="F319" t="s">
        <v>807</v>
      </c>
      <c r="G319" t="s">
        <v>810</v>
      </c>
      <c r="H319">
        <v>4</v>
      </c>
      <c r="I319">
        <v>946.9</v>
      </c>
      <c r="J319">
        <v>0</v>
      </c>
      <c r="K319">
        <v>3787.6</v>
      </c>
      <c r="L319" t="s">
        <v>815</v>
      </c>
    </row>
    <row r="320" spans="1:12" x14ac:dyDescent="0.3">
      <c r="A320" t="s">
        <v>330</v>
      </c>
      <c r="B320" s="2">
        <v>45867</v>
      </c>
      <c r="C320" t="s">
        <v>751</v>
      </c>
      <c r="D320" t="s">
        <v>786</v>
      </c>
      <c r="E320" t="s">
        <v>793</v>
      </c>
      <c r="F320" t="s">
        <v>807</v>
      </c>
      <c r="G320" t="s">
        <v>810</v>
      </c>
      <c r="H320">
        <v>2</v>
      </c>
      <c r="I320">
        <v>895.24</v>
      </c>
      <c r="J320">
        <v>0</v>
      </c>
      <c r="K320">
        <v>1790.48</v>
      </c>
      <c r="L320" t="s">
        <v>814</v>
      </c>
    </row>
    <row r="321" spans="1:12" x14ac:dyDescent="0.3">
      <c r="A321" t="s">
        <v>331</v>
      </c>
      <c r="B321" s="2">
        <v>45867</v>
      </c>
      <c r="C321" t="s">
        <v>752</v>
      </c>
      <c r="D321" t="s">
        <v>789</v>
      </c>
      <c r="E321" t="s">
        <v>792</v>
      </c>
      <c r="F321" t="s">
        <v>803</v>
      </c>
      <c r="G321" t="s">
        <v>810</v>
      </c>
      <c r="H321">
        <v>6</v>
      </c>
      <c r="J321">
        <v>0.1</v>
      </c>
      <c r="K321">
        <v>593.41</v>
      </c>
      <c r="L321" t="s">
        <v>814</v>
      </c>
    </row>
    <row r="322" spans="1:12" x14ac:dyDescent="0.3">
      <c r="A322" t="s">
        <v>332</v>
      </c>
      <c r="B322" s="2">
        <v>45867</v>
      </c>
      <c r="C322" t="s">
        <v>664</v>
      </c>
      <c r="D322" t="s">
        <v>787</v>
      </c>
      <c r="E322" t="s">
        <v>794</v>
      </c>
      <c r="F322" t="s">
        <v>805</v>
      </c>
      <c r="G322" t="s">
        <v>810</v>
      </c>
      <c r="H322">
        <v>1</v>
      </c>
      <c r="I322">
        <v>42.92</v>
      </c>
      <c r="J322">
        <v>0.1</v>
      </c>
      <c r="K322">
        <v>38.630000000000003</v>
      </c>
      <c r="L322" t="s">
        <v>813</v>
      </c>
    </row>
    <row r="323" spans="1:12" x14ac:dyDescent="0.3">
      <c r="A323" t="s">
        <v>333</v>
      </c>
      <c r="B323" s="2">
        <v>45868</v>
      </c>
      <c r="C323" t="s">
        <v>672</v>
      </c>
      <c r="D323" t="s">
        <v>789</v>
      </c>
      <c r="E323" t="s">
        <v>792</v>
      </c>
      <c r="F323" t="s">
        <v>808</v>
      </c>
      <c r="G323" t="s">
        <v>812</v>
      </c>
      <c r="H323">
        <v>2</v>
      </c>
      <c r="I323">
        <v>81.069999999999993</v>
      </c>
      <c r="J323">
        <v>0.15</v>
      </c>
      <c r="K323">
        <v>137.82</v>
      </c>
      <c r="L323" t="s">
        <v>814</v>
      </c>
    </row>
    <row r="324" spans="1:12" x14ac:dyDescent="0.3">
      <c r="A324" t="s">
        <v>334</v>
      </c>
      <c r="B324" s="2">
        <v>45868</v>
      </c>
      <c r="C324" t="s">
        <v>658</v>
      </c>
      <c r="D324" t="s">
        <v>790</v>
      </c>
      <c r="E324" t="s">
        <v>796</v>
      </c>
      <c r="F324" t="s">
        <v>804</v>
      </c>
      <c r="G324" t="s">
        <v>809</v>
      </c>
      <c r="H324">
        <v>7</v>
      </c>
      <c r="I324">
        <v>318.06</v>
      </c>
      <c r="J324">
        <v>0</v>
      </c>
      <c r="K324">
        <v>2226.42</v>
      </c>
      <c r="L324" t="s">
        <v>814</v>
      </c>
    </row>
    <row r="325" spans="1:12" x14ac:dyDescent="0.3">
      <c r="A325" t="s">
        <v>335</v>
      </c>
      <c r="B325" s="2">
        <v>45869</v>
      </c>
      <c r="C325" t="s">
        <v>753</v>
      </c>
      <c r="D325" t="s">
        <v>785</v>
      </c>
      <c r="E325" t="s">
        <v>792</v>
      </c>
      <c r="F325" t="s">
        <v>805</v>
      </c>
      <c r="G325" t="s">
        <v>810</v>
      </c>
      <c r="H325">
        <v>4</v>
      </c>
      <c r="I325">
        <v>49.38</v>
      </c>
      <c r="J325">
        <v>0.15</v>
      </c>
      <c r="K325">
        <v>167.89</v>
      </c>
      <c r="L325" t="s">
        <v>815</v>
      </c>
    </row>
    <row r="326" spans="1:12" x14ac:dyDescent="0.3">
      <c r="A326" t="s">
        <v>336</v>
      </c>
      <c r="B326" s="2">
        <v>45869</v>
      </c>
      <c r="C326" t="s">
        <v>754</v>
      </c>
      <c r="D326" t="s">
        <v>785</v>
      </c>
      <c r="E326" t="s">
        <v>792</v>
      </c>
      <c r="F326" t="s">
        <v>806</v>
      </c>
      <c r="G326" t="s">
        <v>810</v>
      </c>
      <c r="H326">
        <v>4</v>
      </c>
      <c r="I326">
        <v>81.81</v>
      </c>
      <c r="J326">
        <v>0.15</v>
      </c>
      <c r="K326">
        <v>278.14999999999998</v>
      </c>
      <c r="L326" t="s">
        <v>814</v>
      </c>
    </row>
    <row r="327" spans="1:12" x14ac:dyDescent="0.3">
      <c r="A327" t="s">
        <v>337</v>
      </c>
      <c r="B327" s="2">
        <v>45869</v>
      </c>
      <c r="C327" t="s">
        <v>648</v>
      </c>
      <c r="D327" t="s">
        <v>789</v>
      </c>
      <c r="E327" t="s">
        <v>792</v>
      </c>
      <c r="F327" t="s">
        <v>805</v>
      </c>
      <c r="G327" t="s">
        <v>810</v>
      </c>
      <c r="H327">
        <v>2</v>
      </c>
      <c r="I327">
        <v>42.31</v>
      </c>
      <c r="J327">
        <v>0.05</v>
      </c>
      <c r="K327">
        <v>80.39</v>
      </c>
      <c r="L327" t="s">
        <v>814</v>
      </c>
    </row>
    <row r="328" spans="1:12" x14ac:dyDescent="0.3">
      <c r="A328" t="s">
        <v>338</v>
      </c>
      <c r="B328" s="2">
        <v>45871</v>
      </c>
      <c r="C328" t="s">
        <v>683</v>
      </c>
      <c r="D328" t="s">
        <v>785</v>
      </c>
      <c r="E328" t="s">
        <v>792</v>
      </c>
      <c r="F328" t="s">
        <v>799</v>
      </c>
      <c r="G328" t="s">
        <v>809</v>
      </c>
      <c r="H328">
        <v>2</v>
      </c>
      <c r="I328">
        <v>56.32</v>
      </c>
      <c r="J328">
        <v>0.1</v>
      </c>
      <c r="K328">
        <v>101.38</v>
      </c>
      <c r="L328" t="s">
        <v>815</v>
      </c>
    </row>
    <row r="329" spans="1:12" x14ac:dyDescent="0.3">
      <c r="A329" t="s">
        <v>339</v>
      </c>
      <c r="B329" s="2">
        <v>45871</v>
      </c>
      <c r="C329" t="s">
        <v>613</v>
      </c>
      <c r="D329" t="s">
        <v>785</v>
      </c>
      <c r="E329" t="s">
        <v>792</v>
      </c>
      <c r="F329" t="s">
        <v>798</v>
      </c>
      <c r="G329" t="s">
        <v>810</v>
      </c>
      <c r="H329">
        <v>5</v>
      </c>
      <c r="I329">
        <v>279.88</v>
      </c>
      <c r="J329">
        <v>0.05</v>
      </c>
      <c r="K329">
        <v>1329.43</v>
      </c>
      <c r="L329" t="s">
        <v>813</v>
      </c>
    </row>
    <row r="330" spans="1:12" x14ac:dyDescent="0.3">
      <c r="A330" t="s">
        <v>340</v>
      </c>
      <c r="B330" s="2">
        <v>45872</v>
      </c>
      <c r="C330" t="s">
        <v>627</v>
      </c>
      <c r="D330" t="s">
        <v>790</v>
      </c>
      <c r="E330" t="s">
        <v>796</v>
      </c>
      <c r="F330" t="s">
        <v>804</v>
      </c>
      <c r="G330" t="s">
        <v>809</v>
      </c>
      <c r="H330">
        <v>7</v>
      </c>
      <c r="I330">
        <v>335.81</v>
      </c>
      <c r="J330">
        <v>0.25</v>
      </c>
      <c r="K330">
        <v>1763</v>
      </c>
      <c r="L330" t="s">
        <v>816</v>
      </c>
    </row>
    <row r="331" spans="1:12" x14ac:dyDescent="0.3">
      <c r="A331" t="s">
        <v>341</v>
      </c>
      <c r="B331" s="2">
        <v>45872</v>
      </c>
      <c r="C331" t="s">
        <v>755</v>
      </c>
      <c r="D331" t="s">
        <v>786</v>
      </c>
      <c r="E331" t="s">
        <v>793</v>
      </c>
      <c r="F331" t="s">
        <v>798</v>
      </c>
      <c r="G331" t="s">
        <v>810</v>
      </c>
      <c r="H331">
        <v>4</v>
      </c>
      <c r="I331">
        <v>281.7</v>
      </c>
      <c r="J331">
        <v>0.2</v>
      </c>
      <c r="K331">
        <v>901.44</v>
      </c>
      <c r="L331" t="s">
        <v>813</v>
      </c>
    </row>
    <row r="332" spans="1:12" x14ac:dyDescent="0.3">
      <c r="A332" t="s">
        <v>342</v>
      </c>
      <c r="B332" s="2">
        <v>45872</v>
      </c>
      <c r="C332" t="s">
        <v>741</v>
      </c>
      <c r="D332" t="s">
        <v>785</v>
      </c>
      <c r="E332" t="s">
        <v>792</v>
      </c>
      <c r="F332" t="s">
        <v>806</v>
      </c>
      <c r="G332" t="s">
        <v>810</v>
      </c>
      <c r="H332">
        <v>7</v>
      </c>
      <c r="I332">
        <v>75.38</v>
      </c>
      <c r="J332">
        <v>0.2</v>
      </c>
      <c r="K332">
        <v>422.13</v>
      </c>
      <c r="L332" t="s">
        <v>814</v>
      </c>
    </row>
    <row r="333" spans="1:12" x14ac:dyDescent="0.3">
      <c r="A333" t="s">
        <v>343</v>
      </c>
      <c r="B333" s="2">
        <v>45873</v>
      </c>
      <c r="C333" t="s">
        <v>684</v>
      </c>
      <c r="D333" t="s">
        <v>789</v>
      </c>
      <c r="E333" t="s">
        <v>792</v>
      </c>
      <c r="F333" t="s">
        <v>799</v>
      </c>
      <c r="G333" t="s">
        <v>809</v>
      </c>
      <c r="H333">
        <v>3</v>
      </c>
      <c r="I333">
        <v>52.36</v>
      </c>
      <c r="J333">
        <v>0.05</v>
      </c>
      <c r="K333">
        <v>149.22999999999999</v>
      </c>
      <c r="L333" t="s">
        <v>816</v>
      </c>
    </row>
    <row r="334" spans="1:12" x14ac:dyDescent="0.3">
      <c r="A334" t="s">
        <v>344</v>
      </c>
      <c r="B334" s="2">
        <v>45874</v>
      </c>
      <c r="C334" t="s">
        <v>615</v>
      </c>
      <c r="D334" t="s">
        <v>786</v>
      </c>
      <c r="E334" t="s">
        <v>793</v>
      </c>
      <c r="F334" t="s">
        <v>803</v>
      </c>
      <c r="G334" t="s">
        <v>810</v>
      </c>
      <c r="H334">
        <v>1</v>
      </c>
      <c r="I334">
        <v>117.07</v>
      </c>
      <c r="J334">
        <v>0.1</v>
      </c>
      <c r="K334">
        <v>105.36</v>
      </c>
      <c r="L334" t="s">
        <v>815</v>
      </c>
    </row>
    <row r="335" spans="1:12" x14ac:dyDescent="0.3">
      <c r="A335" t="s">
        <v>345</v>
      </c>
      <c r="B335" s="2">
        <v>45874</v>
      </c>
      <c r="C335" t="s">
        <v>700</v>
      </c>
      <c r="D335" t="s">
        <v>789</v>
      </c>
      <c r="E335" t="s">
        <v>792</v>
      </c>
      <c r="F335" t="s">
        <v>798</v>
      </c>
      <c r="G335" t="s">
        <v>810</v>
      </c>
      <c r="H335">
        <v>4</v>
      </c>
      <c r="I335">
        <v>311.57</v>
      </c>
      <c r="J335">
        <v>0.05</v>
      </c>
      <c r="K335">
        <v>1183.97</v>
      </c>
      <c r="L335" t="s">
        <v>816</v>
      </c>
    </row>
    <row r="336" spans="1:12" x14ac:dyDescent="0.3">
      <c r="A336" t="s">
        <v>346</v>
      </c>
      <c r="B336" s="2">
        <v>45876</v>
      </c>
      <c r="C336" t="s">
        <v>683</v>
      </c>
      <c r="D336" t="s">
        <v>785</v>
      </c>
      <c r="E336" t="s">
        <v>792</v>
      </c>
      <c r="F336" t="s">
        <v>802</v>
      </c>
      <c r="G336" t="s">
        <v>811</v>
      </c>
      <c r="H336">
        <v>5</v>
      </c>
      <c r="I336">
        <v>273.95</v>
      </c>
      <c r="J336">
        <v>0.1</v>
      </c>
      <c r="K336">
        <v>1232.78</v>
      </c>
      <c r="L336" t="s">
        <v>814</v>
      </c>
    </row>
    <row r="337" spans="1:12" x14ac:dyDescent="0.3">
      <c r="A337" t="s">
        <v>347</v>
      </c>
      <c r="B337" s="2">
        <v>45877</v>
      </c>
      <c r="C337" t="s">
        <v>679</v>
      </c>
      <c r="D337" t="s">
        <v>785</v>
      </c>
      <c r="E337" t="s">
        <v>792</v>
      </c>
      <c r="F337" t="s">
        <v>802</v>
      </c>
      <c r="G337" t="s">
        <v>811</v>
      </c>
      <c r="H337">
        <v>5</v>
      </c>
      <c r="I337">
        <v>253.4</v>
      </c>
      <c r="J337">
        <v>0.05</v>
      </c>
      <c r="K337">
        <v>1203.6500000000001</v>
      </c>
      <c r="L337" t="s">
        <v>816</v>
      </c>
    </row>
    <row r="338" spans="1:12" x14ac:dyDescent="0.3">
      <c r="A338" t="s">
        <v>348</v>
      </c>
      <c r="B338" s="2">
        <v>45877</v>
      </c>
      <c r="C338" t="s">
        <v>626</v>
      </c>
      <c r="D338" t="s">
        <v>787</v>
      </c>
      <c r="E338" t="s">
        <v>794</v>
      </c>
      <c r="F338" t="s">
        <v>808</v>
      </c>
      <c r="G338" t="s">
        <v>812</v>
      </c>
      <c r="H338">
        <v>8</v>
      </c>
      <c r="I338">
        <v>68.53</v>
      </c>
      <c r="J338">
        <v>0.1</v>
      </c>
      <c r="K338">
        <v>493.42</v>
      </c>
      <c r="L338" t="s">
        <v>814</v>
      </c>
    </row>
    <row r="339" spans="1:12" x14ac:dyDescent="0.3">
      <c r="A339" t="s">
        <v>349</v>
      </c>
      <c r="B339" s="2">
        <v>45877</v>
      </c>
      <c r="C339" t="s">
        <v>649</v>
      </c>
      <c r="D339" t="s">
        <v>788</v>
      </c>
      <c r="E339" t="s">
        <v>795</v>
      </c>
      <c r="F339" t="s">
        <v>797</v>
      </c>
      <c r="G339" t="s">
        <v>809</v>
      </c>
      <c r="H339">
        <v>5</v>
      </c>
      <c r="I339">
        <v>201.03</v>
      </c>
      <c r="J339">
        <v>0</v>
      </c>
      <c r="K339">
        <v>1005.15</v>
      </c>
      <c r="L339" t="s">
        <v>814</v>
      </c>
    </row>
    <row r="340" spans="1:12" x14ac:dyDescent="0.3">
      <c r="A340" t="s">
        <v>350</v>
      </c>
      <c r="B340" s="2">
        <v>45878</v>
      </c>
      <c r="C340" t="s">
        <v>635</v>
      </c>
      <c r="D340" t="s">
        <v>785</v>
      </c>
      <c r="E340" t="s">
        <v>792</v>
      </c>
      <c r="F340" t="s">
        <v>802</v>
      </c>
      <c r="G340" t="s">
        <v>811</v>
      </c>
      <c r="H340">
        <v>1</v>
      </c>
      <c r="I340">
        <v>233.76</v>
      </c>
      <c r="J340">
        <v>0.2</v>
      </c>
      <c r="K340">
        <v>187.01</v>
      </c>
      <c r="L340" t="s">
        <v>814</v>
      </c>
    </row>
    <row r="341" spans="1:12" x14ac:dyDescent="0.3">
      <c r="A341" t="s">
        <v>351</v>
      </c>
      <c r="B341" s="2">
        <v>45878</v>
      </c>
      <c r="C341" t="s">
        <v>659</v>
      </c>
      <c r="D341" t="s">
        <v>788</v>
      </c>
      <c r="E341" t="s">
        <v>795</v>
      </c>
      <c r="F341" t="s">
        <v>803</v>
      </c>
      <c r="G341" t="s">
        <v>810</v>
      </c>
      <c r="H341">
        <v>6</v>
      </c>
      <c r="I341">
        <v>126.06</v>
      </c>
      <c r="J341">
        <v>0.1</v>
      </c>
      <c r="K341">
        <v>680.72</v>
      </c>
      <c r="L341" t="s">
        <v>815</v>
      </c>
    </row>
    <row r="342" spans="1:12" x14ac:dyDescent="0.3">
      <c r="A342" t="s">
        <v>352</v>
      </c>
      <c r="B342" s="2">
        <v>45879</v>
      </c>
      <c r="C342" t="s">
        <v>743</v>
      </c>
      <c r="D342" t="s">
        <v>787</v>
      </c>
      <c r="E342" t="s">
        <v>794</v>
      </c>
      <c r="F342" t="s">
        <v>803</v>
      </c>
      <c r="G342" t="s">
        <v>810</v>
      </c>
      <c r="H342">
        <v>7</v>
      </c>
      <c r="I342">
        <v>129.5</v>
      </c>
      <c r="J342">
        <v>0.1</v>
      </c>
      <c r="K342">
        <v>815.85</v>
      </c>
      <c r="L342" t="s">
        <v>815</v>
      </c>
    </row>
    <row r="343" spans="1:12" x14ac:dyDescent="0.3">
      <c r="A343" t="s">
        <v>353</v>
      </c>
      <c r="B343" s="2">
        <v>45880</v>
      </c>
      <c r="C343" t="s">
        <v>756</v>
      </c>
      <c r="D343" t="s">
        <v>790</v>
      </c>
      <c r="E343" t="s">
        <v>796</v>
      </c>
      <c r="F343" t="s">
        <v>806</v>
      </c>
      <c r="G343" t="s">
        <v>810</v>
      </c>
      <c r="H343">
        <v>6</v>
      </c>
      <c r="I343">
        <v>85.28</v>
      </c>
      <c r="J343">
        <v>0.1</v>
      </c>
      <c r="K343">
        <v>460.51</v>
      </c>
      <c r="L343" t="s">
        <v>815</v>
      </c>
    </row>
    <row r="344" spans="1:12" x14ac:dyDescent="0.3">
      <c r="A344" t="s">
        <v>354</v>
      </c>
      <c r="B344" s="2">
        <v>45881</v>
      </c>
      <c r="C344" t="s">
        <v>757</v>
      </c>
      <c r="D344" t="s">
        <v>790</v>
      </c>
      <c r="E344" t="s">
        <v>796</v>
      </c>
      <c r="F344" t="s">
        <v>801</v>
      </c>
      <c r="G344" t="s">
        <v>811</v>
      </c>
      <c r="H344">
        <v>1</v>
      </c>
      <c r="I344">
        <v>16.43</v>
      </c>
      <c r="J344">
        <v>0.1</v>
      </c>
      <c r="K344">
        <v>14.79</v>
      </c>
      <c r="L344" t="s">
        <v>814</v>
      </c>
    </row>
    <row r="345" spans="1:12" x14ac:dyDescent="0.3">
      <c r="A345" t="s">
        <v>355</v>
      </c>
      <c r="B345" s="2">
        <v>45881</v>
      </c>
      <c r="C345" t="s">
        <v>645</v>
      </c>
      <c r="D345" t="s">
        <v>787</v>
      </c>
      <c r="E345" t="s">
        <v>794</v>
      </c>
      <c r="F345" t="s">
        <v>808</v>
      </c>
      <c r="G345" t="s">
        <v>812</v>
      </c>
      <c r="H345">
        <v>4</v>
      </c>
      <c r="I345">
        <v>75.53</v>
      </c>
      <c r="J345">
        <v>0</v>
      </c>
      <c r="K345">
        <v>302.12</v>
      </c>
      <c r="L345" t="s">
        <v>814</v>
      </c>
    </row>
    <row r="346" spans="1:12" x14ac:dyDescent="0.3">
      <c r="A346" t="s">
        <v>356</v>
      </c>
      <c r="B346" s="2">
        <v>45881</v>
      </c>
      <c r="C346" t="s">
        <v>758</v>
      </c>
      <c r="D346" t="s">
        <v>786</v>
      </c>
      <c r="E346" t="s">
        <v>793</v>
      </c>
      <c r="F346" t="s">
        <v>807</v>
      </c>
      <c r="G346" t="s">
        <v>810</v>
      </c>
      <c r="H346">
        <v>2</v>
      </c>
      <c r="I346">
        <v>911.84</v>
      </c>
      <c r="J346">
        <v>0.3</v>
      </c>
      <c r="K346">
        <v>1276.58</v>
      </c>
      <c r="L346" t="s">
        <v>815</v>
      </c>
    </row>
    <row r="347" spans="1:12" x14ac:dyDescent="0.3">
      <c r="A347" t="s">
        <v>357</v>
      </c>
      <c r="B347" s="2">
        <v>45881</v>
      </c>
      <c r="C347" t="s">
        <v>745</v>
      </c>
      <c r="D347" t="s">
        <v>788</v>
      </c>
      <c r="E347" t="s">
        <v>795</v>
      </c>
      <c r="F347" t="s">
        <v>802</v>
      </c>
      <c r="G347" t="s">
        <v>811</v>
      </c>
      <c r="H347">
        <v>3</v>
      </c>
      <c r="I347">
        <v>244.13</v>
      </c>
      <c r="J347">
        <v>0.05</v>
      </c>
      <c r="K347">
        <v>695.77</v>
      </c>
      <c r="L347" t="s">
        <v>814</v>
      </c>
    </row>
    <row r="348" spans="1:12" x14ac:dyDescent="0.3">
      <c r="A348" t="s">
        <v>358</v>
      </c>
      <c r="B348" s="2">
        <v>45882</v>
      </c>
      <c r="C348" t="s">
        <v>759</v>
      </c>
      <c r="D348" t="s">
        <v>790</v>
      </c>
      <c r="E348" t="s">
        <v>796</v>
      </c>
      <c r="F348" t="s">
        <v>808</v>
      </c>
      <c r="G348" t="s">
        <v>812</v>
      </c>
      <c r="H348">
        <v>1</v>
      </c>
      <c r="I348">
        <v>78.709999999999994</v>
      </c>
      <c r="J348">
        <v>0.1</v>
      </c>
      <c r="K348">
        <v>70.84</v>
      </c>
      <c r="L348" t="s">
        <v>814</v>
      </c>
    </row>
    <row r="349" spans="1:12" x14ac:dyDescent="0.3">
      <c r="A349" t="s">
        <v>359</v>
      </c>
      <c r="B349" s="2">
        <v>45882</v>
      </c>
      <c r="C349" t="s">
        <v>628</v>
      </c>
      <c r="D349" t="s">
        <v>788</v>
      </c>
      <c r="E349" t="s">
        <v>795</v>
      </c>
      <c r="F349" t="s">
        <v>798</v>
      </c>
      <c r="G349" t="s">
        <v>810</v>
      </c>
      <c r="H349">
        <v>4</v>
      </c>
      <c r="I349">
        <v>320.82</v>
      </c>
      <c r="J349">
        <v>0</v>
      </c>
      <c r="K349">
        <v>1283.28</v>
      </c>
      <c r="L349" t="s">
        <v>813</v>
      </c>
    </row>
    <row r="350" spans="1:12" x14ac:dyDescent="0.3">
      <c r="A350" t="s">
        <v>360</v>
      </c>
      <c r="B350" s="2">
        <v>45882</v>
      </c>
      <c r="C350" t="s">
        <v>692</v>
      </c>
      <c r="D350" t="s">
        <v>788</v>
      </c>
      <c r="E350" t="s">
        <v>795</v>
      </c>
      <c r="F350" t="s">
        <v>804</v>
      </c>
      <c r="G350" t="s">
        <v>809</v>
      </c>
      <c r="H350">
        <v>7</v>
      </c>
      <c r="I350">
        <v>318.5</v>
      </c>
      <c r="J350">
        <v>0.25</v>
      </c>
      <c r="K350">
        <v>1672.12</v>
      </c>
      <c r="L350" t="s">
        <v>814</v>
      </c>
    </row>
    <row r="351" spans="1:12" x14ac:dyDescent="0.3">
      <c r="A351" t="s">
        <v>361</v>
      </c>
      <c r="B351" s="2">
        <v>45883</v>
      </c>
      <c r="C351" t="s">
        <v>691</v>
      </c>
      <c r="D351" t="s">
        <v>790</v>
      </c>
      <c r="E351" t="s">
        <v>796</v>
      </c>
      <c r="F351" t="s">
        <v>802</v>
      </c>
      <c r="G351" t="s">
        <v>811</v>
      </c>
      <c r="H351">
        <v>1</v>
      </c>
      <c r="I351">
        <v>241.45</v>
      </c>
      <c r="J351">
        <v>0.25</v>
      </c>
      <c r="K351">
        <v>181.09</v>
      </c>
      <c r="L351" t="s">
        <v>813</v>
      </c>
    </row>
    <row r="352" spans="1:12" x14ac:dyDescent="0.3">
      <c r="A352" t="s">
        <v>362</v>
      </c>
      <c r="B352" s="2">
        <v>45884</v>
      </c>
      <c r="C352" t="s">
        <v>626</v>
      </c>
      <c r="D352" t="s">
        <v>790</v>
      </c>
      <c r="E352" t="s">
        <v>796</v>
      </c>
      <c r="F352" t="s">
        <v>804</v>
      </c>
      <c r="G352" t="s">
        <v>809</v>
      </c>
      <c r="H352">
        <v>8</v>
      </c>
      <c r="I352">
        <v>330.05</v>
      </c>
      <c r="J352">
        <v>0</v>
      </c>
      <c r="K352">
        <v>2640.4</v>
      </c>
      <c r="L352" t="s">
        <v>814</v>
      </c>
    </row>
    <row r="353" spans="1:12" x14ac:dyDescent="0.3">
      <c r="A353" t="s">
        <v>363</v>
      </c>
      <c r="B353" s="2">
        <v>45884</v>
      </c>
      <c r="C353" t="s">
        <v>616</v>
      </c>
      <c r="D353" t="s">
        <v>786</v>
      </c>
      <c r="E353" t="s">
        <v>793</v>
      </c>
      <c r="F353" t="s">
        <v>804</v>
      </c>
      <c r="G353" t="s">
        <v>809</v>
      </c>
      <c r="H353">
        <v>8</v>
      </c>
      <c r="I353">
        <v>351.94</v>
      </c>
      <c r="J353">
        <v>0.3</v>
      </c>
      <c r="K353">
        <v>1970.86</v>
      </c>
      <c r="L353" t="s">
        <v>814</v>
      </c>
    </row>
    <row r="354" spans="1:12" x14ac:dyDescent="0.3">
      <c r="A354" t="s">
        <v>364</v>
      </c>
      <c r="B354" s="2">
        <v>45884</v>
      </c>
      <c r="C354" t="s">
        <v>669</v>
      </c>
      <c r="D354" t="s">
        <v>787</v>
      </c>
      <c r="E354" t="s">
        <v>794</v>
      </c>
      <c r="F354" t="s">
        <v>802</v>
      </c>
      <c r="G354" t="s">
        <v>811</v>
      </c>
      <c r="H354">
        <v>4</v>
      </c>
      <c r="I354">
        <v>244.27</v>
      </c>
      <c r="J354">
        <v>0.15</v>
      </c>
      <c r="K354">
        <v>830.52</v>
      </c>
      <c r="L354" t="s">
        <v>813</v>
      </c>
    </row>
    <row r="355" spans="1:12" x14ac:dyDescent="0.3">
      <c r="A355" t="s">
        <v>365</v>
      </c>
      <c r="B355" s="2">
        <v>45886</v>
      </c>
      <c r="C355" t="s">
        <v>629</v>
      </c>
      <c r="D355" t="s">
        <v>790</v>
      </c>
      <c r="E355" t="s">
        <v>796</v>
      </c>
      <c r="F355" t="s">
        <v>806</v>
      </c>
      <c r="G355" t="s">
        <v>810</v>
      </c>
      <c r="H355">
        <v>7</v>
      </c>
      <c r="I355">
        <v>85.48</v>
      </c>
      <c r="J355">
        <v>0</v>
      </c>
      <c r="K355">
        <v>598.36</v>
      </c>
      <c r="L355" t="s">
        <v>814</v>
      </c>
    </row>
    <row r="356" spans="1:12" x14ac:dyDescent="0.3">
      <c r="A356" t="s">
        <v>366</v>
      </c>
      <c r="B356" s="2">
        <v>45886</v>
      </c>
      <c r="C356" t="s">
        <v>674</v>
      </c>
      <c r="D356" t="s">
        <v>789</v>
      </c>
      <c r="E356" t="s">
        <v>792</v>
      </c>
      <c r="F356" t="s">
        <v>801</v>
      </c>
      <c r="G356" t="s">
        <v>811</v>
      </c>
      <c r="H356">
        <v>8</v>
      </c>
      <c r="I356">
        <v>14.8</v>
      </c>
      <c r="J356">
        <v>0.05</v>
      </c>
      <c r="K356">
        <v>112.48</v>
      </c>
      <c r="L356" t="s">
        <v>813</v>
      </c>
    </row>
    <row r="357" spans="1:12" x14ac:dyDescent="0.3">
      <c r="A357" t="s">
        <v>367</v>
      </c>
      <c r="B357" s="2">
        <v>45886</v>
      </c>
      <c r="C357" t="s">
        <v>695</v>
      </c>
      <c r="D357" t="s">
        <v>789</v>
      </c>
      <c r="E357" t="s">
        <v>792</v>
      </c>
      <c r="F357" t="s">
        <v>807</v>
      </c>
      <c r="G357" t="s">
        <v>810</v>
      </c>
      <c r="H357">
        <v>7</v>
      </c>
      <c r="I357">
        <v>967.37</v>
      </c>
      <c r="J357">
        <v>0.1</v>
      </c>
      <c r="K357">
        <v>6094.43</v>
      </c>
      <c r="L357" t="s">
        <v>813</v>
      </c>
    </row>
    <row r="358" spans="1:12" x14ac:dyDescent="0.3">
      <c r="A358" t="s">
        <v>368</v>
      </c>
      <c r="B358" s="2">
        <v>45887</v>
      </c>
      <c r="C358" t="s">
        <v>760</v>
      </c>
      <c r="D358" t="s">
        <v>788</v>
      </c>
      <c r="E358" t="s">
        <v>795</v>
      </c>
      <c r="F358" t="s">
        <v>808</v>
      </c>
      <c r="G358" t="s">
        <v>812</v>
      </c>
      <c r="H358">
        <v>2</v>
      </c>
      <c r="I358">
        <v>76.55</v>
      </c>
      <c r="J358">
        <v>0</v>
      </c>
      <c r="K358">
        <v>153.1</v>
      </c>
      <c r="L358" t="s">
        <v>814</v>
      </c>
    </row>
    <row r="359" spans="1:12" x14ac:dyDescent="0.3">
      <c r="A359" t="s">
        <v>369</v>
      </c>
      <c r="B359" s="2">
        <v>45887</v>
      </c>
      <c r="C359" t="s">
        <v>738</v>
      </c>
      <c r="D359" t="s">
        <v>787</v>
      </c>
      <c r="E359" t="s">
        <v>794</v>
      </c>
      <c r="F359" t="s">
        <v>806</v>
      </c>
      <c r="G359" t="s">
        <v>810</v>
      </c>
      <c r="H359">
        <v>2</v>
      </c>
      <c r="I359">
        <v>78.430000000000007</v>
      </c>
      <c r="J359">
        <v>0</v>
      </c>
      <c r="K359">
        <v>156.86000000000001</v>
      </c>
      <c r="L359" t="s">
        <v>815</v>
      </c>
    </row>
    <row r="360" spans="1:12" x14ac:dyDescent="0.3">
      <c r="A360" t="s">
        <v>370</v>
      </c>
      <c r="B360" s="2">
        <v>45888</v>
      </c>
      <c r="C360" t="s">
        <v>615</v>
      </c>
      <c r="D360" t="s">
        <v>787</v>
      </c>
      <c r="E360" t="s">
        <v>794</v>
      </c>
      <c r="F360" t="s">
        <v>805</v>
      </c>
      <c r="G360" t="s">
        <v>810</v>
      </c>
      <c r="H360">
        <v>7</v>
      </c>
      <c r="I360">
        <v>43.9</v>
      </c>
      <c r="J360">
        <v>0</v>
      </c>
      <c r="K360">
        <v>307.3</v>
      </c>
      <c r="L360" t="s">
        <v>814</v>
      </c>
    </row>
    <row r="361" spans="1:12" x14ac:dyDescent="0.3">
      <c r="A361" t="s">
        <v>371</v>
      </c>
      <c r="B361" s="2">
        <v>45889</v>
      </c>
      <c r="C361" t="s">
        <v>665</v>
      </c>
      <c r="D361" t="s">
        <v>788</v>
      </c>
      <c r="E361" t="s">
        <v>795</v>
      </c>
      <c r="F361" t="s">
        <v>803</v>
      </c>
      <c r="G361" t="s">
        <v>810</v>
      </c>
      <c r="H361">
        <v>8</v>
      </c>
      <c r="I361">
        <v>110.53</v>
      </c>
      <c r="J361">
        <v>0</v>
      </c>
      <c r="K361">
        <v>884.24</v>
      </c>
      <c r="L361" t="s">
        <v>815</v>
      </c>
    </row>
    <row r="362" spans="1:12" x14ac:dyDescent="0.3">
      <c r="A362" t="s">
        <v>372</v>
      </c>
      <c r="B362" s="2">
        <v>45889</v>
      </c>
      <c r="C362" t="s">
        <v>700</v>
      </c>
      <c r="D362" t="s">
        <v>790</v>
      </c>
      <c r="E362" t="s">
        <v>796</v>
      </c>
      <c r="F362" t="s">
        <v>800</v>
      </c>
      <c r="G362" t="s">
        <v>810</v>
      </c>
      <c r="H362">
        <v>4</v>
      </c>
      <c r="I362">
        <v>594.92999999999995</v>
      </c>
      <c r="J362">
        <v>0.05</v>
      </c>
      <c r="K362">
        <v>2260.73</v>
      </c>
      <c r="L362" t="s">
        <v>816</v>
      </c>
    </row>
    <row r="363" spans="1:12" x14ac:dyDescent="0.3">
      <c r="A363" t="s">
        <v>373</v>
      </c>
      <c r="B363" s="2">
        <v>45890</v>
      </c>
      <c r="C363" t="s">
        <v>640</v>
      </c>
      <c r="D363" t="s">
        <v>789</v>
      </c>
      <c r="E363" t="s">
        <v>792</v>
      </c>
      <c r="F363" t="s">
        <v>801</v>
      </c>
      <c r="G363" t="s">
        <v>811</v>
      </c>
      <c r="H363">
        <v>6</v>
      </c>
      <c r="I363">
        <v>14.46</v>
      </c>
      <c r="J363">
        <v>0.1</v>
      </c>
      <c r="K363">
        <v>78.08</v>
      </c>
      <c r="L363" t="s">
        <v>814</v>
      </c>
    </row>
    <row r="364" spans="1:12" x14ac:dyDescent="0.3">
      <c r="A364" t="s">
        <v>374</v>
      </c>
      <c r="B364" s="2">
        <v>45890</v>
      </c>
      <c r="C364" t="s">
        <v>644</v>
      </c>
      <c r="D364" t="s">
        <v>787</v>
      </c>
      <c r="E364" t="s">
        <v>794</v>
      </c>
      <c r="F364" t="s">
        <v>797</v>
      </c>
      <c r="G364" t="s">
        <v>809</v>
      </c>
      <c r="H364">
        <v>2</v>
      </c>
      <c r="I364">
        <v>212.29</v>
      </c>
      <c r="J364">
        <v>0.15</v>
      </c>
      <c r="K364">
        <v>360.89</v>
      </c>
      <c r="L364" t="s">
        <v>815</v>
      </c>
    </row>
    <row r="365" spans="1:12" x14ac:dyDescent="0.3">
      <c r="A365" t="s">
        <v>375</v>
      </c>
      <c r="B365" s="2">
        <v>45890</v>
      </c>
      <c r="C365" t="s">
        <v>622</v>
      </c>
      <c r="D365" t="s">
        <v>787</v>
      </c>
      <c r="E365" t="s">
        <v>794</v>
      </c>
      <c r="F365" t="s">
        <v>799</v>
      </c>
      <c r="G365" t="s">
        <v>809</v>
      </c>
      <c r="H365">
        <v>7</v>
      </c>
      <c r="I365">
        <v>51.62</v>
      </c>
      <c r="J365">
        <v>0</v>
      </c>
      <c r="K365">
        <v>361.34</v>
      </c>
      <c r="L365" t="s">
        <v>814</v>
      </c>
    </row>
    <row r="366" spans="1:12" x14ac:dyDescent="0.3">
      <c r="A366" t="s">
        <v>376</v>
      </c>
      <c r="B366" s="2">
        <v>45891</v>
      </c>
      <c r="C366" t="s">
        <v>691</v>
      </c>
      <c r="D366" t="s">
        <v>788</v>
      </c>
      <c r="E366" t="s">
        <v>795</v>
      </c>
      <c r="F366" t="s">
        <v>797</v>
      </c>
      <c r="G366" t="s">
        <v>809</v>
      </c>
      <c r="H366">
        <v>7</v>
      </c>
      <c r="I366">
        <v>199.32</v>
      </c>
      <c r="J366">
        <v>0.05</v>
      </c>
      <c r="K366">
        <v>1325.48</v>
      </c>
      <c r="L366" t="s">
        <v>813</v>
      </c>
    </row>
    <row r="367" spans="1:12" x14ac:dyDescent="0.3">
      <c r="A367" t="s">
        <v>377</v>
      </c>
      <c r="B367" s="2">
        <v>45892</v>
      </c>
      <c r="C367" t="s">
        <v>761</v>
      </c>
      <c r="D367" t="s">
        <v>787</v>
      </c>
      <c r="E367" t="s">
        <v>794</v>
      </c>
      <c r="F367" t="s">
        <v>807</v>
      </c>
      <c r="G367" t="s">
        <v>810</v>
      </c>
      <c r="H367">
        <v>8</v>
      </c>
      <c r="I367">
        <v>920.94</v>
      </c>
      <c r="J367">
        <v>0.05</v>
      </c>
      <c r="K367">
        <v>6999.14</v>
      </c>
      <c r="L367" t="s">
        <v>815</v>
      </c>
    </row>
    <row r="368" spans="1:12" x14ac:dyDescent="0.3">
      <c r="A368" t="s">
        <v>378</v>
      </c>
      <c r="B368" s="2">
        <v>45893</v>
      </c>
      <c r="C368" t="s">
        <v>653</v>
      </c>
      <c r="D368" t="s">
        <v>790</v>
      </c>
      <c r="E368" t="s">
        <v>796</v>
      </c>
      <c r="F368" t="s">
        <v>797</v>
      </c>
      <c r="G368" t="s">
        <v>809</v>
      </c>
      <c r="H368">
        <v>6</v>
      </c>
      <c r="I368">
        <v>218.33</v>
      </c>
      <c r="J368">
        <v>0</v>
      </c>
      <c r="K368">
        <v>1309.98</v>
      </c>
      <c r="L368" t="s">
        <v>815</v>
      </c>
    </row>
    <row r="369" spans="1:12" x14ac:dyDescent="0.3">
      <c r="A369" t="s">
        <v>379</v>
      </c>
      <c r="B369" s="2">
        <v>45893</v>
      </c>
      <c r="C369" t="s">
        <v>680</v>
      </c>
      <c r="D369" t="s">
        <v>787</v>
      </c>
      <c r="E369" t="s">
        <v>794</v>
      </c>
      <c r="F369" t="s">
        <v>797</v>
      </c>
      <c r="G369" t="s">
        <v>809</v>
      </c>
      <c r="H369">
        <v>7</v>
      </c>
      <c r="I369">
        <v>230.42</v>
      </c>
      <c r="J369">
        <v>0.1</v>
      </c>
      <c r="K369">
        <v>1451.65</v>
      </c>
      <c r="L369" t="s">
        <v>815</v>
      </c>
    </row>
    <row r="370" spans="1:12" x14ac:dyDescent="0.3">
      <c r="A370" t="s">
        <v>380</v>
      </c>
      <c r="B370" s="2">
        <v>45894</v>
      </c>
      <c r="C370" t="s">
        <v>738</v>
      </c>
      <c r="D370" t="s">
        <v>787</v>
      </c>
      <c r="E370" t="s">
        <v>794</v>
      </c>
      <c r="F370" t="s">
        <v>797</v>
      </c>
      <c r="G370" t="s">
        <v>809</v>
      </c>
      <c r="H370">
        <v>2</v>
      </c>
      <c r="I370">
        <v>200.78</v>
      </c>
      <c r="J370">
        <v>0</v>
      </c>
      <c r="K370">
        <v>401.56</v>
      </c>
      <c r="L370" t="s">
        <v>814</v>
      </c>
    </row>
    <row r="371" spans="1:12" x14ac:dyDescent="0.3">
      <c r="A371" t="s">
        <v>381</v>
      </c>
      <c r="B371" s="2">
        <v>45894</v>
      </c>
      <c r="C371" t="s">
        <v>756</v>
      </c>
      <c r="D371" t="s">
        <v>787</v>
      </c>
      <c r="E371" t="s">
        <v>794</v>
      </c>
      <c r="F371" t="s">
        <v>805</v>
      </c>
      <c r="G371" t="s">
        <v>810</v>
      </c>
      <c r="H371">
        <v>5</v>
      </c>
      <c r="I371">
        <v>47.18</v>
      </c>
      <c r="J371">
        <v>0</v>
      </c>
      <c r="K371">
        <v>235.9</v>
      </c>
      <c r="L371" t="s">
        <v>813</v>
      </c>
    </row>
    <row r="372" spans="1:12" x14ac:dyDescent="0.3">
      <c r="A372" t="s">
        <v>382</v>
      </c>
      <c r="B372" s="2">
        <v>45894</v>
      </c>
      <c r="C372" t="s">
        <v>759</v>
      </c>
      <c r="D372" t="s">
        <v>785</v>
      </c>
      <c r="E372" t="s">
        <v>792</v>
      </c>
      <c r="F372" t="s">
        <v>801</v>
      </c>
      <c r="G372" t="s">
        <v>811</v>
      </c>
      <c r="H372">
        <v>1</v>
      </c>
      <c r="I372">
        <v>14.3</v>
      </c>
      <c r="J372">
        <v>0.15</v>
      </c>
      <c r="K372">
        <v>12.16</v>
      </c>
      <c r="L372" t="s">
        <v>814</v>
      </c>
    </row>
    <row r="373" spans="1:12" x14ac:dyDescent="0.3">
      <c r="A373" t="s">
        <v>383</v>
      </c>
      <c r="B373" s="2">
        <v>45894</v>
      </c>
      <c r="C373" t="s">
        <v>693</v>
      </c>
      <c r="D373" t="s">
        <v>789</v>
      </c>
      <c r="E373" t="s">
        <v>792</v>
      </c>
      <c r="F373" t="s">
        <v>801</v>
      </c>
      <c r="G373" t="s">
        <v>811</v>
      </c>
      <c r="H373">
        <v>6</v>
      </c>
      <c r="I373">
        <v>14.66</v>
      </c>
      <c r="J373">
        <v>0.1</v>
      </c>
      <c r="K373">
        <v>79.16</v>
      </c>
      <c r="L373" t="s">
        <v>814</v>
      </c>
    </row>
    <row r="374" spans="1:12" x14ac:dyDescent="0.3">
      <c r="A374" t="s">
        <v>384</v>
      </c>
      <c r="B374" s="2">
        <v>45896</v>
      </c>
      <c r="C374" t="s">
        <v>657</v>
      </c>
      <c r="D374" t="s">
        <v>786</v>
      </c>
      <c r="E374" t="s">
        <v>793</v>
      </c>
      <c r="F374" t="s">
        <v>798</v>
      </c>
      <c r="G374" t="s">
        <v>810</v>
      </c>
      <c r="H374">
        <v>8</v>
      </c>
      <c r="I374">
        <v>284.35000000000002</v>
      </c>
      <c r="J374">
        <v>0.1</v>
      </c>
      <c r="K374">
        <v>2047.32</v>
      </c>
      <c r="L374" t="s">
        <v>813</v>
      </c>
    </row>
    <row r="375" spans="1:12" x14ac:dyDescent="0.3">
      <c r="A375" t="s">
        <v>385</v>
      </c>
      <c r="B375" s="2">
        <v>45896</v>
      </c>
      <c r="C375" t="s">
        <v>686</v>
      </c>
      <c r="D375" t="s">
        <v>790</v>
      </c>
      <c r="E375" t="s">
        <v>796</v>
      </c>
      <c r="F375" t="s">
        <v>808</v>
      </c>
      <c r="G375" t="s">
        <v>812</v>
      </c>
      <c r="H375">
        <v>7</v>
      </c>
      <c r="I375">
        <v>70.37</v>
      </c>
      <c r="J375">
        <v>0.05</v>
      </c>
      <c r="K375">
        <v>467.96</v>
      </c>
      <c r="L375" t="s">
        <v>813</v>
      </c>
    </row>
    <row r="376" spans="1:12" x14ac:dyDescent="0.3">
      <c r="A376" t="s">
        <v>386</v>
      </c>
      <c r="B376" s="2">
        <v>45896</v>
      </c>
      <c r="C376" t="s">
        <v>636</v>
      </c>
      <c r="D376" t="s">
        <v>790</v>
      </c>
      <c r="E376" t="s">
        <v>796</v>
      </c>
      <c r="F376" t="s">
        <v>802</v>
      </c>
      <c r="G376" t="s">
        <v>811</v>
      </c>
      <c r="H376">
        <v>5</v>
      </c>
      <c r="I376">
        <v>261.85000000000002</v>
      </c>
      <c r="J376">
        <v>0.1</v>
      </c>
      <c r="K376">
        <v>1178.32</v>
      </c>
      <c r="L376" t="s">
        <v>813</v>
      </c>
    </row>
    <row r="377" spans="1:12" x14ac:dyDescent="0.3">
      <c r="A377" t="s">
        <v>387</v>
      </c>
      <c r="B377" s="2">
        <v>45897</v>
      </c>
      <c r="C377" t="s">
        <v>749</v>
      </c>
      <c r="D377" t="s">
        <v>789</v>
      </c>
      <c r="E377" t="s">
        <v>792</v>
      </c>
      <c r="F377" t="s">
        <v>808</v>
      </c>
      <c r="G377" t="s">
        <v>812</v>
      </c>
      <c r="H377">
        <v>8</v>
      </c>
      <c r="I377">
        <v>74.55</v>
      </c>
      <c r="J377">
        <v>0.3</v>
      </c>
      <c r="K377">
        <v>417.48</v>
      </c>
      <c r="L377" t="s">
        <v>814</v>
      </c>
    </row>
    <row r="378" spans="1:12" x14ac:dyDescent="0.3">
      <c r="A378" t="s">
        <v>388</v>
      </c>
      <c r="B378" s="2">
        <v>45899</v>
      </c>
      <c r="C378" t="s">
        <v>762</v>
      </c>
      <c r="D378" t="s">
        <v>785</v>
      </c>
      <c r="E378" t="s">
        <v>792</v>
      </c>
      <c r="F378" t="s">
        <v>808</v>
      </c>
      <c r="G378" t="s">
        <v>812</v>
      </c>
      <c r="H378">
        <v>8</v>
      </c>
      <c r="I378">
        <v>81.41</v>
      </c>
      <c r="J378">
        <v>0</v>
      </c>
      <c r="K378">
        <v>651.28</v>
      </c>
      <c r="L378" t="s">
        <v>813</v>
      </c>
    </row>
    <row r="379" spans="1:12" x14ac:dyDescent="0.3">
      <c r="A379" t="s">
        <v>389</v>
      </c>
      <c r="B379" s="2">
        <v>45899</v>
      </c>
      <c r="C379" t="s">
        <v>647</v>
      </c>
      <c r="D379" t="s">
        <v>787</v>
      </c>
      <c r="E379" t="s">
        <v>794</v>
      </c>
      <c r="F379" t="s">
        <v>806</v>
      </c>
      <c r="G379" t="s">
        <v>810</v>
      </c>
      <c r="H379">
        <v>7</v>
      </c>
      <c r="I379">
        <v>78.180000000000007</v>
      </c>
      <c r="J379">
        <v>0.1</v>
      </c>
      <c r="K379">
        <v>492.53</v>
      </c>
      <c r="L379" t="s">
        <v>815</v>
      </c>
    </row>
    <row r="380" spans="1:12" x14ac:dyDescent="0.3">
      <c r="A380" t="s">
        <v>390</v>
      </c>
      <c r="B380" s="2">
        <v>45900</v>
      </c>
      <c r="C380" t="s">
        <v>634</v>
      </c>
      <c r="D380" t="s">
        <v>789</v>
      </c>
      <c r="E380" t="s">
        <v>792</v>
      </c>
      <c r="F380" t="s">
        <v>797</v>
      </c>
      <c r="G380" t="s">
        <v>809</v>
      </c>
      <c r="H380">
        <v>2</v>
      </c>
      <c r="I380">
        <v>224.3</v>
      </c>
      <c r="J380">
        <v>0.2</v>
      </c>
      <c r="K380">
        <v>358.88</v>
      </c>
      <c r="L380" t="s">
        <v>815</v>
      </c>
    </row>
    <row r="381" spans="1:12" x14ac:dyDescent="0.3">
      <c r="A381" t="s">
        <v>391</v>
      </c>
      <c r="B381" s="2">
        <v>45902</v>
      </c>
      <c r="C381" t="s">
        <v>763</v>
      </c>
      <c r="D381" t="s">
        <v>785</v>
      </c>
      <c r="E381" t="s">
        <v>792</v>
      </c>
      <c r="F381" t="s">
        <v>801</v>
      </c>
      <c r="G381" t="s">
        <v>811</v>
      </c>
      <c r="H381">
        <v>2</v>
      </c>
      <c r="I381">
        <v>14.69</v>
      </c>
      <c r="J381">
        <v>0.05</v>
      </c>
      <c r="K381">
        <v>27.91</v>
      </c>
      <c r="L381" t="s">
        <v>814</v>
      </c>
    </row>
    <row r="382" spans="1:12" x14ac:dyDescent="0.3">
      <c r="A382" t="s">
        <v>392</v>
      </c>
      <c r="B382" s="2">
        <v>45902</v>
      </c>
      <c r="C382" t="s">
        <v>683</v>
      </c>
      <c r="D382" t="s">
        <v>785</v>
      </c>
      <c r="E382" t="s">
        <v>792</v>
      </c>
      <c r="F382" t="s">
        <v>806</v>
      </c>
      <c r="G382" t="s">
        <v>810</v>
      </c>
      <c r="H382">
        <v>3</v>
      </c>
      <c r="I382">
        <v>85.5</v>
      </c>
      <c r="J382">
        <v>0.05</v>
      </c>
      <c r="K382">
        <v>243.68</v>
      </c>
      <c r="L382" t="s">
        <v>815</v>
      </c>
    </row>
    <row r="383" spans="1:12" x14ac:dyDescent="0.3">
      <c r="A383" t="s">
        <v>393</v>
      </c>
      <c r="B383" s="2">
        <v>45902</v>
      </c>
      <c r="C383" t="s">
        <v>657</v>
      </c>
      <c r="D383" t="s">
        <v>789</v>
      </c>
      <c r="E383" t="s">
        <v>792</v>
      </c>
      <c r="F383" t="s">
        <v>806</v>
      </c>
      <c r="G383" t="s">
        <v>810</v>
      </c>
      <c r="H383">
        <v>5</v>
      </c>
      <c r="I383">
        <v>81.22</v>
      </c>
      <c r="J383">
        <v>0.15</v>
      </c>
      <c r="K383">
        <v>345.18</v>
      </c>
      <c r="L383" t="s">
        <v>813</v>
      </c>
    </row>
    <row r="384" spans="1:12" x14ac:dyDescent="0.3">
      <c r="A384" t="s">
        <v>394</v>
      </c>
      <c r="B384" s="2">
        <v>45903</v>
      </c>
      <c r="C384" t="s">
        <v>764</v>
      </c>
      <c r="D384" t="s">
        <v>790</v>
      </c>
      <c r="E384" t="s">
        <v>796</v>
      </c>
      <c r="F384" t="s">
        <v>799</v>
      </c>
      <c r="G384" t="s">
        <v>809</v>
      </c>
      <c r="H384">
        <v>8</v>
      </c>
      <c r="I384">
        <v>51.17</v>
      </c>
      <c r="J384">
        <v>0.1</v>
      </c>
      <c r="K384">
        <v>368.42</v>
      </c>
      <c r="L384" t="s">
        <v>815</v>
      </c>
    </row>
    <row r="385" spans="1:12" x14ac:dyDescent="0.3">
      <c r="A385" t="s">
        <v>395</v>
      </c>
      <c r="B385" s="2">
        <v>45903</v>
      </c>
      <c r="C385" t="s">
        <v>670</v>
      </c>
      <c r="D385" t="s">
        <v>789</v>
      </c>
      <c r="E385" t="s">
        <v>792</v>
      </c>
      <c r="F385" t="s">
        <v>801</v>
      </c>
      <c r="G385" t="s">
        <v>811</v>
      </c>
      <c r="H385">
        <v>5</v>
      </c>
      <c r="I385">
        <v>15.3</v>
      </c>
      <c r="J385">
        <v>0.05</v>
      </c>
      <c r="K385">
        <v>72.680000000000007</v>
      </c>
      <c r="L385" t="s">
        <v>815</v>
      </c>
    </row>
    <row r="386" spans="1:12" x14ac:dyDescent="0.3">
      <c r="A386" t="s">
        <v>396</v>
      </c>
      <c r="B386" s="2">
        <v>45903</v>
      </c>
      <c r="C386" t="s">
        <v>677</v>
      </c>
      <c r="D386" t="s">
        <v>786</v>
      </c>
      <c r="E386" t="s">
        <v>793</v>
      </c>
      <c r="F386" t="s">
        <v>804</v>
      </c>
      <c r="G386" t="s">
        <v>809</v>
      </c>
      <c r="H386">
        <v>2</v>
      </c>
      <c r="I386">
        <v>352.23</v>
      </c>
      <c r="J386">
        <v>0.2</v>
      </c>
      <c r="K386">
        <v>563.57000000000005</v>
      </c>
      <c r="L386" t="s">
        <v>814</v>
      </c>
    </row>
    <row r="387" spans="1:12" x14ac:dyDescent="0.3">
      <c r="A387" t="s">
        <v>397</v>
      </c>
      <c r="B387" s="2">
        <v>45904</v>
      </c>
      <c r="C387" t="s">
        <v>680</v>
      </c>
      <c r="D387" t="s">
        <v>789</v>
      </c>
      <c r="E387" t="s">
        <v>792</v>
      </c>
      <c r="F387" t="s">
        <v>802</v>
      </c>
      <c r="G387" t="s">
        <v>811</v>
      </c>
      <c r="H387">
        <v>5</v>
      </c>
      <c r="I387">
        <v>225.51</v>
      </c>
      <c r="J387">
        <v>0.15</v>
      </c>
      <c r="K387">
        <v>958.42</v>
      </c>
      <c r="L387" t="s">
        <v>813</v>
      </c>
    </row>
    <row r="388" spans="1:12" x14ac:dyDescent="0.3">
      <c r="A388" t="s">
        <v>398</v>
      </c>
      <c r="B388" s="2">
        <v>45904</v>
      </c>
      <c r="C388" t="s">
        <v>685</v>
      </c>
      <c r="D388" t="s">
        <v>786</v>
      </c>
      <c r="E388" t="s">
        <v>793</v>
      </c>
      <c r="F388" t="s">
        <v>801</v>
      </c>
      <c r="G388" t="s">
        <v>811</v>
      </c>
      <c r="H388">
        <v>5</v>
      </c>
      <c r="I388">
        <v>16.329999999999998</v>
      </c>
      <c r="J388">
        <v>0.25</v>
      </c>
      <c r="K388">
        <v>61.24</v>
      </c>
      <c r="L388" t="s">
        <v>815</v>
      </c>
    </row>
    <row r="389" spans="1:12" x14ac:dyDescent="0.3">
      <c r="A389" t="s">
        <v>399</v>
      </c>
      <c r="B389" s="2">
        <v>45904</v>
      </c>
      <c r="C389" t="s">
        <v>655</v>
      </c>
      <c r="D389" t="s">
        <v>785</v>
      </c>
      <c r="E389" t="s">
        <v>792</v>
      </c>
      <c r="F389" t="s">
        <v>808</v>
      </c>
      <c r="G389" t="s">
        <v>812</v>
      </c>
      <c r="H389">
        <v>8</v>
      </c>
      <c r="I389">
        <v>79.58</v>
      </c>
      <c r="J389">
        <v>0.25</v>
      </c>
      <c r="K389">
        <v>477.48</v>
      </c>
      <c r="L389" t="s">
        <v>814</v>
      </c>
    </row>
    <row r="390" spans="1:12" x14ac:dyDescent="0.3">
      <c r="A390" t="s">
        <v>400</v>
      </c>
      <c r="B390" s="2">
        <v>45905</v>
      </c>
      <c r="C390" t="s">
        <v>674</v>
      </c>
      <c r="D390" t="s">
        <v>790</v>
      </c>
      <c r="E390" t="s">
        <v>796</v>
      </c>
      <c r="F390" t="s">
        <v>798</v>
      </c>
      <c r="G390" t="s">
        <v>810</v>
      </c>
      <c r="H390">
        <v>4</v>
      </c>
      <c r="I390">
        <v>328.45</v>
      </c>
      <c r="J390">
        <v>0</v>
      </c>
      <c r="K390">
        <v>1313.8</v>
      </c>
      <c r="L390" t="s">
        <v>813</v>
      </c>
    </row>
    <row r="391" spans="1:12" x14ac:dyDescent="0.3">
      <c r="A391" t="s">
        <v>401</v>
      </c>
      <c r="B391" s="2">
        <v>45905</v>
      </c>
      <c r="C391" t="s">
        <v>765</v>
      </c>
      <c r="D391" t="s">
        <v>789</v>
      </c>
      <c r="E391" t="s">
        <v>792</v>
      </c>
      <c r="F391" t="s">
        <v>807</v>
      </c>
      <c r="G391" t="s">
        <v>810</v>
      </c>
      <c r="H391">
        <v>4</v>
      </c>
      <c r="I391">
        <v>943.07</v>
      </c>
      <c r="J391">
        <v>0</v>
      </c>
      <c r="K391">
        <v>3772.28</v>
      </c>
      <c r="L391" t="s">
        <v>814</v>
      </c>
    </row>
    <row r="392" spans="1:12" x14ac:dyDescent="0.3">
      <c r="A392" t="s">
        <v>402</v>
      </c>
      <c r="B392" s="2">
        <v>45906</v>
      </c>
      <c r="C392" t="s">
        <v>726</v>
      </c>
      <c r="D392" t="s">
        <v>787</v>
      </c>
      <c r="E392" t="s">
        <v>794</v>
      </c>
      <c r="F392" t="s">
        <v>804</v>
      </c>
      <c r="G392" t="s">
        <v>809</v>
      </c>
      <c r="H392">
        <v>7</v>
      </c>
      <c r="I392">
        <v>323.95</v>
      </c>
      <c r="J392">
        <v>0.15</v>
      </c>
      <c r="K392">
        <v>1927.5</v>
      </c>
      <c r="L392" t="s">
        <v>814</v>
      </c>
    </row>
    <row r="393" spans="1:12" x14ac:dyDescent="0.3">
      <c r="A393" t="s">
        <v>403</v>
      </c>
      <c r="B393" s="2">
        <v>45906</v>
      </c>
      <c r="C393" t="s">
        <v>623</v>
      </c>
      <c r="D393" t="s">
        <v>789</v>
      </c>
      <c r="E393" t="s">
        <v>792</v>
      </c>
      <c r="F393" t="s">
        <v>808</v>
      </c>
      <c r="G393" t="s">
        <v>812</v>
      </c>
      <c r="H393">
        <v>6</v>
      </c>
      <c r="I393">
        <v>77.31</v>
      </c>
      <c r="J393">
        <v>0.15</v>
      </c>
      <c r="K393">
        <v>394.28</v>
      </c>
      <c r="L393" t="s">
        <v>814</v>
      </c>
    </row>
    <row r="394" spans="1:12" x14ac:dyDescent="0.3">
      <c r="A394" t="s">
        <v>404</v>
      </c>
      <c r="B394" s="2">
        <v>45906</v>
      </c>
      <c r="C394" t="s">
        <v>715</v>
      </c>
      <c r="D394" t="s">
        <v>787</v>
      </c>
      <c r="E394" t="s">
        <v>794</v>
      </c>
      <c r="F394" t="s">
        <v>803</v>
      </c>
      <c r="G394" t="s">
        <v>810</v>
      </c>
      <c r="H394">
        <v>5</v>
      </c>
      <c r="I394">
        <v>131.85</v>
      </c>
      <c r="J394">
        <v>0.2</v>
      </c>
      <c r="K394">
        <v>527.4</v>
      </c>
      <c r="L394" t="s">
        <v>815</v>
      </c>
    </row>
    <row r="395" spans="1:12" x14ac:dyDescent="0.3">
      <c r="A395" t="s">
        <v>405</v>
      </c>
      <c r="B395" s="2">
        <v>45906</v>
      </c>
      <c r="C395" t="s">
        <v>639</v>
      </c>
      <c r="D395" t="s">
        <v>788</v>
      </c>
      <c r="E395" t="s">
        <v>795</v>
      </c>
      <c r="F395" t="s">
        <v>800</v>
      </c>
      <c r="G395" t="s">
        <v>810</v>
      </c>
      <c r="H395">
        <v>6</v>
      </c>
      <c r="I395">
        <v>657.13</v>
      </c>
      <c r="J395">
        <v>0</v>
      </c>
      <c r="K395">
        <v>3942.78</v>
      </c>
      <c r="L395" t="s">
        <v>813</v>
      </c>
    </row>
    <row r="396" spans="1:12" x14ac:dyDescent="0.3">
      <c r="A396" t="s">
        <v>406</v>
      </c>
      <c r="B396" s="2">
        <v>45906</v>
      </c>
      <c r="C396" t="s">
        <v>739</v>
      </c>
      <c r="D396" t="s">
        <v>785</v>
      </c>
      <c r="E396" t="s">
        <v>792</v>
      </c>
      <c r="F396" t="s">
        <v>807</v>
      </c>
      <c r="G396" t="s">
        <v>810</v>
      </c>
      <c r="H396">
        <v>7</v>
      </c>
      <c r="I396">
        <v>849.29</v>
      </c>
      <c r="J396">
        <v>0.3</v>
      </c>
      <c r="K396">
        <v>4161.5200000000004</v>
      </c>
      <c r="L396" t="s">
        <v>815</v>
      </c>
    </row>
    <row r="397" spans="1:12" x14ac:dyDescent="0.3">
      <c r="A397" t="s">
        <v>407</v>
      </c>
      <c r="B397" s="2">
        <v>45907</v>
      </c>
      <c r="C397" t="s">
        <v>729</v>
      </c>
      <c r="D397" t="s">
        <v>785</v>
      </c>
      <c r="E397" t="s">
        <v>792</v>
      </c>
      <c r="F397" t="s">
        <v>804</v>
      </c>
      <c r="G397" t="s">
        <v>809</v>
      </c>
      <c r="H397">
        <v>7</v>
      </c>
      <c r="I397">
        <v>339.24</v>
      </c>
      <c r="J397">
        <v>0.1</v>
      </c>
      <c r="K397">
        <v>2137.21</v>
      </c>
      <c r="L397" t="s">
        <v>815</v>
      </c>
    </row>
    <row r="398" spans="1:12" x14ac:dyDescent="0.3">
      <c r="A398" t="s">
        <v>408</v>
      </c>
      <c r="B398" s="2">
        <v>45907</v>
      </c>
      <c r="C398" t="s">
        <v>662</v>
      </c>
      <c r="D398" t="s">
        <v>786</v>
      </c>
      <c r="E398" t="s">
        <v>793</v>
      </c>
      <c r="F398" t="s">
        <v>797</v>
      </c>
      <c r="G398" t="s">
        <v>809</v>
      </c>
      <c r="H398">
        <v>4</v>
      </c>
      <c r="I398">
        <v>199.76</v>
      </c>
      <c r="J398">
        <v>0.2</v>
      </c>
      <c r="K398">
        <v>639.23</v>
      </c>
      <c r="L398" t="s">
        <v>815</v>
      </c>
    </row>
    <row r="399" spans="1:12" x14ac:dyDescent="0.3">
      <c r="A399" t="s">
        <v>409</v>
      </c>
      <c r="B399" s="2">
        <v>45907</v>
      </c>
      <c r="C399" t="s">
        <v>692</v>
      </c>
      <c r="D399" t="s">
        <v>786</v>
      </c>
      <c r="E399" t="s">
        <v>793</v>
      </c>
      <c r="F399" t="s">
        <v>804</v>
      </c>
      <c r="G399" t="s">
        <v>809</v>
      </c>
      <c r="H399">
        <v>6</v>
      </c>
      <c r="I399">
        <v>349.01</v>
      </c>
      <c r="J399">
        <v>0</v>
      </c>
      <c r="K399">
        <v>2094.06</v>
      </c>
      <c r="L399" t="s">
        <v>815</v>
      </c>
    </row>
    <row r="400" spans="1:12" x14ac:dyDescent="0.3">
      <c r="A400" t="s">
        <v>410</v>
      </c>
      <c r="B400" s="2">
        <v>45908</v>
      </c>
      <c r="C400" t="s">
        <v>766</v>
      </c>
      <c r="D400" t="s">
        <v>786</v>
      </c>
      <c r="E400" t="s">
        <v>793</v>
      </c>
      <c r="F400" t="s">
        <v>806</v>
      </c>
      <c r="G400" t="s">
        <v>810</v>
      </c>
      <c r="H400">
        <v>4</v>
      </c>
      <c r="I400">
        <v>79.14</v>
      </c>
      <c r="J400">
        <v>0.2</v>
      </c>
      <c r="K400">
        <v>253.25</v>
      </c>
      <c r="L400" t="s">
        <v>815</v>
      </c>
    </row>
    <row r="401" spans="1:12" x14ac:dyDescent="0.3">
      <c r="A401" t="s">
        <v>411</v>
      </c>
      <c r="B401" s="2">
        <v>45908</v>
      </c>
      <c r="C401" t="s">
        <v>714</v>
      </c>
      <c r="D401" t="s">
        <v>787</v>
      </c>
      <c r="E401" t="s">
        <v>794</v>
      </c>
      <c r="F401" t="s">
        <v>799</v>
      </c>
      <c r="G401" t="s">
        <v>809</v>
      </c>
      <c r="H401">
        <v>6</v>
      </c>
      <c r="I401">
        <v>54.09</v>
      </c>
      <c r="J401">
        <v>0.1</v>
      </c>
      <c r="K401">
        <v>292.08999999999997</v>
      </c>
      <c r="L401" t="s">
        <v>816</v>
      </c>
    </row>
    <row r="402" spans="1:12" x14ac:dyDescent="0.3">
      <c r="A402" t="s">
        <v>412</v>
      </c>
      <c r="B402" s="2">
        <v>45909</v>
      </c>
      <c r="C402" t="s">
        <v>663</v>
      </c>
      <c r="D402" t="s">
        <v>785</v>
      </c>
      <c r="E402" t="s">
        <v>792</v>
      </c>
      <c r="F402" t="s">
        <v>805</v>
      </c>
      <c r="G402" t="s">
        <v>810</v>
      </c>
      <c r="H402">
        <v>4</v>
      </c>
      <c r="I402">
        <v>43.23</v>
      </c>
      <c r="J402">
        <v>0</v>
      </c>
      <c r="K402">
        <v>172.92</v>
      </c>
      <c r="L402" t="s">
        <v>815</v>
      </c>
    </row>
    <row r="403" spans="1:12" x14ac:dyDescent="0.3">
      <c r="A403" t="s">
        <v>413</v>
      </c>
      <c r="B403" s="2">
        <v>45912</v>
      </c>
      <c r="C403" t="s">
        <v>712</v>
      </c>
      <c r="D403" t="s">
        <v>786</v>
      </c>
      <c r="E403" t="s">
        <v>793</v>
      </c>
      <c r="F403" t="s">
        <v>799</v>
      </c>
      <c r="G403" t="s">
        <v>809</v>
      </c>
      <c r="H403">
        <v>5</v>
      </c>
      <c r="I403">
        <v>50.47</v>
      </c>
      <c r="J403">
        <v>0.2</v>
      </c>
      <c r="K403">
        <v>201.88</v>
      </c>
      <c r="L403" t="s">
        <v>815</v>
      </c>
    </row>
    <row r="404" spans="1:12" x14ac:dyDescent="0.3">
      <c r="A404" t="s">
        <v>414</v>
      </c>
      <c r="B404" s="2">
        <v>45912</v>
      </c>
      <c r="C404" t="s">
        <v>694</v>
      </c>
      <c r="D404" t="s">
        <v>790</v>
      </c>
      <c r="E404" t="s">
        <v>796</v>
      </c>
      <c r="F404" t="s">
        <v>806</v>
      </c>
      <c r="G404" t="s">
        <v>810</v>
      </c>
      <c r="H404">
        <v>1</v>
      </c>
      <c r="I404">
        <v>80.83</v>
      </c>
      <c r="J404">
        <v>0.05</v>
      </c>
      <c r="K404">
        <v>76.790000000000006</v>
      </c>
      <c r="L404" t="s">
        <v>814</v>
      </c>
    </row>
    <row r="405" spans="1:12" x14ac:dyDescent="0.3">
      <c r="A405" t="s">
        <v>415</v>
      </c>
      <c r="B405" s="2">
        <v>45913</v>
      </c>
      <c r="C405" t="s">
        <v>654</v>
      </c>
      <c r="D405" t="s">
        <v>785</v>
      </c>
      <c r="E405" t="s">
        <v>792</v>
      </c>
      <c r="F405" t="s">
        <v>806</v>
      </c>
      <c r="G405" t="s">
        <v>810</v>
      </c>
      <c r="H405">
        <v>2</v>
      </c>
      <c r="I405">
        <v>83.3</v>
      </c>
      <c r="J405">
        <v>0.05</v>
      </c>
      <c r="K405">
        <v>158.27000000000001</v>
      </c>
      <c r="L405" t="s">
        <v>814</v>
      </c>
    </row>
    <row r="406" spans="1:12" x14ac:dyDescent="0.3">
      <c r="A406" t="s">
        <v>416</v>
      </c>
      <c r="B406" s="2">
        <v>45913</v>
      </c>
      <c r="C406" t="s">
        <v>681</v>
      </c>
      <c r="D406" t="s">
        <v>787</v>
      </c>
      <c r="E406" t="s">
        <v>794</v>
      </c>
      <c r="F406" t="s">
        <v>801</v>
      </c>
      <c r="G406" t="s">
        <v>811</v>
      </c>
      <c r="H406">
        <v>7</v>
      </c>
      <c r="I406">
        <v>15.55</v>
      </c>
      <c r="J406">
        <v>0.05</v>
      </c>
      <c r="K406">
        <v>103.41</v>
      </c>
      <c r="L406" t="s">
        <v>813</v>
      </c>
    </row>
    <row r="407" spans="1:12" x14ac:dyDescent="0.3">
      <c r="A407" t="s">
        <v>417</v>
      </c>
      <c r="B407" s="2">
        <v>45913</v>
      </c>
      <c r="C407" t="s">
        <v>763</v>
      </c>
      <c r="D407" t="s">
        <v>789</v>
      </c>
      <c r="E407" t="s">
        <v>792</v>
      </c>
      <c r="F407" t="s">
        <v>805</v>
      </c>
      <c r="G407" t="s">
        <v>810</v>
      </c>
      <c r="H407">
        <v>7</v>
      </c>
      <c r="I407">
        <v>41.09</v>
      </c>
      <c r="J407">
        <v>0.2</v>
      </c>
      <c r="K407">
        <v>230.1</v>
      </c>
      <c r="L407" t="s">
        <v>814</v>
      </c>
    </row>
    <row r="408" spans="1:12" x14ac:dyDescent="0.3">
      <c r="A408" t="s">
        <v>418</v>
      </c>
      <c r="B408" s="2">
        <v>45913</v>
      </c>
      <c r="C408" t="s">
        <v>649</v>
      </c>
      <c r="D408" t="s">
        <v>786</v>
      </c>
      <c r="E408" t="s">
        <v>793</v>
      </c>
      <c r="F408" t="s">
        <v>808</v>
      </c>
      <c r="G408" t="s">
        <v>812</v>
      </c>
      <c r="H408">
        <v>8</v>
      </c>
      <c r="I408">
        <v>74.16</v>
      </c>
      <c r="J408">
        <v>0</v>
      </c>
      <c r="K408">
        <v>593.28</v>
      </c>
      <c r="L408" t="s">
        <v>814</v>
      </c>
    </row>
    <row r="409" spans="1:12" x14ac:dyDescent="0.3">
      <c r="A409" t="s">
        <v>419</v>
      </c>
      <c r="B409" s="2">
        <v>45914</v>
      </c>
      <c r="C409" t="s">
        <v>665</v>
      </c>
      <c r="D409" t="s">
        <v>790</v>
      </c>
      <c r="E409" t="s">
        <v>796</v>
      </c>
      <c r="F409" t="s">
        <v>804</v>
      </c>
      <c r="G409" t="s">
        <v>809</v>
      </c>
      <c r="H409">
        <v>3</v>
      </c>
      <c r="I409">
        <v>382.52</v>
      </c>
      <c r="J409">
        <v>0.15</v>
      </c>
      <c r="K409">
        <v>975.43</v>
      </c>
      <c r="L409" t="s">
        <v>815</v>
      </c>
    </row>
    <row r="410" spans="1:12" x14ac:dyDescent="0.3">
      <c r="A410" t="s">
        <v>420</v>
      </c>
      <c r="B410" s="2">
        <v>45914</v>
      </c>
      <c r="C410" t="s">
        <v>735</v>
      </c>
      <c r="D410" t="s">
        <v>785</v>
      </c>
      <c r="E410" t="s">
        <v>792</v>
      </c>
      <c r="F410" t="s">
        <v>797</v>
      </c>
      <c r="G410" t="s">
        <v>809</v>
      </c>
      <c r="H410">
        <v>2</v>
      </c>
      <c r="I410">
        <v>228.75</v>
      </c>
      <c r="J410">
        <v>0.05</v>
      </c>
      <c r="K410">
        <v>434.62</v>
      </c>
      <c r="L410" t="s">
        <v>815</v>
      </c>
    </row>
    <row r="411" spans="1:12" x14ac:dyDescent="0.3">
      <c r="A411" t="s">
        <v>421</v>
      </c>
      <c r="B411" s="2">
        <v>45917</v>
      </c>
      <c r="C411" t="s">
        <v>684</v>
      </c>
      <c r="D411" t="s">
        <v>789</v>
      </c>
      <c r="E411" t="s">
        <v>792</v>
      </c>
      <c r="F411" t="s">
        <v>804</v>
      </c>
      <c r="G411" t="s">
        <v>809</v>
      </c>
      <c r="H411">
        <v>6</v>
      </c>
      <c r="I411">
        <v>363.69</v>
      </c>
      <c r="J411">
        <v>0</v>
      </c>
      <c r="K411">
        <v>2182.14</v>
      </c>
      <c r="L411" t="s">
        <v>815</v>
      </c>
    </row>
    <row r="412" spans="1:12" x14ac:dyDescent="0.3">
      <c r="A412" t="s">
        <v>422</v>
      </c>
      <c r="B412" s="2">
        <v>45917</v>
      </c>
      <c r="C412" t="s">
        <v>674</v>
      </c>
      <c r="D412" t="s">
        <v>787</v>
      </c>
      <c r="E412" t="s">
        <v>794</v>
      </c>
      <c r="F412" t="s">
        <v>800</v>
      </c>
      <c r="G412" t="s">
        <v>810</v>
      </c>
      <c r="H412">
        <v>3</v>
      </c>
      <c r="I412">
        <v>607.89</v>
      </c>
      <c r="J412">
        <v>0.05</v>
      </c>
      <c r="K412">
        <v>1732.49</v>
      </c>
      <c r="L412" t="s">
        <v>814</v>
      </c>
    </row>
    <row r="413" spans="1:12" x14ac:dyDescent="0.3">
      <c r="A413" t="s">
        <v>423</v>
      </c>
      <c r="B413" s="2">
        <v>45917</v>
      </c>
      <c r="C413" t="s">
        <v>671</v>
      </c>
      <c r="D413" t="s">
        <v>790</v>
      </c>
      <c r="E413" t="s">
        <v>796</v>
      </c>
      <c r="F413" t="s">
        <v>806</v>
      </c>
      <c r="G413" t="s">
        <v>810</v>
      </c>
      <c r="H413">
        <v>3</v>
      </c>
      <c r="I413">
        <v>86.46</v>
      </c>
      <c r="J413">
        <v>0.3</v>
      </c>
      <c r="K413">
        <v>181.57</v>
      </c>
    </row>
    <row r="414" spans="1:12" x14ac:dyDescent="0.3">
      <c r="A414" t="s">
        <v>424</v>
      </c>
      <c r="B414" s="2">
        <v>45918</v>
      </c>
      <c r="C414" t="s">
        <v>754</v>
      </c>
      <c r="D414" t="s">
        <v>785</v>
      </c>
      <c r="E414" t="s">
        <v>792</v>
      </c>
      <c r="F414" t="s">
        <v>807</v>
      </c>
      <c r="G414" t="s">
        <v>810</v>
      </c>
      <c r="H414">
        <v>3</v>
      </c>
      <c r="I414">
        <v>866.19</v>
      </c>
      <c r="J414">
        <v>0.1</v>
      </c>
      <c r="K414">
        <v>2338.71</v>
      </c>
      <c r="L414" t="s">
        <v>813</v>
      </c>
    </row>
    <row r="415" spans="1:12" x14ac:dyDescent="0.3">
      <c r="A415" t="s">
        <v>425</v>
      </c>
      <c r="B415" s="2">
        <v>45918</v>
      </c>
      <c r="C415" t="s">
        <v>753</v>
      </c>
      <c r="D415" t="s">
        <v>787</v>
      </c>
      <c r="E415" t="s">
        <v>794</v>
      </c>
      <c r="F415" t="s">
        <v>797</v>
      </c>
      <c r="G415" t="s">
        <v>809</v>
      </c>
      <c r="H415">
        <v>5</v>
      </c>
      <c r="I415">
        <v>203.61</v>
      </c>
      <c r="J415">
        <v>0.1</v>
      </c>
      <c r="K415">
        <v>916.25</v>
      </c>
      <c r="L415" t="s">
        <v>813</v>
      </c>
    </row>
    <row r="416" spans="1:12" x14ac:dyDescent="0.3">
      <c r="A416" t="s">
        <v>426</v>
      </c>
      <c r="B416" s="2">
        <v>45919</v>
      </c>
      <c r="C416" t="s">
        <v>616</v>
      </c>
      <c r="D416" t="s">
        <v>786</v>
      </c>
      <c r="E416" t="s">
        <v>793</v>
      </c>
      <c r="F416" t="s">
        <v>806</v>
      </c>
      <c r="G416" t="s">
        <v>810</v>
      </c>
      <c r="H416">
        <v>8</v>
      </c>
      <c r="I416">
        <v>82.85</v>
      </c>
      <c r="J416">
        <v>0.1</v>
      </c>
      <c r="K416">
        <v>596.52</v>
      </c>
      <c r="L416" t="s">
        <v>814</v>
      </c>
    </row>
    <row r="417" spans="1:12" x14ac:dyDescent="0.3">
      <c r="A417" t="s">
        <v>427</v>
      </c>
      <c r="B417" s="2">
        <v>45919</v>
      </c>
      <c r="C417" t="s">
        <v>657</v>
      </c>
      <c r="D417" t="s">
        <v>789</v>
      </c>
      <c r="E417" t="s">
        <v>792</v>
      </c>
      <c r="F417" t="s">
        <v>802</v>
      </c>
      <c r="G417" t="s">
        <v>811</v>
      </c>
      <c r="H417">
        <v>5</v>
      </c>
      <c r="I417">
        <v>229.23</v>
      </c>
      <c r="J417">
        <v>0.1</v>
      </c>
      <c r="K417">
        <v>1031.53</v>
      </c>
      <c r="L417" t="s">
        <v>815</v>
      </c>
    </row>
    <row r="418" spans="1:12" x14ac:dyDescent="0.3">
      <c r="A418" t="s">
        <v>428</v>
      </c>
      <c r="B418" s="2">
        <v>45920</v>
      </c>
      <c r="C418" t="s">
        <v>695</v>
      </c>
      <c r="D418" t="s">
        <v>786</v>
      </c>
      <c r="E418" t="s">
        <v>793</v>
      </c>
      <c r="F418" t="s">
        <v>806</v>
      </c>
      <c r="G418" t="s">
        <v>810</v>
      </c>
      <c r="H418">
        <v>2</v>
      </c>
      <c r="I418">
        <v>74.53</v>
      </c>
      <c r="J418">
        <v>0.15</v>
      </c>
      <c r="K418">
        <v>126.7</v>
      </c>
      <c r="L418" t="s">
        <v>813</v>
      </c>
    </row>
    <row r="419" spans="1:12" x14ac:dyDescent="0.3">
      <c r="A419" t="s">
        <v>429</v>
      </c>
      <c r="B419" s="2">
        <v>45920</v>
      </c>
      <c r="C419" t="s">
        <v>749</v>
      </c>
      <c r="D419" t="s">
        <v>788</v>
      </c>
      <c r="E419" t="s">
        <v>795</v>
      </c>
      <c r="F419" t="s">
        <v>805</v>
      </c>
      <c r="G419" t="s">
        <v>810</v>
      </c>
      <c r="H419">
        <v>1</v>
      </c>
      <c r="I419">
        <v>42.38</v>
      </c>
      <c r="J419">
        <v>0.1</v>
      </c>
      <c r="K419">
        <v>38.14</v>
      </c>
      <c r="L419" t="s">
        <v>815</v>
      </c>
    </row>
    <row r="420" spans="1:12" x14ac:dyDescent="0.3">
      <c r="A420" t="s">
        <v>430</v>
      </c>
      <c r="B420" s="2">
        <v>45921</v>
      </c>
      <c r="C420" t="s">
        <v>647</v>
      </c>
      <c r="D420" t="s">
        <v>786</v>
      </c>
      <c r="E420" t="s">
        <v>793</v>
      </c>
      <c r="F420" t="s">
        <v>803</v>
      </c>
      <c r="G420" t="s">
        <v>810</v>
      </c>
      <c r="H420">
        <v>2</v>
      </c>
      <c r="I420">
        <v>120.33</v>
      </c>
      <c r="J420">
        <v>0.05</v>
      </c>
      <c r="K420">
        <v>228.63</v>
      </c>
      <c r="L420" t="s">
        <v>816</v>
      </c>
    </row>
    <row r="421" spans="1:12" x14ac:dyDescent="0.3">
      <c r="A421" t="s">
        <v>431</v>
      </c>
      <c r="B421" s="2">
        <v>45921</v>
      </c>
      <c r="C421" t="s">
        <v>749</v>
      </c>
      <c r="D421" t="s">
        <v>788</v>
      </c>
      <c r="E421" t="s">
        <v>795</v>
      </c>
      <c r="F421" t="s">
        <v>799</v>
      </c>
      <c r="G421" t="s">
        <v>809</v>
      </c>
      <c r="H421">
        <v>2</v>
      </c>
      <c r="I421">
        <v>49.56</v>
      </c>
      <c r="J421">
        <v>0.15</v>
      </c>
      <c r="K421">
        <v>84.25</v>
      </c>
      <c r="L421" t="s">
        <v>814</v>
      </c>
    </row>
    <row r="422" spans="1:12" x14ac:dyDescent="0.3">
      <c r="A422" t="s">
        <v>432</v>
      </c>
      <c r="B422" s="2">
        <v>45921</v>
      </c>
      <c r="C422" t="s">
        <v>687</v>
      </c>
      <c r="D422" t="s">
        <v>789</v>
      </c>
      <c r="E422" t="s">
        <v>792</v>
      </c>
      <c r="F422" t="s">
        <v>806</v>
      </c>
      <c r="G422" t="s">
        <v>810</v>
      </c>
      <c r="H422">
        <v>6</v>
      </c>
      <c r="I422">
        <v>87.32</v>
      </c>
      <c r="J422">
        <v>0</v>
      </c>
      <c r="K422">
        <v>523.91999999999996</v>
      </c>
      <c r="L422" t="s">
        <v>816</v>
      </c>
    </row>
    <row r="423" spans="1:12" x14ac:dyDescent="0.3">
      <c r="A423" t="s">
        <v>433</v>
      </c>
      <c r="B423" s="2">
        <v>45921</v>
      </c>
      <c r="C423" t="s">
        <v>740</v>
      </c>
      <c r="D423" t="s">
        <v>790</v>
      </c>
      <c r="E423" t="s">
        <v>796</v>
      </c>
      <c r="F423" t="s">
        <v>797</v>
      </c>
      <c r="G423" t="s">
        <v>809</v>
      </c>
      <c r="H423">
        <v>5</v>
      </c>
      <c r="I423">
        <v>237.48</v>
      </c>
      <c r="J423">
        <v>0.15</v>
      </c>
      <c r="K423">
        <v>1009.29</v>
      </c>
      <c r="L423" t="s">
        <v>816</v>
      </c>
    </row>
    <row r="424" spans="1:12" x14ac:dyDescent="0.3">
      <c r="A424" t="s">
        <v>434</v>
      </c>
      <c r="B424" s="2">
        <v>45921</v>
      </c>
      <c r="C424" t="s">
        <v>670</v>
      </c>
      <c r="D424" t="s">
        <v>790</v>
      </c>
      <c r="E424" t="s">
        <v>796</v>
      </c>
      <c r="F424" t="s">
        <v>798</v>
      </c>
      <c r="G424" t="s">
        <v>810</v>
      </c>
      <c r="H424">
        <v>1</v>
      </c>
      <c r="I424">
        <v>281.11</v>
      </c>
      <c r="J424">
        <v>0.1</v>
      </c>
      <c r="K424">
        <v>253</v>
      </c>
      <c r="L424" t="s">
        <v>813</v>
      </c>
    </row>
    <row r="425" spans="1:12" x14ac:dyDescent="0.3">
      <c r="A425" t="s">
        <v>435</v>
      </c>
      <c r="B425" s="2">
        <v>45921</v>
      </c>
      <c r="C425" t="s">
        <v>767</v>
      </c>
      <c r="D425" t="s">
        <v>790</v>
      </c>
      <c r="E425" t="s">
        <v>796</v>
      </c>
      <c r="F425" t="s">
        <v>800</v>
      </c>
      <c r="G425" t="s">
        <v>810</v>
      </c>
      <c r="H425">
        <v>2</v>
      </c>
      <c r="I425">
        <v>624.6</v>
      </c>
      <c r="J425">
        <v>0</v>
      </c>
      <c r="K425">
        <v>1249.2</v>
      </c>
      <c r="L425" t="s">
        <v>815</v>
      </c>
    </row>
    <row r="426" spans="1:12" x14ac:dyDescent="0.3">
      <c r="A426" t="s">
        <v>436</v>
      </c>
      <c r="B426" s="2">
        <v>45922</v>
      </c>
      <c r="C426" t="s">
        <v>643</v>
      </c>
      <c r="D426" t="s">
        <v>789</v>
      </c>
      <c r="E426" t="s">
        <v>792</v>
      </c>
      <c r="F426" t="s">
        <v>803</v>
      </c>
      <c r="G426" t="s">
        <v>810</v>
      </c>
      <c r="H426">
        <v>1</v>
      </c>
      <c r="I426">
        <v>109.28</v>
      </c>
      <c r="J426">
        <v>0.25</v>
      </c>
      <c r="K426">
        <v>81.96</v>
      </c>
      <c r="L426" t="s">
        <v>813</v>
      </c>
    </row>
    <row r="427" spans="1:12" x14ac:dyDescent="0.3">
      <c r="A427" t="s">
        <v>437</v>
      </c>
      <c r="B427" s="2">
        <v>45922</v>
      </c>
      <c r="C427" t="s">
        <v>648</v>
      </c>
      <c r="D427" t="s">
        <v>785</v>
      </c>
      <c r="E427" t="s">
        <v>792</v>
      </c>
      <c r="F427" t="s">
        <v>801</v>
      </c>
      <c r="G427" t="s">
        <v>811</v>
      </c>
      <c r="H427">
        <v>3</v>
      </c>
      <c r="I427">
        <v>14.01</v>
      </c>
      <c r="J427">
        <v>0.15</v>
      </c>
      <c r="K427">
        <v>35.729999999999997</v>
      </c>
      <c r="L427" t="s">
        <v>813</v>
      </c>
    </row>
    <row r="428" spans="1:12" x14ac:dyDescent="0.3">
      <c r="A428" t="s">
        <v>438</v>
      </c>
      <c r="B428" s="2">
        <v>45923</v>
      </c>
      <c r="C428" t="s">
        <v>670</v>
      </c>
      <c r="D428" t="s">
        <v>789</v>
      </c>
      <c r="E428" t="s">
        <v>792</v>
      </c>
      <c r="F428" t="s">
        <v>805</v>
      </c>
      <c r="G428" t="s">
        <v>810</v>
      </c>
      <c r="H428">
        <v>1</v>
      </c>
      <c r="I428">
        <v>49.14</v>
      </c>
      <c r="J428">
        <v>0.1</v>
      </c>
      <c r="K428">
        <v>44.23</v>
      </c>
      <c r="L428" t="s">
        <v>813</v>
      </c>
    </row>
    <row r="429" spans="1:12" x14ac:dyDescent="0.3">
      <c r="A429" t="s">
        <v>439</v>
      </c>
      <c r="B429" s="2">
        <v>45923</v>
      </c>
      <c r="C429" t="s">
        <v>754</v>
      </c>
      <c r="D429" t="s">
        <v>786</v>
      </c>
      <c r="E429" t="s">
        <v>793</v>
      </c>
      <c r="F429" t="s">
        <v>801</v>
      </c>
      <c r="G429" t="s">
        <v>811</v>
      </c>
      <c r="H429">
        <v>4</v>
      </c>
      <c r="I429">
        <v>15.35</v>
      </c>
      <c r="J429">
        <v>0</v>
      </c>
      <c r="K429">
        <v>61.4</v>
      </c>
      <c r="L429" t="s">
        <v>815</v>
      </c>
    </row>
    <row r="430" spans="1:12" x14ac:dyDescent="0.3">
      <c r="A430" t="s">
        <v>440</v>
      </c>
      <c r="B430" s="2">
        <v>45923</v>
      </c>
      <c r="C430" t="s">
        <v>666</v>
      </c>
      <c r="D430" t="s">
        <v>785</v>
      </c>
      <c r="E430" t="s">
        <v>792</v>
      </c>
      <c r="F430" t="s">
        <v>800</v>
      </c>
      <c r="G430" t="s">
        <v>810</v>
      </c>
      <c r="H430">
        <v>4</v>
      </c>
      <c r="I430">
        <v>632.41999999999996</v>
      </c>
      <c r="J430">
        <v>0.1</v>
      </c>
      <c r="K430">
        <v>2276.71</v>
      </c>
      <c r="L430" t="s">
        <v>815</v>
      </c>
    </row>
    <row r="431" spans="1:12" x14ac:dyDescent="0.3">
      <c r="A431" t="s">
        <v>441</v>
      </c>
      <c r="B431" s="2">
        <v>45924</v>
      </c>
      <c r="C431" t="s">
        <v>674</v>
      </c>
      <c r="D431" t="s">
        <v>789</v>
      </c>
      <c r="E431" t="s">
        <v>792</v>
      </c>
      <c r="F431" t="s">
        <v>801</v>
      </c>
      <c r="G431" t="s">
        <v>811</v>
      </c>
      <c r="H431">
        <v>8</v>
      </c>
      <c r="I431">
        <v>15.85</v>
      </c>
      <c r="J431">
        <v>0.15</v>
      </c>
      <c r="K431">
        <v>107.78</v>
      </c>
      <c r="L431" t="s">
        <v>815</v>
      </c>
    </row>
    <row r="432" spans="1:12" x14ac:dyDescent="0.3">
      <c r="A432" t="s">
        <v>442</v>
      </c>
      <c r="B432" s="2">
        <v>45924</v>
      </c>
      <c r="C432" t="s">
        <v>647</v>
      </c>
      <c r="D432" t="s">
        <v>787</v>
      </c>
      <c r="E432" t="s">
        <v>794</v>
      </c>
      <c r="F432" t="s">
        <v>808</v>
      </c>
      <c r="G432" t="s">
        <v>812</v>
      </c>
      <c r="H432">
        <v>8</v>
      </c>
      <c r="I432">
        <v>77.349999999999994</v>
      </c>
      <c r="J432">
        <v>0.15</v>
      </c>
      <c r="K432">
        <v>525.98</v>
      </c>
      <c r="L432" t="s">
        <v>816</v>
      </c>
    </row>
    <row r="433" spans="1:12" x14ac:dyDescent="0.3">
      <c r="A433" t="s">
        <v>443</v>
      </c>
      <c r="B433" s="2">
        <v>45925</v>
      </c>
      <c r="C433" t="s">
        <v>613</v>
      </c>
      <c r="D433" t="s">
        <v>786</v>
      </c>
      <c r="E433" t="s">
        <v>793</v>
      </c>
      <c r="F433" t="s">
        <v>804</v>
      </c>
      <c r="G433" t="s">
        <v>809</v>
      </c>
      <c r="H433">
        <v>6</v>
      </c>
      <c r="I433">
        <v>359.61</v>
      </c>
      <c r="J433">
        <v>0.3</v>
      </c>
      <c r="K433">
        <v>1510.36</v>
      </c>
      <c r="L433" t="s">
        <v>816</v>
      </c>
    </row>
    <row r="434" spans="1:12" x14ac:dyDescent="0.3">
      <c r="A434" t="s">
        <v>444</v>
      </c>
      <c r="B434" s="2">
        <v>45926</v>
      </c>
      <c r="C434" t="s">
        <v>758</v>
      </c>
      <c r="D434" t="s">
        <v>785</v>
      </c>
      <c r="E434" t="s">
        <v>792</v>
      </c>
      <c r="F434" t="s">
        <v>797</v>
      </c>
      <c r="G434" t="s">
        <v>809</v>
      </c>
      <c r="H434">
        <v>6</v>
      </c>
      <c r="I434">
        <v>221.79</v>
      </c>
      <c r="J434">
        <v>0.15</v>
      </c>
      <c r="K434">
        <v>1131.1300000000001</v>
      </c>
      <c r="L434" t="s">
        <v>813</v>
      </c>
    </row>
    <row r="435" spans="1:12" x14ac:dyDescent="0.3">
      <c r="A435" t="s">
        <v>445</v>
      </c>
      <c r="B435" s="2">
        <v>45926</v>
      </c>
      <c r="C435" t="s">
        <v>617</v>
      </c>
      <c r="D435" t="s">
        <v>786</v>
      </c>
      <c r="E435" t="s">
        <v>793</v>
      </c>
      <c r="F435" t="s">
        <v>807</v>
      </c>
      <c r="G435" t="s">
        <v>810</v>
      </c>
      <c r="H435">
        <v>6</v>
      </c>
      <c r="I435">
        <v>858.51</v>
      </c>
      <c r="J435">
        <v>0</v>
      </c>
      <c r="K435">
        <v>5151.0600000000004</v>
      </c>
      <c r="L435" t="s">
        <v>815</v>
      </c>
    </row>
    <row r="436" spans="1:12" x14ac:dyDescent="0.3">
      <c r="A436" t="s">
        <v>446</v>
      </c>
      <c r="B436" s="2">
        <v>45928</v>
      </c>
      <c r="C436" t="s">
        <v>726</v>
      </c>
      <c r="D436" t="s">
        <v>787</v>
      </c>
      <c r="E436" t="s">
        <v>794</v>
      </c>
      <c r="F436" t="s">
        <v>808</v>
      </c>
      <c r="G436" t="s">
        <v>812</v>
      </c>
      <c r="H436">
        <v>2</v>
      </c>
      <c r="I436">
        <v>80.41</v>
      </c>
      <c r="J436">
        <v>0.05</v>
      </c>
      <c r="K436">
        <v>152.78</v>
      </c>
      <c r="L436" t="s">
        <v>814</v>
      </c>
    </row>
    <row r="437" spans="1:12" x14ac:dyDescent="0.3">
      <c r="A437" t="s">
        <v>447</v>
      </c>
      <c r="B437" s="2">
        <v>45930</v>
      </c>
      <c r="C437" t="s">
        <v>715</v>
      </c>
      <c r="D437" t="s">
        <v>790</v>
      </c>
      <c r="E437" t="s">
        <v>796</v>
      </c>
      <c r="F437" t="s">
        <v>800</v>
      </c>
      <c r="G437" t="s">
        <v>810</v>
      </c>
      <c r="H437">
        <v>1</v>
      </c>
      <c r="I437">
        <v>666.55</v>
      </c>
      <c r="J437">
        <v>0.15</v>
      </c>
      <c r="K437">
        <v>566.57000000000005</v>
      </c>
      <c r="L437" t="s">
        <v>814</v>
      </c>
    </row>
    <row r="438" spans="1:12" x14ac:dyDescent="0.3">
      <c r="A438" t="s">
        <v>448</v>
      </c>
      <c r="B438" s="2">
        <v>45931</v>
      </c>
      <c r="C438" t="s">
        <v>722</v>
      </c>
      <c r="D438" t="s">
        <v>785</v>
      </c>
      <c r="E438" t="s">
        <v>792</v>
      </c>
      <c r="F438" t="s">
        <v>803</v>
      </c>
      <c r="G438" t="s">
        <v>810</v>
      </c>
      <c r="H438">
        <v>7</v>
      </c>
      <c r="I438">
        <v>128.27000000000001</v>
      </c>
      <c r="J438">
        <v>0.15</v>
      </c>
      <c r="K438">
        <v>763.21</v>
      </c>
      <c r="L438" t="s">
        <v>814</v>
      </c>
    </row>
    <row r="439" spans="1:12" x14ac:dyDescent="0.3">
      <c r="A439" t="s">
        <v>449</v>
      </c>
      <c r="B439" s="2">
        <v>45931</v>
      </c>
      <c r="C439" t="s">
        <v>618</v>
      </c>
      <c r="D439" t="s">
        <v>787</v>
      </c>
      <c r="E439" t="s">
        <v>794</v>
      </c>
      <c r="F439" t="s">
        <v>805</v>
      </c>
      <c r="G439" t="s">
        <v>810</v>
      </c>
      <c r="H439">
        <v>3</v>
      </c>
      <c r="I439">
        <v>48.24</v>
      </c>
      <c r="J439">
        <v>0.15</v>
      </c>
      <c r="K439">
        <v>123.01</v>
      </c>
      <c r="L439" t="s">
        <v>815</v>
      </c>
    </row>
    <row r="440" spans="1:12" x14ac:dyDescent="0.3">
      <c r="A440" t="s">
        <v>450</v>
      </c>
      <c r="B440" s="2">
        <v>45931</v>
      </c>
      <c r="C440" t="s">
        <v>661</v>
      </c>
      <c r="D440" t="s">
        <v>790</v>
      </c>
      <c r="E440" t="s">
        <v>796</v>
      </c>
      <c r="F440" t="s">
        <v>800</v>
      </c>
      <c r="G440" t="s">
        <v>810</v>
      </c>
      <c r="H440">
        <v>5</v>
      </c>
      <c r="I440">
        <v>611.04999999999995</v>
      </c>
      <c r="J440">
        <v>0.2</v>
      </c>
      <c r="K440">
        <v>2444.1999999999998</v>
      </c>
      <c r="L440" t="s">
        <v>813</v>
      </c>
    </row>
    <row r="441" spans="1:12" x14ac:dyDescent="0.3">
      <c r="A441" t="s">
        <v>451</v>
      </c>
      <c r="B441" s="2">
        <v>45932</v>
      </c>
      <c r="C441" t="s">
        <v>768</v>
      </c>
      <c r="D441" t="s">
        <v>790</v>
      </c>
      <c r="E441" t="s">
        <v>796</v>
      </c>
      <c r="F441" t="s">
        <v>805</v>
      </c>
      <c r="G441" t="s">
        <v>810</v>
      </c>
      <c r="H441">
        <v>4</v>
      </c>
      <c r="I441">
        <v>48.84</v>
      </c>
      <c r="J441">
        <v>0</v>
      </c>
      <c r="K441">
        <v>195.36</v>
      </c>
      <c r="L441" t="s">
        <v>816</v>
      </c>
    </row>
    <row r="442" spans="1:12" x14ac:dyDescent="0.3">
      <c r="A442" t="s">
        <v>452</v>
      </c>
      <c r="B442" s="2">
        <v>45933</v>
      </c>
      <c r="C442" t="s">
        <v>769</v>
      </c>
      <c r="D442" t="s">
        <v>787</v>
      </c>
      <c r="E442" t="s">
        <v>794</v>
      </c>
      <c r="F442" t="s">
        <v>804</v>
      </c>
      <c r="G442" t="s">
        <v>809</v>
      </c>
      <c r="H442">
        <v>3</v>
      </c>
      <c r="I442">
        <v>337.13</v>
      </c>
      <c r="J442">
        <v>0.1</v>
      </c>
      <c r="K442">
        <v>910.25</v>
      </c>
      <c r="L442" t="s">
        <v>814</v>
      </c>
    </row>
    <row r="443" spans="1:12" x14ac:dyDescent="0.3">
      <c r="A443" t="s">
        <v>453</v>
      </c>
      <c r="B443" s="2">
        <v>45934</v>
      </c>
      <c r="C443" t="s">
        <v>686</v>
      </c>
      <c r="D443" t="s">
        <v>787</v>
      </c>
      <c r="E443" t="s">
        <v>794</v>
      </c>
      <c r="F443" t="s">
        <v>808</v>
      </c>
      <c r="G443" t="s">
        <v>812</v>
      </c>
      <c r="H443">
        <v>3</v>
      </c>
      <c r="I443">
        <v>80.58</v>
      </c>
      <c r="J443">
        <v>0.1</v>
      </c>
      <c r="K443">
        <v>217.57</v>
      </c>
      <c r="L443" t="s">
        <v>815</v>
      </c>
    </row>
    <row r="444" spans="1:12" x14ac:dyDescent="0.3">
      <c r="A444" t="s">
        <v>454</v>
      </c>
      <c r="B444" s="2">
        <v>45934</v>
      </c>
      <c r="C444" t="s">
        <v>765</v>
      </c>
      <c r="D444" t="s">
        <v>789</v>
      </c>
      <c r="E444" t="s">
        <v>792</v>
      </c>
      <c r="F444" t="s">
        <v>806</v>
      </c>
      <c r="G444" t="s">
        <v>810</v>
      </c>
      <c r="H444">
        <v>2</v>
      </c>
      <c r="I444">
        <v>85.11</v>
      </c>
      <c r="J444">
        <v>0.2</v>
      </c>
      <c r="K444">
        <v>136.18</v>
      </c>
      <c r="L444" t="s">
        <v>815</v>
      </c>
    </row>
    <row r="445" spans="1:12" x14ac:dyDescent="0.3">
      <c r="A445" t="s">
        <v>455</v>
      </c>
      <c r="B445" s="2">
        <v>45935</v>
      </c>
      <c r="C445" t="s">
        <v>718</v>
      </c>
      <c r="D445" t="s">
        <v>785</v>
      </c>
      <c r="E445" t="s">
        <v>792</v>
      </c>
      <c r="F445" t="s">
        <v>805</v>
      </c>
      <c r="G445" t="s">
        <v>810</v>
      </c>
      <c r="H445">
        <v>8</v>
      </c>
      <c r="I445">
        <v>46.79</v>
      </c>
      <c r="J445">
        <v>0.1</v>
      </c>
      <c r="K445">
        <v>336.89</v>
      </c>
      <c r="L445" t="s">
        <v>814</v>
      </c>
    </row>
    <row r="446" spans="1:12" x14ac:dyDescent="0.3">
      <c r="A446" t="s">
        <v>456</v>
      </c>
      <c r="B446" s="2">
        <v>45935</v>
      </c>
      <c r="C446" t="s">
        <v>693</v>
      </c>
      <c r="D446" t="s">
        <v>785</v>
      </c>
      <c r="E446" t="s">
        <v>792</v>
      </c>
      <c r="F446" t="s">
        <v>808</v>
      </c>
      <c r="G446" t="s">
        <v>812</v>
      </c>
      <c r="H446">
        <v>4</v>
      </c>
      <c r="I446">
        <v>69.7</v>
      </c>
      <c r="J446">
        <v>0.05</v>
      </c>
      <c r="K446">
        <v>264.86</v>
      </c>
      <c r="L446" t="s">
        <v>813</v>
      </c>
    </row>
    <row r="447" spans="1:12" x14ac:dyDescent="0.3">
      <c r="A447" t="s">
        <v>457</v>
      </c>
      <c r="B447" s="2">
        <v>45936</v>
      </c>
      <c r="C447" t="s">
        <v>680</v>
      </c>
      <c r="D447" t="s">
        <v>789</v>
      </c>
      <c r="E447" t="s">
        <v>792</v>
      </c>
      <c r="F447" t="s">
        <v>797</v>
      </c>
      <c r="G447" t="s">
        <v>809</v>
      </c>
      <c r="H447">
        <v>6</v>
      </c>
      <c r="I447">
        <v>217.28</v>
      </c>
      <c r="J447">
        <v>0.25</v>
      </c>
      <c r="K447">
        <v>977.76</v>
      </c>
      <c r="L447" t="s">
        <v>813</v>
      </c>
    </row>
    <row r="448" spans="1:12" x14ac:dyDescent="0.3">
      <c r="A448" t="s">
        <v>458</v>
      </c>
      <c r="B448" s="2">
        <v>45936</v>
      </c>
      <c r="C448" t="s">
        <v>746</v>
      </c>
      <c r="D448" t="s">
        <v>788</v>
      </c>
      <c r="E448" t="s">
        <v>795</v>
      </c>
      <c r="F448" t="s">
        <v>808</v>
      </c>
      <c r="G448" t="s">
        <v>812</v>
      </c>
      <c r="H448">
        <v>2</v>
      </c>
      <c r="I448">
        <v>77.430000000000007</v>
      </c>
      <c r="J448">
        <v>0.2</v>
      </c>
      <c r="K448">
        <v>123.89</v>
      </c>
      <c r="L448" t="s">
        <v>813</v>
      </c>
    </row>
    <row r="449" spans="1:12" x14ac:dyDescent="0.3">
      <c r="A449" t="s">
        <v>459</v>
      </c>
      <c r="B449" s="2">
        <v>45938</v>
      </c>
      <c r="C449" t="s">
        <v>726</v>
      </c>
      <c r="D449" t="s">
        <v>785</v>
      </c>
      <c r="E449" t="s">
        <v>792</v>
      </c>
      <c r="F449" t="s">
        <v>803</v>
      </c>
      <c r="G449" t="s">
        <v>810</v>
      </c>
      <c r="H449">
        <v>2</v>
      </c>
      <c r="I449">
        <v>130.97999999999999</v>
      </c>
      <c r="J449">
        <v>0.1</v>
      </c>
      <c r="K449">
        <v>235.76</v>
      </c>
      <c r="L449" t="s">
        <v>816</v>
      </c>
    </row>
    <row r="450" spans="1:12" x14ac:dyDescent="0.3">
      <c r="A450" t="s">
        <v>460</v>
      </c>
      <c r="B450" s="2">
        <v>45939</v>
      </c>
      <c r="C450" t="s">
        <v>615</v>
      </c>
      <c r="D450" t="s">
        <v>788</v>
      </c>
      <c r="E450" t="s">
        <v>795</v>
      </c>
      <c r="F450" t="s">
        <v>805</v>
      </c>
      <c r="G450" t="s">
        <v>810</v>
      </c>
      <c r="H450">
        <v>5</v>
      </c>
      <c r="I450">
        <v>46.53</v>
      </c>
      <c r="J450">
        <v>0</v>
      </c>
      <c r="K450">
        <v>232.65</v>
      </c>
      <c r="L450" t="s">
        <v>815</v>
      </c>
    </row>
    <row r="451" spans="1:12" x14ac:dyDescent="0.3">
      <c r="A451" t="s">
        <v>461</v>
      </c>
      <c r="B451" s="2">
        <v>45939</v>
      </c>
      <c r="C451" t="s">
        <v>622</v>
      </c>
      <c r="D451" t="s">
        <v>790</v>
      </c>
      <c r="E451" t="s">
        <v>796</v>
      </c>
      <c r="F451" t="s">
        <v>807</v>
      </c>
      <c r="G451" t="s">
        <v>810</v>
      </c>
      <c r="H451">
        <v>5</v>
      </c>
      <c r="I451">
        <v>831.1</v>
      </c>
      <c r="J451">
        <v>0.05</v>
      </c>
      <c r="K451">
        <v>3947.72</v>
      </c>
      <c r="L451" t="s">
        <v>814</v>
      </c>
    </row>
    <row r="452" spans="1:12" x14ac:dyDescent="0.3">
      <c r="A452" t="s">
        <v>462</v>
      </c>
      <c r="B452" s="2">
        <v>45939</v>
      </c>
      <c r="C452" t="s">
        <v>691</v>
      </c>
      <c r="D452" t="s">
        <v>786</v>
      </c>
      <c r="E452" t="s">
        <v>793</v>
      </c>
      <c r="F452" t="s">
        <v>805</v>
      </c>
      <c r="G452" t="s">
        <v>810</v>
      </c>
      <c r="H452">
        <v>3</v>
      </c>
      <c r="I452">
        <v>44.77</v>
      </c>
      <c r="J452">
        <v>0.1</v>
      </c>
      <c r="K452">
        <v>120.88</v>
      </c>
      <c r="L452" t="s">
        <v>815</v>
      </c>
    </row>
    <row r="453" spans="1:12" x14ac:dyDescent="0.3">
      <c r="A453" t="s">
        <v>463</v>
      </c>
      <c r="B453" s="2">
        <v>45940</v>
      </c>
      <c r="C453" t="s">
        <v>621</v>
      </c>
      <c r="D453" t="s">
        <v>786</v>
      </c>
      <c r="E453" t="s">
        <v>793</v>
      </c>
      <c r="F453" t="s">
        <v>803</v>
      </c>
      <c r="G453" t="s">
        <v>810</v>
      </c>
      <c r="H453">
        <v>3</v>
      </c>
      <c r="I453">
        <v>127.34</v>
      </c>
      <c r="J453">
        <v>0</v>
      </c>
      <c r="K453">
        <v>382.02</v>
      </c>
      <c r="L453" t="s">
        <v>816</v>
      </c>
    </row>
    <row r="454" spans="1:12" x14ac:dyDescent="0.3">
      <c r="A454" t="s">
        <v>464</v>
      </c>
      <c r="B454" s="2">
        <v>45940</v>
      </c>
      <c r="C454" t="s">
        <v>770</v>
      </c>
      <c r="D454" t="s">
        <v>785</v>
      </c>
      <c r="E454" t="s">
        <v>792</v>
      </c>
      <c r="F454" t="s">
        <v>806</v>
      </c>
      <c r="G454" t="s">
        <v>810</v>
      </c>
      <c r="H454">
        <v>4</v>
      </c>
      <c r="I454">
        <v>74.989999999999995</v>
      </c>
      <c r="J454">
        <v>0</v>
      </c>
      <c r="K454">
        <v>299.95999999999998</v>
      </c>
      <c r="L454" t="s">
        <v>814</v>
      </c>
    </row>
    <row r="455" spans="1:12" x14ac:dyDescent="0.3">
      <c r="A455" t="s">
        <v>465</v>
      </c>
      <c r="B455" s="2">
        <v>45940</v>
      </c>
      <c r="C455" t="s">
        <v>762</v>
      </c>
      <c r="D455" t="s">
        <v>789</v>
      </c>
      <c r="E455" t="s">
        <v>792</v>
      </c>
      <c r="F455" t="s">
        <v>798</v>
      </c>
      <c r="G455" t="s">
        <v>810</v>
      </c>
      <c r="H455">
        <v>4</v>
      </c>
      <c r="I455">
        <v>291.38</v>
      </c>
      <c r="J455">
        <v>0.25</v>
      </c>
      <c r="K455">
        <v>874.14</v>
      </c>
      <c r="L455" t="s">
        <v>814</v>
      </c>
    </row>
    <row r="456" spans="1:12" x14ac:dyDescent="0.3">
      <c r="A456" t="s">
        <v>466</v>
      </c>
      <c r="B456" s="2">
        <v>45940</v>
      </c>
      <c r="C456" t="s">
        <v>744</v>
      </c>
      <c r="D456" t="s">
        <v>788</v>
      </c>
      <c r="E456" t="s">
        <v>795</v>
      </c>
      <c r="F456" t="s">
        <v>797</v>
      </c>
      <c r="G456" t="s">
        <v>809</v>
      </c>
      <c r="H456">
        <v>4</v>
      </c>
      <c r="I456">
        <v>236.8</v>
      </c>
      <c r="J456">
        <v>0.1</v>
      </c>
      <c r="K456">
        <v>852.48</v>
      </c>
      <c r="L456" t="s">
        <v>814</v>
      </c>
    </row>
    <row r="457" spans="1:12" x14ac:dyDescent="0.3">
      <c r="A457" t="s">
        <v>467</v>
      </c>
      <c r="B457" s="2">
        <v>45941</v>
      </c>
      <c r="C457" t="s">
        <v>663</v>
      </c>
      <c r="D457" t="s">
        <v>786</v>
      </c>
      <c r="E457" t="s">
        <v>793</v>
      </c>
      <c r="F457" t="s">
        <v>807</v>
      </c>
      <c r="G457" t="s">
        <v>810</v>
      </c>
      <c r="H457">
        <v>1</v>
      </c>
      <c r="I457">
        <v>847.12</v>
      </c>
      <c r="J457">
        <v>0.2</v>
      </c>
      <c r="K457">
        <v>677.7</v>
      </c>
      <c r="L457" t="s">
        <v>814</v>
      </c>
    </row>
    <row r="458" spans="1:12" x14ac:dyDescent="0.3">
      <c r="A458" t="s">
        <v>468</v>
      </c>
      <c r="B458" s="2">
        <v>45942</v>
      </c>
      <c r="C458" t="s">
        <v>689</v>
      </c>
      <c r="D458" t="s">
        <v>789</v>
      </c>
      <c r="E458" t="s">
        <v>792</v>
      </c>
      <c r="F458" t="s">
        <v>805</v>
      </c>
      <c r="G458" t="s">
        <v>810</v>
      </c>
      <c r="H458">
        <v>7</v>
      </c>
      <c r="I458">
        <v>41.99</v>
      </c>
      <c r="J458">
        <v>0</v>
      </c>
      <c r="K458">
        <v>293.93</v>
      </c>
      <c r="L458" t="s">
        <v>814</v>
      </c>
    </row>
    <row r="459" spans="1:12" x14ac:dyDescent="0.3">
      <c r="A459" t="s">
        <v>469</v>
      </c>
      <c r="B459" s="2">
        <v>45942</v>
      </c>
      <c r="C459" t="s">
        <v>714</v>
      </c>
      <c r="D459" t="s">
        <v>785</v>
      </c>
      <c r="E459" t="s">
        <v>792</v>
      </c>
      <c r="F459" t="s">
        <v>801</v>
      </c>
      <c r="G459" t="s">
        <v>811</v>
      </c>
      <c r="H459">
        <v>8</v>
      </c>
      <c r="I459">
        <v>15.14</v>
      </c>
      <c r="J459">
        <v>0.3</v>
      </c>
      <c r="K459">
        <v>84.78</v>
      </c>
      <c r="L459" t="s">
        <v>816</v>
      </c>
    </row>
    <row r="460" spans="1:12" x14ac:dyDescent="0.3">
      <c r="A460" t="s">
        <v>470</v>
      </c>
      <c r="B460" s="2">
        <v>45942</v>
      </c>
      <c r="C460" t="s">
        <v>718</v>
      </c>
      <c r="D460" t="s">
        <v>786</v>
      </c>
      <c r="E460" t="s">
        <v>793</v>
      </c>
      <c r="F460" t="s">
        <v>803</v>
      </c>
      <c r="G460" t="s">
        <v>810</v>
      </c>
      <c r="H460">
        <v>3</v>
      </c>
      <c r="I460">
        <v>124.4</v>
      </c>
      <c r="J460">
        <v>0.1</v>
      </c>
      <c r="K460">
        <v>335.88</v>
      </c>
      <c r="L460" t="s">
        <v>814</v>
      </c>
    </row>
    <row r="461" spans="1:12" x14ac:dyDescent="0.3">
      <c r="A461" t="s">
        <v>471</v>
      </c>
      <c r="B461" s="2">
        <v>45943</v>
      </c>
      <c r="C461" t="s">
        <v>698</v>
      </c>
      <c r="D461" t="s">
        <v>790</v>
      </c>
      <c r="E461" t="s">
        <v>796</v>
      </c>
      <c r="F461" t="s">
        <v>805</v>
      </c>
      <c r="G461" t="s">
        <v>810</v>
      </c>
      <c r="H461">
        <v>5</v>
      </c>
      <c r="I461">
        <v>48.34</v>
      </c>
      <c r="J461">
        <v>0.2</v>
      </c>
      <c r="K461">
        <v>193.36</v>
      </c>
      <c r="L461" t="s">
        <v>814</v>
      </c>
    </row>
    <row r="462" spans="1:12" x14ac:dyDescent="0.3">
      <c r="A462" t="s">
        <v>472</v>
      </c>
      <c r="B462" s="2">
        <v>45944</v>
      </c>
      <c r="C462" t="s">
        <v>712</v>
      </c>
      <c r="D462" t="s">
        <v>786</v>
      </c>
      <c r="E462" t="s">
        <v>793</v>
      </c>
      <c r="F462" t="s">
        <v>797</v>
      </c>
      <c r="G462" t="s">
        <v>809</v>
      </c>
      <c r="H462">
        <v>8</v>
      </c>
      <c r="I462">
        <v>223.54</v>
      </c>
      <c r="J462">
        <v>0</v>
      </c>
      <c r="K462">
        <v>1788.32</v>
      </c>
      <c r="L462" t="s">
        <v>816</v>
      </c>
    </row>
    <row r="463" spans="1:12" x14ac:dyDescent="0.3">
      <c r="A463" t="s">
        <v>473</v>
      </c>
      <c r="B463" s="2">
        <v>45944</v>
      </c>
      <c r="C463" t="s">
        <v>758</v>
      </c>
      <c r="D463" t="s">
        <v>785</v>
      </c>
      <c r="E463" t="s">
        <v>792</v>
      </c>
      <c r="F463" t="s">
        <v>808</v>
      </c>
      <c r="G463" t="s">
        <v>812</v>
      </c>
      <c r="H463">
        <v>3</v>
      </c>
      <c r="I463">
        <v>74.22</v>
      </c>
      <c r="J463">
        <v>0.1</v>
      </c>
      <c r="K463">
        <v>200.39</v>
      </c>
      <c r="L463" t="s">
        <v>815</v>
      </c>
    </row>
    <row r="464" spans="1:12" x14ac:dyDescent="0.3">
      <c r="A464" t="s">
        <v>474</v>
      </c>
      <c r="B464" s="2">
        <v>45945</v>
      </c>
      <c r="C464" t="s">
        <v>650</v>
      </c>
      <c r="D464" t="s">
        <v>787</v>
      </c>
      <c r="E464" t="s">
        <v>794</v>
      </c>
      <c r="F464" t="s">
        <v>808</v>
      </c>
      <c r="G464" t="s">
        <v>812</v>
      </c>
      <c r="H464">
        <v>1</v>
      </c>
      <c r="I464">
        <v>74.42</v>
      </c>
      <c r="J464">
        <v>0.25</v>
      </c>
      <c r="K464">
        <v>55.82</v>
      </c>
      <c r="L464" t="s">
        <v>815</v>
      </c>
    </row>
    <row r="465" spans="1:12" x14ac:dyDescent="0.3">
      <c r="A465" t="s">
        <v>475</v>
      </c>
      <c r="B465" s="2">
        <v>45945</v>
      </c>
      <c r="C465" t="s">
        <v>768</v>
      </c>
      <c r="D465" t="s">
        <v>787</v>
      </c>
      <c r="E465" t="s">
        <v>794</v>
      </c>
      <c r="F465" t="s">
        <v>807</v>
      </c>
      <c r="G465" t="s">
        <v>810</v>
      </c>
      <c r="H465">
        <v>3</v>
      </c>
      <c r="I465">
        <v>859.45</v>
      </c>
      <c r="J465">
        <v>0.05</v>
      </c>
      <c r="K465">
        <v>2449.4299999999998</v>
      </c>
      <c r="L465" t="s">
        <v>813</v>
      </c>
    </row>
    <row r="466" spans="1:12" x14ac:dyDescent="0.3">
      <c r="A466" t="s">
        <v>476</v>
      </c>
      <c r="B466" s="2">
        <v>45945</v>
      </c>
      <c r="C466" t="s">
        <v>693</v>
      </c>
      <c r="D466" t="s">
        <v>787</v>
      </c>
      <c r="E466" t="s">
        <v>794</v>
      </c>
      <c r="F466" t="s">
        <v>805</v>
      </c>
      <c r="G466" t="s">
        <v>810</v>
      </c>
      <c r="H466">
        <v>7</v>
      </c>
      <c r="I466">
        <v>45.24</v>
      </c>
      <c r="J466">
        <v>0.2</v>
      </c>
      <c r="K466">
        <v>253.34</v>
      </c>
      <c r="L466" t="s">
        <v>814</v>
      </c>
    </row>
    <row r="467" spans="1:12" x14ac:dyDescent="0.3">
      <c r="A467" t="s">
        <v>477</v>
      </c>
      <c r="B467" s="2">
        <v>45945</v>
      </c>
      <c r="C467" t="s">
        <v>614</v>
      </c>
      <c r="D467" t="s">
        <v>789</v>
      </c>
      <c r="E467" t="s">
        <v>792</v>
      </c>
      <c r="F467" t="s">
        <v>802</v>
      </c>
      <c r="G467" t="s">
        <v>811</v>
      </c>
      <c r="H467">
        <v>3</v>
      </c>
      <c r="I467">
        <v>257.2</v>
      </c>
      <c r="J467">
        <v>0.1</v>
      </c>
      <c r="K467">
        <v>694.44</v>
      </c>
      <c r="L467" t="s">
        <v>814</v>
      </c>
    </row>
    <row r="468" spans="1:12" x14ac:dyDescent="0.3">
      <c r="A468" t="s">
        <v>478</v>
      </c>
      <c r="B468" s="2">
        <v>45945</v>
      </c>
      <c r="C468" t="s">
        <v>624</v>
      </c>
      <c r="D468" t="s">
        <v>785</v>
      </c>
      <c r="E468" t="s">
        <v>792</v>
      </c>
      <c r="F468" t="s">
        <v>801</v>
      </c>
      <c r="G468" t="s">
        <v>811</v>
      </c>
      <c r="H468">
        <v>8</v>
      </c>
      <c r="I468">
        <v>13.84</v>
      </c>
      <c r="J468">
        <v>0.1</v>
      </c>
      <c r="K468">
        <v>99.65</v>
      </c>
      <c r="L468" t="s">
        <v>816</v>
      </c>
    </row>
    <row r="469" spans="1:12" x14ac:dyDescent="0.3">
      <c r="A469" t="s">
        <v>479</v>
      </c>
      <c r="B469" s="2">
        <v>45946</v>
      </c>
      <c r="C469" t="s">
        <v>702</v>
      </c>
      <c r="D469" t="s">
        <v>790</v>
      </c>
      <c r="E469" t="s">
        <v>796</v>
      </c>
      <c r="F469" t="s">
        <v>806</v>
      </c>
      <c r="G469" t="s">
        <v>810</v>
      </c>
      <c r="H469">
        <v>1</v>
      </c>
      <c r="I469">
        <v>72.489999999999995</v>
      </c>
      <c r="J469">
        <v>0.25</v>
      </c>
      <c r="K469">
        <v>54.37</v>
      </c>
      <c r="L469" t="s">
        <v>815</v>
      </c>
    </row>
    <row r="470" spans="1:12" x14ac:dyDescent="0.3">
      <c r="A470" t="s">
        <v>480</v>
      </c>
      <c r="B470" s="2">
        <v>45946</v>
      </c>
      <c r="C470" t="s">
        <v>640</v>
      </c>
      <c r="D470" t="s">
        <v>788</v>
      </c>
      <c r="E470" t="s">
        <v>795</v>
      </c>
      <c r="F470" t="s">
        <v>802</v>
      </c>
      <c r="G470" t="s">
        <v>811</v>
      </c>
      <c r="H470">
        <v>8</v>
      </c>
      <c r="I470">
        <v>225.49</v>
      </c>
      <c r="J470">
        <v>0.05</v>
      </c>
      <c r="K470">
        <v>1713.72</v>
      </c>
      <c r="L470" t="s">
        <v>815</v>
      </c>
    </row>
    <row r="471" spans="1:12" x14ac:dyDescent="0.3">
      <c r="A471" t="s">
        <v>481</v>
      </c>
      <c r="B471" s="2">
        <v>45947</v>
      </c>
      <c r="C471" t="s">
        <v>760</v>
      </c>
      <c r="D471" t="s">
        <v>790</v>
      </c>
      <c r="E471" t="s">
        <v>796</v>
      </c>
      <c r="F471" t="s">
        <v>803</v>
      </c>
      <c r="G471" t="s">
        <v>810</v>
      </c>
      <c r="H471">
        <v>6</v>
      </c>
      <c r="I471">
        <v>117.25</v>
      </c>
      <c r="J471">
        <v>0</v>
      </c>
      <c r="K471">
        <v>703.5</v>
      </c>
      <c r="L471" t="s">
        <v>814</v>
      </c>
    </row>
    <row r="472" spans="1:12" x14ac:dyDescent="0.3">
      <c r="A472" t="s">
        <v>482</v>
      </c>
      <c r="B472" s="2">
        <v>45947</v>
      </c>
      <c r="C472" t="s">
        <v>771</v>
      </c>
      <c r="D472" t="s">
        <v>785</v>
      </c>
      <c r="E472" t="s">
        <v>792</v>
      </c>
      <c r="F472" t="s">
        <v>805</v>
      </c>
      <c r="G472" t="s">
        <v>810</v>
      </c>
      <c r="H472">
        <v>4</v>
      </c>
      <c r="I472">
        <v>44.18</v>
      </c>
      <c r="J472">
        <v>0</v>
      </c>
      <c r="K472">
        <v>176.72</v>
      </c>
      <c r="L472" t="s">
        <v>814</v>
      </c>
    </row>
    <row r="473" spans="1:12" x14ac:dyDescent="0.3">
      <c r="A473" t="s">
        <v>483</v>
      </c>
      <c r="B473" s="2">
        <v>45947</v>
      </c>
      <c r="C473" t="s">
        <v>672</v>
      </c>
      <c r="D473" t="s">
        <v>785</v>
      </c>
      <c r="E473" t="s">
        <v>792</v>
      </c>
      <c r="F473" t="s">
        <v>799</v>
      </c>
      <c r="G473" t="s">
        <v>809</v>
      </c>
      <c r="H473">
        <v>7</v>
      </c>
      <c r="I473">
        <v>51.16</v>
      </c>
      <c r="J473">
        <v>0.25</v>
      </c>
      <c r="K473">
        <v>268.58999999999997</v>
      </c>
      <c r="L473" t="s">
        <v>815</v>
      </c>
    </row>
    <row r="474" spans="1:12" x14ac:dyDescent="0.3">
      <c r="A474" t="s">
        <v>484</v>
      </c>
      <c r="B474" s="2">
        <v>45948</v>
      </c>
      <c r="C474" t="s">
        <v>771</v>
      </c>
      <c r="D474" t="s">
        <v>785</v>
      </c>
      <c r="E474" t="s">
        <v>792</v>
      </c>
      <c r="F474" t="s">
        <v>804</v>
      </c>
      <c r="G474" t="s">
        <v>809</v>
      </c>
      <c r="H474">
        <v>3</v>
      </c>
      <c r="I474">
        <v>377.12</v>
      </c>
      <c r="J474">
        <v>0.1</v>
      </c>
      <c r="K474">
        <v>1018.22</v>
      </c>
      <c r="L474" t="s">
        <v>813</v>
      </c>
    </row>
    <row r="475" spans="1:12" x14ac:dyDescent="0.3">
      <c r="A475" t="s">
        <v>485</v>
      </c>
      <c r="B475" s="2">
        <v>45948</v>
      </c>
      <c r="C475" t="s">
        <v>737</v>
      </c>
      <c r="D475" t="s">
        <v>788</v>
      </c>
      <c r="E475" t="s">
        <v>795</v>
      </c>
      <c r="F475" t="s">
        <v>804</v>
      </c>
      <c r="G475" t="s">
        <v>809</v>
      </c>
      <c r="H475">
        <v>3</v>
      </c>
      <c r="I475">
        <v>342.2</v>
      </c>
      <c r="J475">
        <v>0.1</v>
      </c>
      <c r="K475">
        <v>923.94</v>
      </c>
      <c r="L475" t="s">
        <v>814</v>
      </c>
    </row>
    <row r="476" spans="1:12" x14ac:dyDescent="0.3">
      <c r="A476" t="s">
        <v>486</v>
      </c>
      <c r="B476" s="2">
        <v>45949</v>
      </c>
      <c r="C476" t="s">
        <v>687</v>
      </c>
      <c r="D476" t="s">
        <v>789</v>
      </c>
      <c r="E476" t="s">
        <v>792</v>
      </c>
      <c r="F476" t="s">
        <v>799</v>
      </c>
      <c r="G476" t="s">
        <v>809</v>
      </c>
      <c r="H476">
        <v>5</v>
      </c>
      <c r="I476">
        <v>57.42</v>
      </c>
      <c r="J476">
        <v>0.15</v>
      </c>
      <c r="K476">
        <v>244.04</v>
      </c>
      <c r="L476" t="s">
        <v>815</v>
      </c>
    </row>
    <row r="477" spans="1:12" x14ac:dyDescent="0.3">
      <c r="A477" t="s">
        <v>487</v>
      </c>
      <c r="B477" s="2">
        <v>45949</v>
      </c>
      <c r="C477" t="s">
        <v>750</v>
      </c>
      <c r="D477" t="s">
        <v>789</v>
      </c>
      <c r="E477" t="s">
        <v>792</v>
      </c>
      <c r="F477" t="s">
        <v>806</v>
      </c>
      <c r="G477" t="s">
        <v>810</v>
      </c>
      <c r="H477">
        <v>1</v>
      </c>
      <c r="I477">
        <v>87.62</v>
      </c>
      <c r="J477">
        <v>0.15</v>
      </c>
      <c r="K477">
        <v>74.48</v>
      </c>
      <c r="L477" t="s">
        <v>814</v>
      </c>
    </row>
    <row r="478" spans="1:12" x14ac:dyDescent="0.3">
      <c r="A478" t="s">
        <v>488</v>
      </c>
      <c r="B478" s="2">
        <v>45950</v>
      </c>
      <c r="C478" t="s">
        <v>750</v>
      </c>
      <c r="D478" t="s">
        <v>785</v>
      </c>
      <c r="E478" t="s">
        <v>792</v>
      </c>
      <c r="F478" t="s">
        <v>806</v>
      </c>
      <c r="G478" t="s">
        <v>810</v>
      </c>
      <c r="H478">
        <v>2</v>
      </c>
      <c r="I478">
        <v>73.2</v>
      </c>
      <c r="J478">
        <v>0.1</v>
      </c>
      <c r="K478">
        <v>131.76</v>
      </c>
      <c r="L478" t="s">
        <v>815</v>
      </c>
    </row>
    <row r="479" spans="1:12" x14ac:dyDescent="0.3">
      <c r="A479" t="s">
        <v>489</v>
      </c>
      <c r="B479" s="2">
        <v>45950</v>
      </c>
      <c r="C479" t="s">
        <v>654</v>
      </c>
      <c r="D479" t="s">
        <v>790</v>
      </c>
      <c r="E479" t="s">
        <v>796</v>
      </c>
      <c r="F479" t="s">
        <v>799</v>
      </c>
      <c r="G479" t="s">
        <v>809</v>
      </c>
      <c r="H479">
        <v>2</v>
      </c>
      <c r="I479">
        <v>50.55</v>
      </c>
      <c r="J479">
        <v>0.05</v>
      </c>
      <c r="K479">
        <v>96.04</v>
      </c>
      <c r="L479" t="s">
        <v>815</v>
      </c>
    </row>
    <row r="480" spans="1:12" x14ac:dyDescent="0.3">
      <c r="A480" t="s">
        <v>490</v>
      </c>
      <c r="B480" s="2">
        <v>45950</v>
      </c>
      <c r="C480" t="s">
        <v>682</v>
      </c>
      <c r="D480" t="s">
        <v>788</v>
      </c>
      <c r="E480" t="s">
        <v>795</v>
      </c>
      <c r="F480" t="s">
        <v>805</v>
      </c>
      <c r="G480" t="s">
        <v>810</v>
      </c>
      <c r="H480">
        <v>6</v>
      </c>
      <c r="I480">
        <v>42.92</v>
      </c>
      <c r="J480">
        <v>0.1</v>
      </c>
      <c r="K480">
        <v>231.77</v>
      </c>
      <c r="L480" t="s">
        <v>815</v>
      </c>
    </row>
    <row r="481" spans="1:12" x14ac:dyDescent="0.3">
      <c r="A481" t="s">
        <v>491</v>
      </c>
      <c r="B481" s="2">
        <v>45950</v>
      </c>
      <c r="C481" t="s">
        <v>718</v>
      </c>
      <c r="D481" t="s">
        <v>786</v>
      </c>
      <c r="E481" t="s">
        <v>793</v>
      </c>
      <c r="F481" t="s">
        <v>807</v>
      </c>
      <c r="G481" t="s">
        <v>810</v>
      </c>
      <c r="H481">
        <v>6</v>
      </c>
      <c r="I481">
        <v>982.94</v>
      </c>
      <c r="J481">
        <v>0.1</v>
      </c>
      <c r="K481">
        <v>5307.88</v>
      </c>
      <c r="L481" t="s">
        <v>813</v>
      </c>
    </row>
    <row r="482" spans="1:12" x14ac:dyDescent="0.3">
      <c r="A482" t="s">
        <v>492</v>
      </c>
      <c r="B482" s="2">
        <v>45951</v>
      </c>
      <c r="C482" t="s">
        <v>639</v>
      </c>
      <c r="D482" t="s">
        <v>789</v>
      </c>
      <c r="E482" t="s">
        <v>792</v>
      </c>
      <c r="F482" t="s">
        <v>802</v>
      </c>
      <c r="G482" t="s">
        <v>811</v>
      </c>
      <c r="H482">
        <v>7</v>
      </c>
      <c r="I482">
        <v>257.98</v>
      </c>
      <c r="J482">
        <v>0.2</v>
      </c>
      <c r="K482">
        <v>1444.69</v>
      </c>
      <c r="L482" t="s">
        <v>814</v>
      </c>
    </row>
    <row r="483" spans="1:12" x14ac:dyDescent="0.3">
      <c r="A483" t="s">
        <v>493</v>
      </c>
      <c r="B483" s="2">
        <v>45951</v>
      </c>
      <c r="C483" t="s">
        <v>772</v>
      </c>
      <c r="D483" t="s">
        <v>788</v>
      </c>
      <c r="E483" t="s">
        <v>795</v>
      </c>
      <c r="F483" t="s">
        <v>801</v>
      </c>
      <c r="G483" t="s">
        <v>811</v>
      </c>
      <c r="H483">
        <v>7</v>
      </c>
      <c r="I483">
        <v>13.72</v>
      </c>
      <c r="J483">
        <v>0.1</v>
      </c>
      <c r="K483">
        <v>86.44</v>
      </c>
      <c r="L483" t="s">
        <v>814</v>
      </c>
    </row>
    <row r="484" spans="1:12" x14ac:dyDescent="0.3">
      <c r="A484" t="s">
        <v>494</v>
      </c>
      <c r="B484" s="2">
        <v>45951</v>
      </c>
      <c r="C484" t="s">
        <v>693</v>
      </c>
      <c r="D484" t="s">
        <v>789</v>
      </c>
      <c r="E484" t="s">
        <v>792</v>
      </c>
      <c r="F484" t="s">
        <v>806</v>
      </c>
      <c r="G484" t="s">
        <v>810</v>
      </c>
      <c r="H484">
        <v>8</v>
      </c>
      <c r="I484">
        <v>82.41</v>
      </c>
      <c r="J484">
        <v>0</v>
      </c>
      <c r="K484">
        <v>659.28</v>
      </c>
      <c r="L484" t="s">
        <v>813</v>
      </c>
    </row>
    <row r="485" spans="1:12" x14ac:dyDescent="0.3">
      <c r="A485" t="s">
        <v>495</v>
      </c>
      <c r="B485" s="2">
        <v>45952</v>
      </c>
      <c r="C485" t="s">
        <v>666</v>
      </c>
      <c r="D485" t="s">
        <v>787</v>
      </c>
      <c r="E485" t="s">
        <v>794</v>
      </c>
      <c r="F485" t="s">
        <v>803</v>
      </c>
      <c r="G485" t="s">
        <v>810</v>
      </c>
      <c r="H485">
        <v>4</v>
      </c>
      <c r="I485">
        <v>116.67</v>
      </c>
      <c r="J485">
        <v>0.2</v>
      </c>
      <c r="K485">
        <v>373.34</v>
      </c>
      <c r="L485" t="s">
        <v>814</v>
      </c>
    </row>
    <row r="486" spans="1:12" x14ac:dyDescent="0.3">
      <c r="A486" t="s">
        <v>496</v>
      </c>
      <c r="B486" s="2">
        <v>45953</v>
      </c>
      <c r="C486" t="s">
        <v>622</v>
      </c>
      <c r="D486" t="s">
        <v>787</v>
      </c>
      <c r="E486" t="s">
        <v>794</v>
      </c>
      <c r="F486" t="s">
        <v>801</v>
      </c>
      <c r="G486" t="s">
        <v>811</v>
      </c>
      <c r="H486">
        <v>2</v>
      </c>
      <c r="I486">
        <v>15.37</v>
      </c>
      <c r="J486">
        <v>0.1</v>
      </c>
      <c r="K486">
        <v>27.67</v>
      </c>
      <c r="L486" t="s">
        <v>814</v>
      </c>
    </row>
    <row r="487" spans="1:12" x14ac:dyDescent="0.3">
      <c r="A487" t="s">
        <v>497</v>
      </c>
      <c r="B487" s="2">
        <v>45953</v>
      </c>
      <c r="C487" t="s">
        <v>773</v>
      </c>
      <c r="D487" t="s">
        <v>786</v>
      </c>
      <c r="E487" t="s">
        <v>793</v>
      </c>
      <c r="F487" t="s">
        <v>801</v>
      </c>
      <c r="G487" t="s">
        <v>811</v>
      </c>
      <c r="H487">
        <v>5</v>
      </c>
      <c r="I487">
        <v>16.21</v>
      </c>
      <c r="J487">
        <v>0</v>
      </c>
      <c r="K487">
        <v>81.05</v>
      </c>
      <c r="L487" t="s">
        <v>815</v>
      </c>
    </row>
    <row r="488" spans="1:12" x14ac:dyDescent="0.3">
      <c r="A488" t="s">
        <v>498</v>
      </c>
      <c r="B488" s="2">
        <v>45953</v>
      </c>
      <c r="C488" t="s">
        <v>655</v>
      </c>
      <c r="D488" t="s">
        <v>786</v>
      </c>
      <c r="E488" t="s">
        <v>793</v>
      </c>
      <c r="F488" t="s">
        <v>803</v>
      </c>
      <c r="G488" t="s">
        <v>810</v>
      </c>
      <c r="H488">
        <v>5</v>
      </c>
      <c r="I488">
        <v>122.48</v>
      </c>
      <c r="J488">
        <v>0.05</v>
      </c>
      <c r="K488">
        <v>581.78</v>
      </c>
      <c r="L488" t="s">
        <v>814</v>
      </c>
    </row>
    <row r="489" spans="1:12" x14ac:dyDescent="0.3">
      <c r="A489" t="s">
        <v>499</v>
      </c>
      <c r="B489" s="2">
        <v>45953</v>
      </c>
      <c r="C489" t="s">
        <v>774</v>
      </c>
      <c r="D489" t="s">
        <v>785</v>
      </c>
      <c r="E489" t="s">
        <v>792</v>
      </c>
      <c r="F489" t="s">
        <v>799</v>
      </c>
      <c r="G489" t="s">
        <v>809</v>
      </c>
      <c r="H489">
        <v>7</v>
      </c>
      <c r="I489">
        <v>56.17</v>
      </c>
      <c r="J489">
        <v>0.1</v>
      </c>
      <c r="K489">
        <v>353.87</v>
      </c>
      <c r="L489" t="s">
        <v>813</v>
      </c>
    </row>
    <row r="490" spans="1:12" x14ac:dyDescent="0.3">
      <c r="A490" t="s">
        <v>500</v>
      </c>
      <c r="B490" s="2">
        <v>45958</v>
      </c>
      <c r="C490" t="s">
        <v>708</v>
      </c>
      <c r="D490" t="s">
        <v>789</v>
      </c>
      <c r="E490" t="s">
        <v>792</v>
      </c>
      <c r="F490" t="s">
        <v>801</v>
      </c>
      <c r="G490" t="s">
        <v>811</v>
      </c>
      <c r="H490">
        <v>4</v>
      </c>
      <c r="I490">
        <v>15.71</v>
      </c>
      <c r="J490">
        <v>0.3</v>
      </c>
      <c r="K490">
        <v>43.99</v>
      </c>
      <c r="L490" t="s">
        <v>816</v>
      </c>
    </row>
    <row r="491" spans="1:12" x14ac:dyDescent="0.3">
      <c r="A491" t="s">
        <v>501</v>
      </c>
      <c r="B491" s="2">
        <v>45960</v>
      </c>
      <c r="C491" t="s">
        <v>673</v>
      </c>
      <c r="D491" t="s">
        <v>785</v>
      </c>
      <c r="E491" t="s">
        <v>792</v>
      </c>
      <c r="F491" t="s">
        <v>804</v>
      </c>
      <c r="G491" t="s">
        <v>809</v>
      </c>
      <c r="H491">
        <v>6</v>
      </c>
      <c r="I491">
        <v>320.36</v>
      </c>
      <c r="J491">
        <v>0.1</v>
      </c>
      <c r="K491">
        <v>1729.94</v>
      </c>
      <c r="L491" t="s">
        <v>815</v>
      </c>
    </row>
    <row r="492" spans="1:12" x14ac:dyDescent="0.3">
      <c r="A492" t="s">
        <v>502</v>
      </c>
      <c r="B492" s="2">
        <v>45960</v>
      </c>
      <c r="C492" t="s">
        <v>662</v>
      </c>
      <c r="D492" t="s">
        <v>788</v>
      </c>
      <c r="E492" t="s">
        <v>795</v>
      </c>
      <c r="F492" t="s">
        <v>801</v>
      </c>
      <c r="G492" t="s">
        <v>811</v>
      </c>
      <c r="H492">
        <v>3</v>
      </c>
      <c r="I492">
        <v>13.55</v>
      </c>
      <c r="J492">
        <v>0</v>
      </c>
      <c r="K492">
        <v>40.65</v>
      </c>
      <c r="L492" t="s">
        <v>814</v>
      </c>
    </row>
    <row r="493" spans="1:12" x14ac:dyDescent="0.3">
      <c r="A493" t="s">
        <v>503</v>
      </c>
      <c r="B493" s="2">
        <v>45961</v>
      </c>
      <c r="C493" t="s">
        <v>705</v>
      </c>
      <c r="D493" t="s">
        <v>789</v>
      </c>
      <c r="E493" t="s">
        <v>792</v>
      </c>
      <c r="F493" t="s">
        <v>807</v>
      </c>
      <c r="G493" t="s">
        <v>810</v>
      </c>
      <c r="H493">
        <v>3</v>
      </c>
      <c r="I493">
        <v>814.04</v>
      </c>
      <c r="J493">
        <v>0.05</v>
      </c>
      <c r="K493">
        <v>2320.0100000000002</v>
      </c>
      <c r="L493" t="s">
        <v>813</v>
      </c>
    </row>
    <row r="494" spans="1:12" x14ac:dyDescent="0.3">
      <c r="A494" t="s">
        <v>504</v>
      </c>
      <c r="B494" s="2">
        <v>45962</v>
      </c>
      <c r="C494" t="s">
        <v>622</v>
      </c>
      <c r="D494" t="s">
        <v>788</v>
      </c>
      <c r="E494" t="s">
        <v>795</v>
      </c>
      <c r="F494" t="s">
        <v>808</v>
      </c>
      <c r="G494" t="s">
        <v>812</v>
      </c>
      <c r="H494">
        <v>2</v>
      </c>
      <c r="I494">
        <v>69.05</v>
      </c>
      <c r="J494">
        <v>0.05</v>
      </c>
      <c r="K494">
        <v>131.19999999999999</v>
      </c>
      <c r="L494" t="s">
        <v>813</v>
      </c>
    </row>
    <row r="495" spans="1:12" x14ac:dyDescent="0.3">
      <c r="A495" t="s">
        <v>505</v>
      </c>
      <c r="B495" s="2">
        <v>45962</v>
      </c>
      <c r="C495" t="s">
        <v>774</v>
      </c>
      <c r="D495" t="s">
        <v>785</v>
      </c>
      <c r="E495" t="s">
        <v>792</v>
      </c>
      <c r="F495" t="s">
        <v>802</v>
      </c>
      <c r="G495" t="s">
        <v>811</v>
      </c>
      <c r="H495">
        <v>3</v>
      </c>
      <c r="I495">
        <v>227.22</v>
      </c>
      <c r="J495">
        <v>0.05</v>
      </c>
      <c r="K495">
        <v>647.58000000000004</v>
      </c>
      <c r="L495" t="s">
        <v>813</v>
      </c>
    </row>
    <row r="496" spans="1:12" x14ac:dyDescent="0.3">
      <c r="A496" t="s">
        <v>506</v>
      </c>
      <c r="B496" s="2">
        <v>45962</v>
      </c>
      <c r="C496" t="s">
        <v>725</v>
      </c>
      <c r="D496" t="s">
        <v>789</v>
      </c>
      <c r="E496" t="s">
        <v>792</v>
      </c>
      <c r="F496" t="s">
        <v>803</v>
      </c>
      <c r="G496" t="s">
        <v>810</v>
      </c>
      <c r="H496">
        <v>3</v>
      </c>
      <c r="I496">
        <v>127.19</v>
      </c>
      <c r="J496">
        <v>0.05</v>
      </c>
      <c r="K496">
        <v>362.49</v>
      </c>
      <c r="L496" t="s">
        <v>815</v>
      </c>
    </row>
    <row r="497" spans="1:12" x14ac:dyDescent="0.3">
      <c r="A497" t="s">
        <v>507</v>
      </c>
      <c r="B497" s="2">
        <v>45963</v>
      </c>
      <c r="C497" t="s">
        <v>631</v>
      </c>
      <c r="D497" t="s">
        <v>789</v>
      </c>
      <c r="E497" t="s">
        <v>792</v>
      </c>
      <c r="F497" t="s">
        <v>806</v>
      </c>
      <c r="G497" t="s">
        <v>810</v>
      </c>
      <c r="H497">
        <v>7</v>
      </c>
      <c r="I497">
        <v>82.75</v>
      </c>
      <c r="J497">
        <v>0.1</v>
      </c>
      <c r="K497">
        <v>521.33000000000004</v>
      </c>
      <c r="L497" t="s">
        <v>813</v>
      </c>
    </row>
    <row r="498" spans="1:12" x14ac:dyDescent="0.3">
      <c r="A498" t="s">
        <v>508</v>
      </c>
      <c r="B498" s="2">
        <v>45963</v>
      </c>
      <c r="C498" t="s">
        <v>745</v>
      </c>
      <c r="D498" t="s">
        <v>785</v>
      </c>
      <c r="E498" t="s">
        <v>792</v>
      </c>
      <c r="F498" t="s">
        <v>808</v>
      </c>
      <c r="G498" t="s">
        <v>812</v>
      </c>
      <c r="H498">
        <v>8</v>
      </c>
      <c r="I498">
        <v>75.790000000000006</v>
      </c>
      <c r="J498">
        <v>0.05</v>
      </c>
      <c r="K498">
        <v>576</v>
      </c>
      <c r="L498" t="s">
        <v>814</v>
      </c>
    </row>
    <row r="499" spans="1:12" x14ac:dyDescent="0.3">
      <c r="A499" t="s">
        <v>509</v>
      </c>
      <c r="B499" s="2">
        <v>45965</v>
      </c>
      <c r="C499" t="s">
        <v>662</v>
      </c>
      <c r="D499" t="s">
        <v>785</v>
      </c>
      <c r="E499" t="s">
        <v>792</v>
      </c>
      <c r="F499" t="s">
        <v>797</v>
      </c>
      <c r="G499" t="s">
        <v>809</v>
      </c>
      <c r="H499">
        <v>1</v>
      </c>
      <c r="I499">
        <v>202.83</v>
      </c>
      <c r="J499">
        <v>0.1</v>
      </c>
      <c r="K499">
        <v>182.55</v>
      </c>
      <c r="L499" t="s">
        <v>815</v>
      </c>
    </row>
    <row r="500" spans="1:12" x14ac:dyDescent="0.3">
      <c r="A500" t="s">
        <v>510</v>
      </c>
      <c r="B500" s="2">
        <v>45965</v>
      </c>
      <c r="C500" t="s">
        <v>704</v>
      </c>
      <c r="D500" t="s">
        <v>790</v>
      </c>
      <c r="E500" t="s">
        <v>796</v>
      </c>
      <c r="F500" t="s">
        <v>805</v>
      </c>
      <c r="G500" t="s">
        <v>810</v>
      </c>
      <c r="H500">
        <v>6</v>
      </c>
      <c r="I500">
        <v>41.06</v>
      </c>
      <c r="J500">
        <v>0</v>
      </c>
      <c r="K500">
        <v>246.36</v>
      </c>
      <c r="L500" t="s">
        <v>814</v>
      </c>
    </row>
    <row r="501" spans="1:12" x14ac:dyDescent="0.3">
      <c r="A501" t="s">
        <v>511</v>
      </c>
      <c r="B501" s="2">
        <v>45965</v>
      </c>
      <c r="C501" t="s">
        <v>648</v>
      </c>
      <c r="D501" t="s">
        <v>789</v>
      </c>
      <c r="E501" t="s">
        <v>792</v>
      </c>
      <c r="F501" t="s">
        <v>801</v>
      </c>
      <c r="G501" t="s">
        <v>811</v>
      </c>
      <c r="H501">
        <v>1</v>
      </c>
      <c r="I501">
        <v>14.09</v>
      </c>
      <c r="J501">
        <v>0.05</v>
      </c>
      <c r="K501">
        <v>13.39</v>
      </c>
      <c r="L501" t="s">
        <v>814</v>
      </c>
    </row>
    <row r="502" spans="1:12" x14ac:dyDescent="0.3">
      <c r="A502" t="s">
        <v>512</v>
      </c>
      <c r="B502" s="2">
        <v>45965</v>
      </c>
      <c r="C502" t="s">
        <v>720</v>
      </c>
      <c r="D502" t="s">
        <v>787</v>
      </c>
      <c r="E502" t="s">
        <v>794</v>
      </c>
      <c r="F502" t="s">
        <v>798</v>
      </c>
      <c r="G502" t="s">
        <v>810</v>
      </c>
      <c r="H502">
        <v>8</v>
      </c>
      <c r="I502">
        <v>318.83999999999997</v>
      </c>
      <c r="J502">
        <v>0.15</v>
      </c>
      <c r="K502">
        <v>2168.11</v>
      </c>
      <c r="L502" t="s">
        <v>814</v>
      </c>
    </row>
    <row r="503" spans="1:12" x14ac:dyDescent="0.3">
      <c r="A503" t="s">
        <v>513</v>
      </c>
      <c r="B503" s="2">
        <v>45966</v>
      </c>
      <c r="C503" t="s">
        <v>632</v>
      </c>
      <c r="D503" t="s">
        <v>789</v>
      </c>
      <c r="E503" t="s">
        <v>792</v>
      </c>
      <c r="F503" t="s">
        <v>808</v>
      </c>
      <c r="G503" t="s">
        <v>812</v>
      </c>
      <c r="H503">
        <v>7</v>
      </c>
      <c r="I503">
        <v>70.91</v>
      </c>
      <c r="J503">
        <v>0.15</v>
      </c>
      <c r="K503">
        <v>421.91</v>
      </c>
      <c r="L503" t="s">
        <v>814</v>
      </c>
    </row>
    <row r="504" spans="1:12" x14ac:dyDescent="0.3">
      <c r="A504" t="s">
        <v>514</v>
      </c>
      <c r="B504" s="2">
        <v>45966</v>
      </c>
      <c r="C504" t="s">
        <v>620</v>
      </c>
      <c r="D504" t="s">
        <v>789</v>
      </c>
      <c r="E504" t="s">
        <v>792</v>
      </c>
      <c r="F504" t="s">
        <v>800</v>
      </c>
      <c r="G504" t="s">
        <v>810</v>
      </c>
      <c r="H504">
        <v>5</v>
      </c>
      <c r="I504">
        <v>607.63</v>
      </c>
      <c r="J504">
        <v>0</v>
      </c>
      <c r="K504">
        <v>3038.15</v>
      </c>
      <c r="L504" t="s">
        <v>815</v>
      </c>
    </row>
    <row r="505" spans="1:12" x14ac:dyDescent="0.3">
      <c r="A505" t="s">
        <v>515</v>
      </c>
      <c r="B505" s="2">
        <v>45966</v>
      </c>
      <c r="C505" t="s">
        <v>775</v>
      </c>
      <c r="D505" t="s">
        <v>785</v>
      </c>
      <c r="E505" t="s">
        <v>792</v>
      </c>
      <c r="F505" t="s">
        <v>804</v>
      </c>
      <c r="G505" t="s">
        <v>809</v>
      </c>
      <c r="H505">
        <v>2</v>
      </c>
      <c r="I505">
        <v>377.7</v>
      </c>
      <c r="J505">
        <v>0.05</v>
      </c>
      <c r="K505">
        <v>717.63</v>
      </c>
      <c r="L505" t="s">
        <v>815</v>
      </c>
    </row>
    <row r="506" spans="1:12" x14ac:dyDescent="0.3">
      <c r="A506" t="s">
        <v>516</v>
      </c>
      <c r="B506" s="2">
        <v>45966</v>
      </c>
      <c r="C506" t="s">
        <v>768</v>
      </c>
      <c r="D506" t="s">
        <v>789</v>
      </c>
      <c r="E506" t="s">
        <v>792</v>
      </c>
      <c r="F506" t="s">
        <v>808</v>
      </c>
      <c r="G506" t="s">
        <v>812</v>
      </c>
      <c r="H506">
        <v>4</v>
      </c>
      <c r="I506">
        <v>76.489999999999995</v>
      </c>
      <c r="J506">
        <v>0.15</v>
      </c>
      <c r="K506">
        <v>260.07</v>
      </c>
      <c r="L506" t="s">
        <v>815</v>
      </c>
    </row>
    <row r="507" spans="1:12" x14ac:dyDescent="0.3">
      <c r="A507" t="s">
        <v>517</v>
      </c>
      <c r="B507" s="2">
        <v>45966</v>
      </c>
      <c r="C507" t="s">
        <v>776</v>
      </c>
      <c r="D507" t="s">
        <v>785</v>
      </c>
      <c r="E507" t="s">
        <v>792</v>
      </c>
      <c r="F507" t="s">
        <v>805</v>
      </c>
      <c r="G507" t="s">
        <v>810</v>
      </c>
      <c r="H507">
        <v>8</v>
      </c>
      <c r="I507">
        <v>45.6</v>
      </c>
      <c r="J507">
        <v>0.05</v>
      </c>
      <c r="K507">
        <v>346.56</v>
      </c>
      <c r="L507" t="s">
        <v>813</v>
      </c>
    </row>
    <row r="508" spans="1:12" x14ac:dyDescent="0.3">
      <c r="A508" t="s">
        <v>518</v>
      </c>
      <c r="B508" s="2">
        <v>45967</v>
      </c>
      <c r="C508" t="s">
        <v>657</v>
      </c>
      <c r="D508" t="s">
        <v>785</v>
      </c>
      <c r="E508" t="s">
        <v>792</v>
      </c>
      <c r="F508" t="s">
        <v>803</v>
      </c>
      <c r="G508" t="s">
        <v>810</v>
      </c>
      <c r="H508">
        <v>1</v>
      </c>
      <c r="I508">
        <v>108.12</v>
      </c>
      <c r="J508">
        <v>0</v>
      </c>
      <c r="K508">
        <v>108.12</v>
      </c>
      <c r="L508" t="s">
        <v>815</v>
      </c>
    </row>
    <row r="509" spans="1:12" x14ac:dyDescent="0.3">
      <c r="A509" t="s">
        <v>519</v>
      </c>
      <c r="B509" s="2">
        <v>45967</v>
      </c>
      <c r="C509" t="s">
        <v>766</v>
      </c>
      <c r="D509" t="s">
        <v>788</v>
      </c>
      <c r="E509" t="s">
        <v>795</v>
      </c>
      <c r="F509" t="s">
        <v>808</v>
      </c>
      <c r="G509" t="s">
        <v>812</v>
      </c>
      <c r="H509">
        <v>7</v>
      </c>
      <c r="I509">
        <v>76.98</v>
      </c>
      <c r="J509">
        <v>0</v>
      </c>
      <c r="K509">
        <v>538.86</v>
      </c>
      <c r="L509" t="s">
        <v>814</v>
      </c>
    </row>
    <row r="510" spans="1:12" x14ac:dyDescent="0.3">
      <c r="A510" t="s">
        <v>520</v>
      </c>
      <c r="B510" s="2">
        <v>45969</v>
      </c>
      <c r="C510" t="s">
        <v>739</v>
      </c>
      <c r="D510" t="s">
        <v>787</v>
      </c>
      <c r="E510" t="s">
        <v>794</v>
      </c>
      <c r="F510" t="s">
        <v>798</v>
      </c>
      <c r="G510" t="s">
        <v>810</v>
      </c>
      <c r="H510">
        <v>7</v>
      </c>
      <c r="I510">
        <v>321.56</v>
      </c>
      <c r="J510">
        <v>0.2</v>
      </c>
      <c r="K510">
        <v>1800.74</v>
      </c>
      <c r="L510" t="s">
        <v>814</v>
      </c>
    </row>
    <row r="511" spans="1:12" x14ac:dyDescent="0.3">
      <c r="A511" t="s">
        <v>521</v>
      </c>
      <c r="B511" s="2">
        <v>45969</v>
      </c>
      <c r="C511" t="s">
        <v>771</v>
      </c>
      <c r="D511" t="s">
        <v>785</v>
      </c>
      <c r="E511" t="s">
        <v>792</v>
      </c>
      <c r="F511" t="s">
        <v>799</v>
      </c>
      <c r="G511" t="s">
        <v>809</v>
      </c>
      <c r="H511">
        <v>2</v>
      </c>
      <c r="I511">
        <v>55.9</v>
      </c>
      <c r="J511">
        <v>0.3</v>
      </c>
      <c r="K511">
        <v>78.260000000000005</v>
      </c>
      <c r="L511" t="s">
        <v>814</v>
      </c>
    </row>
    <row r="512" spans="1:12" x14ac:dyDescent="0.3">
      <c r="A512" t="s">
        <v>522</v>
      </c>
      <c r="B512" s="2">
        <v>45970</v>
      </c>
      <c r="C512" t="s">
        <v>731</v>
      </c>
      <c r="D512" t="s">
        <v>790</v>
      </c>
      <c r="E512" t="s">
        <v>796</v>
      </c>
      <c r="F512" t="s">
        <v>799</v>
      </c>
      <c r="G512" t="s">
        <v>809</v>
      </c>
      <c r="H512">
        <v>7</v>
      </c>
      <c r="I512">
        <v>55.46</v>
      </c>
      <c r="J512">
        <v>0.25</v>
      </c>
      <c r="K512">
        <v>291.17</v>
      </c>
      <c r="L512" t="s">
        <v>814</v>
      </c>
    </row>
    <row r="513" spans="1:12" x14ac:dyDescent="0.3">
      <c r="A513" t="s">
        <v>523</v>
      </c>
      <c r="B513" s="2">
        <v>45970</v>
      </c>
      <c r="C513" t="s">
        <v>731</v>
      </c>
      <c r="D513" t="s">
        <v>788</v>
      </c>
      <c r="E513" t="s">
        <v>795</v>
      </c>
      <c r="F513" t="s">
        <v>808</v>
      </c>
      <c r="G513" t="s">
        <v>812</v>
      </c>
      <c r="H513">
        <v>1</v>
      </c>
      <c r="I513">
        <v>80.849999999999994</v>
      </c>
      <c r="J513">
        <v>0.05</v>
      </c>
      <c r="K513">
        <v>76.81</v>
      </c>
      <c r="L513" t="s">
        <v>814</v>
      </c>
    </row>
    <row r="514" spans="1:12" x14ac:dyDescent="0.3">
      <c r="A514" t="s">
        <v>524</v>
      </c>
      <c r="B514" s="2">
        <v>45970</v>
      </c>
      <c r="C514" t="s">
        <v>651</v>
      </c>
      <c r="D514" t="s">
        <v>787</v>
      </c>
      <c r="E514" t="s">
        <v>794</v>
      </c>
      <c r="F514" t="s">
        <v>804</v>
      </c>
      <c r="G514" t="s">
        <v>809</v>
      </c>
      <c r="H514">
        <v>2</v>
      </c>
      <c r="I514">
        <v>376.91</v>
      </c>
      <c r="J514">
        <v>0.05</v>
      </c>
      <c r="K514">
        <v>716.13</v>
      </c>
      <c r="L514" t="s">
        <v>815</v>
      </c>
    </row>
    <row r="515" spans="1:12" x14ac:dyDescent="0.3">
      <c r="A515" t="s">
        <v>525</v>
      </c>
      <c r="B515" s="2">
        <v>45970</v>
      </c>
      <c r="C515" t="s">
        <v>686</v>
      </c>
      <c r="D515" t="s">
        <v>789</v>
      </c>
      <c r="E515" t="s">
        <v>792</v>
      </c>
      <c r="F515" t="s">
        <v>808</v>
      </c>
      <c r="G515" t="s">
        <v>812</v>
      </c>
      <c r="H515">
        <v>5</v>
      </c>
      <c r="I515">
        <v>79.959999999999994</v>
      </c>
      <c r="J515">
        <v>0</v>
      </c>
      <c r="K515">
        <v>399.8</v>
      </c>
      <c r="L515" t="s">
        <v>814</v>
      </c>
    </row>
    <row r="516" spans="1:12" x14ac:dyDescent="0.3">
      <c r="A516" t="s">
        <v>526</v>
      </c>
      <c r="B516" s="2">
        <v>45971</v>
      </c>
      <c r="C516" t="s">
        <v>777</v>
      </c>
      <c r="D516" t="s">
        <v>786</v>
      </c>
      <c r="E516" t="s">
        <v>793</v>
      </c>
      <c r="F516" t="s">
        <v>800</v>
      </c>
      <c r="G516" t="s">
        <v>810</v>
      </c>
      <c r="H516">
        <v>5</v>
      </c>
      <c r="I516">
        <v>658.5</v>
      </c>
      <c r="J516">
        <v>0.1</v>
      </c>
      <c r="K516">
        <v>2963.25</v>
      </c>
      <c r="L516" t="s">
        <v>813</v>
      </c>
    </row>
    <row r="517" spans="1:12" x14ac:dyDescent="0.3">
      <c r="A517" t="s">
        <v>527</v>
      </c>
      <c r="B517" s="2">
        <v>45971</v>
      </c>
      <c r="C517" t="s">
        <v>747</v>
      </c>
      <c r="D517" t="s">
        <v>785</v>
      </c>
      <c r="E517" t="s">
        <v>792</v>
      </c>
      <c r="F517" t="s">
        <v>798</v>
      </c>
      <c r="G517" t="s">
        <v>810</v>
      </c>
      <c r="H517">
        <v>8</v>
      </c>
      <c r="I517">
        <v>317.18</v>
      </c>
      <c r="J517">
        <v>0.15</v>
      </c>
      <c r="K517">
        <v>2156.8200000000002</v>
      </c>
      <c r="L517" t="s">
        <v>814</v>
      </c>
    </row>
    <row r="518" spans="1:12" x14ac:dyDescent="0.3">
      <c r="A518" t="s">
        <v>528</v>
      </c>
      <c r="B518" s="2">
        <v>45972</v>
      </c>
      <c r="C518" t="s">
        <v>774</v>
      </c>
      <c r="D518" t="s">
        <v>786</v>
      </c>
      <c r="E518" t="s">
        <v>793</v>
      </c>
      <c r="F518" t="s">
        <v>807</v>
      </c>
      <c r="G518" t="s">
        <v>810</v>
      </c>
      <c r="H518">
        <v>2</v>
      </c>
      <c r="I518">
        <v>967.92</v>
      </c>
      <c r="J518">
        <v>0.3</v>
      </c>
      <c r="K518">
        <v>1355.09</v>
      </c>
      <c r="L518" t="s">
        <v>814</v>
      </c>
    </row>
    <row r="519" spans="1:12" x14ac:dyDescent="0.3">
      <c r="A519" t="s">
        <v>529</v>
      </c>
      <c r="B519" s="2">
        <v>45972</v>
      </c>
      <c r="C519" t="s">
        <v>641</v>
      </c>
      <c r="D519" t="s">
        <v>789</v>
      </c>
      <c r="E519" t="s">
        <v>792</v>
      </c>
      <c r="F519" t="s">
        <v>804</v>
      </c>
      <c r="G519" t="s">
        <v>809</v>
      </c>
      <c r="H519">
        <v>6</v>
      </c>
      <c r="I519">
        <v>377.98</v>
      </c>
      <c r="J519">
        <v>0.15</v>
      </c>
      <c r="K519">
        <v>1927.7</v>
      </c>
      <c r="L519" t="s">
        <v>814</v>
      </c>
    </row>
    <row r="520" spans="1:12" x14ac:dyDescent="0.3">
      <c r="A520" t="s">
        <v>530</v>
      </c>
      <c r="B520" s="2">
        <v>45973</v>
      </c>
      <c r="C520" t="s">
        <v>778</v>
      </c>
      <c r="D520" t="s">
        <v>790</v>
      </c>
      <c r="E520" t="s">
        <v>796</v>
      </c>
      <c r="F520" t="s">
        <v>800</v>
      </c>
      <c r="G520" t="s">
        <v>810</v>
      </c>
      <c r="H520">
        <v>7</v>
      </c>
      <c r="I520">
        <v>606.03</v>
      </c>
      <c r="J520">
        <v>0.2</v>
      </c>
      <c r="K520">
        <v>3393.77</v>
      </c>
      <c r="L520" t="s">
        <v>815</v>
      </c>
    </row>
    <row r="521" spans="1:12" x14ac:dyDescent="0.3">
      <c r="A521" t="s">
        <v>531</v>
      </c>
      <c r="B521" s="2">
        <v>45973</v>
      </c>
      <c r="C521" t="s">
        <v>697</v>
      </c>
      <c r="D521" t="s">
        <v>789</v>
      </c>
      <c r="E521" t="s">
        <v>792</v>
      </c>
      <c r="F521" t="s">
        <v>806</v>
      </c>
      <c r="G521" t="s">
        <v>810</v>
      </c>
      <c r="H521">
        <v>3</v>
      </c>
      <c r="I521">
        <v>83.57</v>
      </c>
      <c r="J521">
        <v>0.1</v>
      </c>
      <c r="K521">
        <v>225.64</v>
      </c>
      <c r="L521" t="s">
        <v>814</v>
      </c>
    </row>
    <row r="522" spans="1:12" x14ac:dyDescent="0.3">
      <c r="A522" t="s">
        <v>532</v>
      </c>
      <c r="B522" s="2">
        <v>45974</v>
      </c>
      <c r="C522" t="s">
        <v>720</v>
      </c>
      <c r="D522" t="s">
        <v>789</v>
      </c>
      <c r="E522" t="s">
        <v>792</v>
      </c>
      <c r="F522" t="s">
        <v>798</v>
      </c>
      <c r="G522" t="s">
        <v>810</v>
      </c>
      <c r="H522">
        <v>1</v>
      </c>
      <c r="I522">
        <v>286.89</v>
      </c>
      <c r="J522">
        <v>0.2</v>
      </c>
      <c r="K522">
        <v>229.51</v>
      </c>
      <c r="L522" t="s">
        <v>814</v>
      </c>
    </row>
    <row r="523" spans="1:12" x14ac:dyDescent="0.3">
      <c r="A523" t="s">
        <v>533</v>
      </c>
      <c r="B523" s="2">
        <v>45974</v>
      </c>
      <c r="C523" t="s">
        <v>752</v>
      </c>
      <c r="D523" t="s">
        <v>787</v>
      </c>
      <c r="E523" t="s">
        <v>794</v>
      </c>
      <c r="F523" t="s">
        <v>806</v>
      </c>
      <c r="G523" t="s">
        <v>810</v>
      </c>
      <c r="H523">
        <v>3</v>
      </c>
      <c r="I523">
        <v>78.95</v>
      </c>
      <c r="J523">
        <v>0.05</v>
      </c>
      <c r="K523">
        <v>225.01</v>
      </c>
      <c r="L523" t="s">
        <v>815</v>
      </c>
    </row>
    <row r="524" spans="1:12" x14ac:dyDescent="0.3">
      <c r="A524" t="s">
        <v>534</v>
      </c>
      <c r="B524" s="2">
        <v>45975</v>
      </c>
      <c r="C524" t="s">
        <v>733</v>
      </c>
      <c r="D524" t="s">
        <v>787</v>
      </c>
      <c r="E524" t="s">
        <v>794</v>
      </c>
      <c r="F524" t="s">
        <v>803</v>
      </c>
      <c r="G524" t="s">
        <v>810</v>
      </c>
      <c r="H524">
        <v>3</v>
      </c>
      <c r="I524">
        <v>131.94999999999999</v>
      </c>
      <c r="J524">
        <v>0.05</v>
      </c>
      <c r="K524">
        <v>376.06</v>
      </c>
      <c r="L524" t="s">
        <v>813</v>
      </c>
    </row>
    <row r="525" spans="1:12" x14ac:dyDescent="0.3">
      <c r="A525" t="s">
        <v>535</v>
      </c>
      <c r="B525" s="2">
        <v>45976</v>
      </c>
      <c r="C525" t="s">
        <v>731</v>
      </c>
      <c r="D525" t="s">
        <v>789</v>
      </c>
      <c r="E525" t="s">
        <v>792</v>
      </c>
      <c r="F525" t="s">
        <v>806</v>
      </c>
      <c r="G525" t="s">
        <v>810</v>
      </c>
      <c r="H525">
        <v>6</v>
      </c>
      <c r="I525">
        <v>84.9</v>
      </c>
      <c r="J525">
        <v>0.1</v>
      </c>
      <c r="K525">
        <v>458.46</v>
      </c>
      <c r="L525" t="s">
        <v>814</v>
      </c>
    </row>
    <row r="526" spans="1:12" x14ac:dyDescent="0.3">
      <c r="A526" t="s">
        <v>536</v>
      </c>
      <c r="B526" s="2">
        <v>45976</v>
      </c>
      <c r="C526" t="s">
        <v>707</v>
      </c>
      <c r="D526" t="s">
        <v>788</v>
      </c>
      <c r="E526" t="s">
        <v>795</v>
      </c>
      <c r="F526" t="s">
        <v>798</v>
      </c>
      <c r="G526" t="s">
        <v>810</v>
      </c>
      <c r="H526">
        <v>2</v>
      </c>
      <c r="I526">
        <v>323.10000000000002</v>
      </c>
      <c r="J526">
        <v>0.1</v>
      </c>
      <c r="K526">
        <v>581.58000000000004</v>
      </c>
      <c r="L526" t="s">
        <v>815</v>
      </c>
    </row>
    <row r="527" spans="1:12" x14ac:dyDescent="0.3">
      <c r="A527" t="s">
        <v>537</v>
      </c>
      <c r="B527" s="2">
        <v>45977</v>
      </c>
      <c r="C527" t="s">
        <v>675</v>
      </c>
      <c r="D527" t="s">
        <v>786</v>
      </c>
      <c r="E527" t="s">
        <v>793</v>
      </c>
      <c r="F527" t="s">
        <v>799</v>
      </c>
      <c r="G527" t="s">
        <v>809</v>
      </c>
      <c r="H527">
        <v>5</v>
      </c>
      <c r="I527">
        <v>59.2</v>
      </c>
      <c r="J527">
        <v>0.05</v>
      </c>
      <c r="K527">
        <v>281.2</v>
      </c>
      <c r="L527" t="s">
        <v>814</v>
      </c>
    </row>
    <row r="528" spans="1:12" x14ac:dyDescent="0.3">
      <c r="A528" t="s">
        <v>538</v>
      </c>
      <c r="B528" s="2">
        <v>45977</v>
      </c>
      <c r="C528" t="s">
        <v>627</v>
      </c>
      <c r="D528" t="s">
        <v>786</v>
      </c>
      <c r="E528" t="s">
        <v>793</v>
      </c>
      <c r="F528" t="s">
        <v>801</v>
      </c>
      <c r="G528" t="s">
        <v>811</v>
      </c>
      <c r="H528">
        <v>8</v>
      </c>
      <c r="I528">
        <v>14.87</v>
      </c>
      <c r="J528">
        <v>0</v>
      </c>
      <c r="K528">
        <v>118.96</v>
      </c>
      <c r="L528" t="s">
        <v>814</v>
      </c>
    </row>
    <row r="529" spans="1:12" x14ac:dyDescent="0.3">
      <c r="A529" t="s">
        <v>539</v>
      </c>
      <c r="B529" s="2">
        <v>45980</v>
      </c>
      <c r="C529" t="s">
        <v>779</v>
      </c>
      <c r="D529" t="s">
        <v>790</v>
      </c>
      <c r="E529" t="s">
        <v>796</v>
      </c>
      <c r="F529" t="s">
        <v>797</v>
      </c>
      <c r="G529" t="s">
        <v>809</v>
      </c>
      <c r="H529">
        <v>7</v>
      </c>
      <c r="I529">
        <v>211.45</v>
      </c>
      <c r="J529">
        <v>0</v>
      </c>
      <c r="L529" t="s">
        <v>814</v>
      </c>
    </row>
    <row r="530" spans="1:12" x14ac:dyDescent="0.3">
      <c r="A530" t="s">
        <v>540</v>
      </c>
      <c r="B530" s="2">
        <v>45981</v>
      </c>
      <c r="C530" t="s">
        <v>717</v>
      </c>
      <c r="D530" t="s">
        <v>790</v>
      </c>
      <c r="E530" t="s">
        <v>796</v>
      </c>
      <c r="F530" t="s">
        <v>805</v>
      </c>
      <c r="G530" t="s">
        <v>810</v>
      </c>
      <c r="H530">
        <v>1</v>
      </c>
      <c r="I530">
        <v>48.34</v>
      </c>
      <c r="J530">
        <v>0.2</v>
      </c>
      <c r="K530">
        <v>38.67</v>
      </c>
      <c r="L530" t="s">
        <v>815</v>
      </c>
    </row>
    <row r="531" spans="1:12" x14ac:dyDescent="0.3">
      <c r="A531" t="s">
        <v>541</v>
      </c>
      <c r="B531" s="2">
        <v>45981</v>
      </c>
      <c r="C531" t="s">
        <v>622</v>
      </c>
      <c r="D531" t="s">
        <v>789</v>
      </c>
      <c r="E531" t="s">
        <v>792</v>
      </c>
      <c r="F531" t="s">
        <v>804</v>
      </c>
      <c r="G531" t="s">
        <v>809</v>
      </c>
      <c r="H531">
        <v>5</v>
      </c>
      <c r="I531">
        <v>370.22</v>
      </c>
      <c r="J531">
        <v>0</v>
      </c>
      <c r="K531">
        <v>1851.1</v>
      </c>
      <c r="L531" t="s">
        <v>813</v>
      </c>
    </row>
    <row r="532" spans="1:12" x14ac:dyDescent="0.3">
      <c r="A532" t="s">
        <v>542</v>
      </c>
      <c r="B532" s="2">
        <v>45981</v>
      </c>
      <c r="C532" t="s">
        <v>679</v>
      </c>
      <c r="D532" t="s">
        <v>787</v>
      </c>
      <c r="E532" t="s">
        <v>794</v>
      </c>
      <c r="F532" t="s">
        <v>806</v>
      </c>
      <c r="G532" t="s">
        <v>810</v>
      </c>
      <c r="H532">
        <v>1</v>
      </c>
      <c r="I532">
        <v>76.73</v>
      </c>
      <c r="J532">
        <v>0.1</v>
      </c>
      <c r="K532">
        <v>69.06</v>
      </c>
      <c r="L532" t="s">
        <v>814</v>
      </c>
    </row>
    <row r="533" spans="1:12" x14ac:dyDescent="0.3">
      <c r="A533" t="s">
        <v>543</v>
      </c>
      <c r="B533" s="2">
        <v>45981</v>
      </c>
      <c r="C533" t="s">
        <v>780</v>
      </c>
      <c r="D533" t="s">
        <v>789</v>
      </c>
      <c r="E533" t="s">
        <v>792</v>
      </c>
      <c r="F533" t="s">
        <v>800</v>
      </c>
      <c r="G533" t="s">
        <v>810</v>
      </c>
      <c r="H533">
        <v>5</v>
      </c>
      <c r="I533">
        <v>648.63</v>
      </c>
      <c r="J533">
        <v>0.3</v>
      </c>
      <c r="K533">
        <v>2270.1999999999998</v>
      </c>
      <c r="L533" t="s">
        <v>814</v>
      </c>
    </row>
    <row r="534" spans="1:12" x14ac:dyDescent="0.3">
      <c r="A534" t="s">
        <v>544</v>
      </c>
      <c r="B534" s="2">
        <v>45982</v>
      </c>
      <c r="C534" t="s">
        <v>737</v>
      </c>
      <c r="D534" t="s">
        <v>789</v>
      </c>
      <c r="E534" t="s">
        <v>792</v>
      </c>
      <c r="F534" t="s">
        <v>808</v>
      </c>
      <c r="G534" t="s">
        <v>812</v>
      </c>
      <c r="H534">
        <v>1</v>
      </c>
      <c r="I534">
        <v>68.44</v>
      </c>
      <c r="J534">
        <v>0.2</v>
      </c>
      <c r="K534">
        <v>54.75</v>
      </c>
      <c r="L534" t="s">
        <v>814</v>
      </c>
    </row>
    <row r="535" spans="1:12" x14ac:dyDescent="0.3">
      <c r="A535" t="s">
        <v>545</v>
      </c>
      <c r="B535" s="2">
        <v>45982</v>
      </c>
      <c r="C535" t="s">
        <v>639</v>
      </c>
      <c r="D535" t="s">
        <v>788</v>
      </c>
      <c r="E535" t="s">
        <v>795</v>
      </c>
      <c r="F535" t="s">
        <v>798</v>
      </c>
      <c r="G535" t="s">
        <v>810</v>
      </c>
      <c r="H535">
        <v>2</v>
      </c>
      <c r="I535">
        <v>284.25</v>
      </c>
      <c r="J535">
        <v>0.3</v>
      </c>
      <c r="K535">
        <v>397.95</v>
      </c>
      <c r="L535" t="s">
        <v>814</v>
      </c>
    </row>
    <row r="536" spans="1:12" x14ac:dyDescent="0.3">
      <c r="A536" t="s">
        <v>546</v>
      </c>
      <c r="B536" s="2">
        <v>45983</v>
      </c>
      <c r="C536" t="s">
        <v>702</v>
      </c>
      <c r="D536" t="s">
        <v>789</v>
      </c>
      <c r="E536" t="s">
        <v>792</v>
      </c>
      <c r="F536" t="s">
        <v>804</v>
      </c>
      <c r="G536" t="s">
        <v>809</v>
      </c>
      <c r="H536">
        <v>5</v>
      </c>
      <c r="I536">
        <v>339.16</v>
      </c>
      <c r="J536">
        <v>0.05</v>
      </c>
      <c r="K536">
        <v>1611.01</v>
      </c>
      <c r="L536" t="s">
        <v>814</v>
      </c>
    </row>
    <row r="537" spans="1:12" x14ac:dyDescent="0.3">
      <c r="A537" t="s">
        <v>547</v>
      </c>
      <c r="B537" s="2">
        <v>45983</v>
      </c>
      <c r="C537" t="s">
        <v>660</v>
      </c>
      <c r="D537" t="s">
        <v>788</v>
      </c>
      <c r="E537" t="s">
        <v>795</v>
      </c>
      <c r="F537" t="s">
        <v>808</v>
      </c>
      <c r="G537" t="s">
        <v>812</v>
      </c>
      <c r="H537">
        <v>7</v>
      </c>
      <c r="I537">
        <v>75.95</v>
      </c>
      <c r="J537">
        <v>0.1</v>
      </c>
      <c r="K537">
        <v>478.48</v>
      </c>
      <c r="L537" t="s">
        <v>815</v>
      </c>
    </row>
    <row r="538" spans="1:12" x14ac:dyDescent="0.3">
      <c r="A538" t="s">
        <v>548</v>
      </c>
      <c r="B538" s="2">
        <v>45983</v>
      </c>
      <c r="C538" t="s">
        <v>688</v>
      </c>
      <c r="D538" t="s">
        <v>785</v>
      </c>
      <c r="E538" t="s">
        <v>792</v>
      </c>
      <c r="F538" t="s">
        <v>804</v>
      </c>
      <c r="G538" t="s">
        <v>809</v>
      </c>
      <c r="H538">
        <v>7</v>
      </c>
      <c r="I538">
        <v>352.35</v>
      </c>
      <c r="J538">
        <v>0.15</v>
      </c>
      <c r="K538">
        <v>2096.48</v>
      </c>
      <c r="L538" t="s">
        <v>813</v>
      </c>
    </row>
    <row r="539" spans="1:12" x14ac:dyDescent="0.3">
      <c r="A539" t="s">
        <v>549</v>
      </c>
      <c r="B539" s="2">
        <v>45984</v>
      </c>
      <c r="C539" t="s">
        <v>718</v>
      </c>
      <c r="D539" t="s">
        <v>788</v>
      </c>
      <c r="E539" t="s">
        <v>795</v>
      </c>
      <c r="F539" t="s">
        <v>805</v>
      </c>
      <c r="G539" t="s">
        <v>810</v>
      </c>
      <c r="H539">
        <v>1</v>
      </c>
      <c r="I539">
        <v>41.13</v>
      </c>
      <c r="J539">
        <v>0.1</v>
      </c>
      <c r="K539">
        <v>37.020000000000003</v>
      </c>
      <c r="L539" t="s">
        <v>813</v>
      </c>
    </row>
    <row r="540" spans="1:12" x14ac:dyDescent="0.3">
      <c r="A540" t="s">
        <v>550</v>
      </c>
      <c r="B540" s="2">
        <v>45984</v>
      </c>
      <c r="C540" t="s">
        <v>615</v>
      </c>
      <c r="D540" t="s">
        <v>788</v>
      </c>
      <c r="E540" t="s">
        <v>795</v>
      </c>
      <c r="F540" t="s">
        <v>805</v>
      </c>
      <c r="G540" t="s">
        <v>810</v>
      </c>
      <c r="H540">
        <v>5</v>
      </c>
      <c r="I540">
        <v>41.53</v>
      </c>
      <c r="J540">
        <v>0</v>
      </c>
      <c r="K540">
        <v>207.65</v>
      </c>
      <c r="L540" t="s">
        <v>814</v>
      </c>
    </row>
    <row r="541" spans="1:12" x14ac:dyDescent="0.3">
      <c r="A541" t="s">
        <v>551</v>
      </c>
      <c r="B541" s="2">
        <v>45985</v>
      </c>
      <c r="C541" t="s">
        <v>655</v>
      </c>
      <c r="D541" t="s">
        <v>785</v>
      </c>
      <c r="E541" t="s">
        <v>792</v>
      </c>
      <c r="F541" t="s">
        <v>803</v>
      </c>
      <c r="G541" t="s">
        <v>810</v>
      </c>
      <c r="H541">
        <v>1</v>
      </c>
      <c r="I541">
        <v>125.79</v>
      </c>
      <c r="J541">
        <v>0.1</v>
      </c>
      <c r="K541">
        <v>113.21</v>
      </c>
      <c r="L541" t="s">
        <v>813</v>
      </c>
    </row>
    <row r="542" spans="1:12" x14ac:dyDescent="0.3">
      <c r="A542" t="s">
        <v>552</v>
      </c>
      <c r="B542" s="2">
        <v>45985</v>
      </c>
      <c r="C542" t="s">
        <v>651</v>
      </c>
      <c r="D542" t="s">
        <v>790</v>
      </c>
      <c r="E542" t="s">
        <v>796</v>
      </c>
      <c r="F542" t="s">
        <v>799</v>
      </c>
      <c r="G542" t="s">
        <v>809</v>
      </c>
      <c r="H542">
        <v>4</v>
      </c>
      <c r="I542">
        <v>55.72</v>
      </c>
      <c r="J542">
        <v>0.15</v>
      </c>
      <c r="K542">
        <v>189.45</v>
      </c>
      <c r="L542" t="s">
        <v>816</v>
      </c>
    </row>
    <row r="543" spans="1:12" x14ac:dyDescent="0.3">
      <c r="A543" t="s">
        <v>553</v>
      </c>
      <c r="B543" s="2">
        <v>45985</v>
      </c>
      <c r="C543" t="s">
        <v>614</v>
      </c>
      <c r="D543" t="s">
        <v>788</v>
      </c>
      <c r="E543" t="s">
        <v>795</v>
      </c>
      <c r="F543" t="s">
        <v>805</v>
      </c>
      <c r="G543" t="s">
        <v>810</v>
      </c>
      <c r="H543">
        <v>7</v>
      </c>
      <c r="I543">
        <v>46.02</v>
      </c>
      <c r="J543">
        <v>0.05</v>
      </c>
      <c r="K543">
        <v>306.02999999999997</v>
      </c>
      <c r="L543" t="s">
        <v>816</v>
      </c>
    </row>
    <row r="544" spans="1:12" x14ac:dyDescent="0.3">
      <c r="A544" t="s">
        <v>554</v>
      </c>
      <c r="B544" s="2">
        <v>45988</v>
      </c>
      <c r="C544" t="s">
        <v>781</v>
      </c>
      <c r="D544" t="s">
        <v>789</v>
      </c>
      <c r="E544" t="s">
        <v>792</v>
      </c>
      <c r="F544" t="s">
        <v>801</v>
      </c>
      <c r="G544" t="s">
        <v>811</v>
      </c>
      <c r="H544">
        <v>8</v>
      </c>
      <c r="I544">
        <v>15.3</v>
      </c>
      <c r="J544">
        <v>0</v>
      </c>
      <c r="K544">
        <v>122.4</v>
      </c>
      <c r="L544" t="s">
        <v>814</v>
      </c>
    </row>
    <row r="545" spans="1:12" x14ac:dyDescent="0.3">
      <c r="A545" t="s">
        <v>555</v>
      </c>
      <c r="B545" s="2">
        <v>45989</v>
      </c>
      <c r="C545" t="s">
        <v>739</v>
      </c>
      <c r="D545" t="s">
        <v>787</v>
      </c>
      <c r="E545" t="s">
        <v>794</v>
      </c>
      <c r="F545" t="s">
        <v>802</v>
      </c>
      <c r="G545" t="s">
        <v>811</v>
      </c>
      <c r="H545">
        <v>4</v>
      </c>
      <c r="I545">
        <v>267.63</v>
      </c>
      <c r="J545">
        <v>0.1</v>
      </c>
      <c r="K545">
        <v>963.47</v>
      </c>
      <c r="L545" t="s">
        <v>813</v>
      </c>
    </row>
    <row r="546" spans="1:12" x14ac:dyDescent="0.3">
      <c r="A546" t="s">
        <v>556</v>
      </c>
      <c r="B546" s="2">
        <v>45989</v>
      </c>
      <c r="C546" t="s">
        <v>650</v>
      </c>
      <c r="D546" t="s">
        <v>788</v>
      </c>
      <c r="E546" t="s">
        <v>795</v>
      </c>
      <c r="F546" t="s">
        <v>799</v>
      </c>
      <c r="G546" t="s">
        <v>809</v>
      </c>
      <c r="H546">
        <v>8</v>
      </c>
      <c r="I546">
        <v>53.97</v>
      </c>
      <c r="J546">
        <v>0.25</v>
      </c>
      <c r="K546">
        <v>323.82</v>
      </c>
      <c r="L546" t="s">
        <v>815</v>
      </c>
    </row>
    <row r="547" spans="1:12" x14ac:dyDescent="0.3">
      <c r="A547" t="s">
        <v>557</v>
      </c>
      <c r="B547" s="2">
        <v>45994</v>
      </c>
      <c r="C547" t="s">
        <v>661</v>
      </c>
      <c r="D547" t="s">
        <v>785</v>
      </c>
      <c r="E547" t="s">
        <v>792</v>
      </c>
      <c r="F547" t="s">
        <v>807</v>
      </c>
      <c r="G547" t="s">
        <v>810</v>
      </c>
      <c r="H547">
        <v>4</v>
      </c>
      <c r="I547">
        <v>930.79</v>
      </c>
      <c r="J547">
        <v>0.1</v>
      </c>
      <c r="K547">
        <v>3350.84</v>
      </c>
      <c r="L547" t="s">
        <v>815</v>
      </c>
    </row>
    <row r="548" spans="1:12" x14ac:dyDescent="0.3">
      <c r="A548" t="s">
        <v>558</v>
      </c>
      <c r="B548" s="2">
        <v>45994</v>
      </c>
      <c r="C548" t="s">
        <v>774</v>
      </c>
      <c r="D548" t="s">
        <v>789</v>
      </c>
      <c r="E548" t="s">
        <v>792</v>
      </c>
      <c r="F548" t="s">
        <v>801</v>
      </c>
      <c r="G548" t="s">
        <v>811</v>
      </c>
      <c r="H548">
        <v>7</v>
      </c>
      <c r="I548">
        <v>14.32</v>
      </c>
      <c r="J548">
        <v>0</v>
      </c>
      <c r="K548">
        <v>100.24</v>
      </c>
      <c r="L548" t="s">
        <v>816</v>
      </c>
    </row>
    <row r="549" spans="1:12" x14ac:dyDescent="0.3">
      <c r="A549" t="s">
        <v>559</v>
      </c>
      <c r="B549" s="2">
        <v>45994</v>
      </c>
      <c r="C549" t="s">
        <v>638</v>
      </c>
      <c r="D549" t="s">
        <v>790</v>
      </c>
      <c r="E549" t="s">
        <v>796</v>
      </c>
      <c r="F549" t="s">
        <v>804</v>
      </c>
      <c r="G549" t="s">
        <v>809</v>
      </c>
      <c r="H549">
        <v>3</v>
      </c>
      <c r="I549">
        <v>340.05</v>
      </c>
      <c r="J549">
        <v>0.15</v>
      </c>
      <c r="K549">
        <v>867.13</v>
      </c>
      <c r="L549" t="s">
        <v>814</v>
      </c>
    </row>
    <row r="550" spans="1:12" x14ac:dyDescent="0.3">
      <c r="A550" t="s">
        <v>560</v>
      </c>
      <c r="B550" s="2">
        <v>45995</v>
      </c>
      <c r="C550" t="s">
        <v>710</v>
      </c>
      <c r="D550" t="s">
        <v>790</v>
      </c>
      <c r="E550" t="s">
        <v>796</v>
      </c>
      <c r="F550" t="s">
        <v>798</v>
      </c>
      <c r="G550" t="s">
        <v>810</v>
      </c>
      <c r="H550">
        <v>6</v>
      </c>
      <c r="I550">
        <v>285.45999999999998</v>
      </c>
      <c r="J550">
        <v>0</v>
      </c>
      <c r="K550">
        <v>1712.76</v>
      </c>
      <c r="L550" t="s">
        <v>815</v>
      </c>
    </row>
    <row r="551" spans="1:12" x14ac:dyDescent="0.3">
      <c r="A551" t="s">
        <v>561</v>
      </c>
      <c r="B551" s="2">
        <v>45995</v>
      </c>
      <c r="C551" t="s">
        <v>665</v>
      </c>
      <c r="D551" t="s">
        <v>786</v>
      </c>
      <c r="E551" t="s">
        <v>793</v>
      </c>
      <c r="F551" t="s">
        <v>807</v>
      </c>
      <c r="G551" t="s">
        <v>810</v>
      </c>
      <c r="H551">
        <v>5</v>
      </c>
      <c r="I551">
        <v>885.62</v>
      </c>
      <c r="J551">
        <v>0.25</v>
      </c>
      <c r="K551">
        <v>3321.08</v>
      </c>
      <c r="L551" t="s">
        <v>813</v>
      </c>
    </row>
    <row r="552" spans="1:12" x14ac:dyDescent="0.3">
      <c r="A552" t="s">
        <v>562</v>
      </c>
      <c r="B552" s="2">
        <v>45995</v>
      </c>
      <c r="C552" t="s">
        <v>728</v>
      </c>
      <c r="D552" t="s">
        <v>789</v>
      </c>
      <c r="E552" t="s">
        <v>792</v>
      </c>
      <c r="F552" t="s">
        <v>798</v>
      </c>
      <c r="G552" t="s">
        <v>810</v>
      </c>
      <c r="H552">
        <v>4</v>
      </c>
      <c r="I552">
        <v>272.70999999999998</v>
      </c>
      <c r="J552">
        <v>0.05</v>
      </c>
      <c r="K552">
        <v>1036.3</v>
      </c>
      <c r="L552" t="s">
        <v>814</v>
      </c>
    </row>
    <row r="553" spans="1:12" x14ac:dyDescent="0.3">
      <c r="A553" t="s">
        <v>563</v>
      </c>
      <c r="B553" s="2">
        <v>45997</v>
      </c>
      <c r="C553" t="s">
        <v>782</v>
      </c>
      <c r="D553" t="s">
        <v>786</v>
      </c>
      <c r="E553" t="s">
        <v>793</v>
      </c>
      <c r="F553" t="s">
        <v>806</v>
      </c>
      <c r="G553" t="s">
        <v>810</v>
      </c>
      <c r="H553">
        <v>4</v>
      </c>
      <c r="I553">
        <v>73.349999999999994</v>
      </c>
      <c r="J553">
        <v>0</v>
      </c>
      <c r="K553">
        <v>293.39999999999998</v>
      </c>
      <c r="L553" t="s">
        <v>813</v>
      </c>
    </row>
    <row r="554" spans="1:12" x14ac:dyDescent="0.3">
      <c r="A554" t="s">
        <v>564</v>
      </c>
      <c r="B554" s="2">
        <v>45997</v>
      </c>
      <c r="C554" t="s">
        <v>683</v>
      </c>
      <c r="D554" t="s">
        <v>788</v>
      </c>
      <c r="E554" t="s">
        <v>795</v>
      </c>
      <c r="F554" t="s">
        <v>807</v>
      </c>
      <c r="G554" t="s">
        <v>810</v>
      </c>
      <c r="H554">
        <v>6</v>
      </c>
      <c r="I554">
        <v>844.31</v>
      </c>
      <c r="J554">
        <v>0</v>
      </c>
      <c r="K554">
        <v>5065.8599999999997</v>
      </c>
      <c r="L554" t="s">
        <v>814</v>
      </c>
    </row>
    <row r="555" spans="1:12" x14ac:dyDescent="0.3">
      <c r="A555" t="s">
        <v>565</v>
      </c>
      <c r="B555" s="2">
        <v>45998</v>
      </c>
      <c r="C555" t="s">
        <v>673</v>
      </c>
      <c r="D555" t="s">
        <v>788</v>
      </c>
      <c r="E555" t="s">
        <v>795</v>
      </c>
      <c r="F555" t="s">
        <v>807</v>
      </c>
      <c r="G555" t="s">
        <v>810</v>
      </c>
      <c r="H555">
        <v>2</v>
      </c>
      <c r="I555">
        <v>824.71</v>
      </c>
      <c r="J555">
        <v>0.1</v>
      </c>
      <c r="K555">
        <v>1484.48</v>
      </c>
      <c r="L555" t="s">
        <v>815</v>
      </c>
    </row>
    <row r="556" spans="1:12" x14ac:dyDescent="0.3">
      <c r="A556" t="s">
        <v>566</v>
      </c>
      <c r="B556" s="2">
        <v>45999</v>
      </c>
      <c r="C556" t="s">
        <v>709</v>
      </c>
      <c r="D556" t="s">
        <v>785</v>
      </c>
      <c r="E556" t="s">
        <v>792</v>
      </c>
      <c r="F556" t="s">
        <v>803</v>
      </c>
      <c r="G556" t="s">
        <v>810</v>
      </c>
      <c r="H556">
        <v>7</v>
      </c>
      <c r="I556">
        <v>108.66</v>
      </c>
      <c r="J556">
        <v>0.1</v>
      </c>
      <c r="K556">
        <v>684.56</v>
      </c>
      <c r="L556" t="s">
        <v>815</v>
      </c>
    </row>
    <row r="557" spans="1:12" x14ac:dyDescent="0.3">
      <c r="A557" t="s">
        <v>567</v>
      </c>
      <c r="B557" s="2">
        <v>45999</v>
      </c>
      <c r="C557" t="s">
        <v>614</v>
      </c>
      <c r="D557" t="s">
        <v>786</v>
      </c>
      <c r="E557" t="s">
        <v>793</v>
      </c>
      <c r="F557" t="s">
        <v>802</v>
      </c>
      <c r="G557" t="s">
        <v>811</v>
      </c>
      <c r="H557">
        <v>5</v>
      </c>
      <c r="I557">
        <v>267.82</v>
      </c>
      <c r="J557">
        <v>0.2</v>
      </c>
      <c r="K557">
        <v>1071.28</v>
      </c>
      <c r="L557" t="s">
        <v>816</v>
      </c>
    </row>
    <row r="558" spans="1:12" x14ac:dyDescent="0.3">
      <c r="A558" t="s">
        <v>568</v>
      </c>
      <c r="B558" s="2">
        <v>46000</v>
      </c>
      <c r="C558" t="s">
        <v>781</v>
      </c>
      <c r="D558" t="s">
        <v>786</v>
      </c>
      <c r="E558" t="s">
        <v>793</v>
      </c>
      <c r="F558" t="s">
        <v>798</v>
      </c>
      <c r="G558" t="s">
        <v>810</v>
      </c>
      <c r="H558">
        <v>2</v>
      </c>
      <c r="I558">
        <v>293.18</v>
      </c>
      <c r="J558">
        <v>0.1</v>
      </c>
      <c r="K558">
        <v>527.72</v>
      </c>
      <c r="L558" t="s">
        <v>814</v>
      </c>
    </row>
    <row r="559" spans="1:12" x14ac:dyDescent="0.3">
      <c r="A559" t="s">
        <v>569</v>
      </c>
      <c r="B559" s="2">
        <v>46000</v>
      </c>
      <c r="C559" t="s">
        <v>715</v>
      </c>
      <c r="D559" t="s">
        <v>786</v>
      </c>
      <c r="E559" t="s">
        <v>793</v>
      </c>
      <c r="F559" t="s">
        <v>800</v>
      </c>
      <c r="G559" t="s">
        <v>810</v>
      </c>
      <c r="H559">
        <v>2</v>
      </c>
      <c r="I559">
        <v>603</v>
      </c>
      <c r="J559">
        <v>0.1</v>
      </c>
      <c r="K559">
        <v>1085.4000000000001</v>
      </c>
      <c r="L559" t="s">
        <v>815</v>
      </c>
    </row>
    <row r="560" spans="1:12" x14ac:dyDescent="0.3">
      <c r="A560" t="s">
        <v>570</v>
      </c>
      <c r="B560" s="2">
        <v>46000</v>
      </c>
      <c r="C560" t="s">
        <v>647</v>
      </c>
      <c r="D560" t="s">
        <v>787</v>
      </c>
      <c r="E560" t="s">
        <v>794</v>
      </c>
      <c r="F560" t="s">
        <v>804</v>
      </c>
      <c r="G560" t="s">
        <v>809</v>
      </c>
      <c r="H560">
        <v>1</v>
      </c>
      <c r="I560">
        <v>353.76</v>
      </c>
      <c r="J560">
        <v>0.1</v>
      </c>
      <c r="K560">
        <v>318.38</v>
      </c>
      <c r="L560" t="s">
        <v>813</v>
      </c>
    </row>
    <row r="561" spans="1:12" x14ac:dyDescent="0.3">
      <c r="A561" t="s">
        <v>571</v>
      </c>
      <c r="B561" s="2">
        <v>46001</v>
      </c>
      <c r="C561" t="s">
        <v>731</v>
      </c>
      <c r="D561" t="s">
        <v>789</v>
      </c>
      <c r="E561" t="s">
        <v>792</v>
      </c>
      <c r="F561" t="s">
        <v>803</v>
      </c>
      <c r="G561" t="s">
        <v>810</v>
      </c>
      <c r="H561">
        <v>6</v>
      </c>
      <c r="I561">
        <v>110.1</v>
      </c>
      <c r="J561">
        <v>0.05</v>
      </c>
      <c r="K561">
        <v>627.57000000000005</v>
      </c>
      <c r="L561" t="s">
        <v>814</v>
      </c>
    </row>
    <row r="562" spans="1:12" x14ac:dyDescent="0.3">
      <c r="A562" t="s">
        <v>572</v>
      </c>
      <c r="B562" s="2">
        <v>46002</v>
      </c>
      <c r="C562" t="s">
        <v>710</v>
      </c>
      <c r="D562" t="s">
        <v>789</v>
      </c>
      <c r="E562" t="s">
        <v>792</v>
      </c>
      <c r="F562" t="s">
        <v>797</v>
      </c>
      <c r="G562" t="s">
        <v>809</v>
      </c>
      <c r="H562">
        <v>2</v>
      </c>
      <c r="I562">
        <v>230.21</v>
      </c>
      <c r="J562">
        <v>0.2</v>
      </c>
      <c r="K562">
        <v>368.34</v>
      </c>
      <c r="L562" t="s">
        <v>815</v>
      </c>
    </row>
    <row r="563" spans="1:12" x14ac:dyDescent="0.3">
      <c r="A563" t="s">
        <v>573</v>
      </c>
      <c r="B563" s="2">
        <v>46002</v>
      </c>
      <c r="C563" t="s">
        <v>732</v>
      </c>
      <c r="D563" t="s">
        <v>790</v>
      </c>
      <c r="E563" t="s">
        <v>796</v>
      </c>
      <c r="F563" t="s">
        <v>804</v>
      </c>
      <c r="G563" t="s">
        <v>809</v>
      </c>
      <c r="H563">
        <v>3</v>
      </c>
      <c r="I563">
        <v>365.76</v>
      </c>
      <c r="J563">
        <v>0</v>
      </c>
      <c r="K563">
        <v>1097.28</v>
      </c>
      <c r="L563" t="s">
        <v>814</v>
      </c>
    </row>
    <row r="564" spans="1:12" x14ac:dyDescent="0.3">
      <c r="A564" t="s">
        <v>574</v>
      </c>
      <c r="B564" s="2">
        <v>46003</v>
      </c>
      <c r="C564" t="s">
        <v>616</v>
      </c>
      <c r="D564" t="s">
        <v>786</v>
      </c>
      <c r="E564" t="s">
        <v>793</v>
      </c>
      <c r="F564" t="s">
        <v>799</v>
      </c>
      <c r="G564" t="s">
        <v>809</v>
      </c>
      <c r="H564">
        <v>3</v>
      </c>
      <c r="I564">
        <v>51.55</v>
      </c>
      <c r="J564">
        <v>0</v>
      </c>
      <c r="K564">
        <v>154.65</v>
      </c>
      <c r="L564" t="s">
        <v>815</v>
      </c>
    </row>
    <row r="565" spans="1:12" x14ac:dyDescent="0.3">
      <c r="A565" t="s">
        <v>575</v>
      </c>
      <c r="B565" s="2">
        <v>46003</v>
      </c>
      <c r="C565" t="s">
        <v>662</v>
      </c>
      <c r="D565" t="s">
        <v>787</v>
      </c>
      <c r="E565" t="s">
        <v>794</v>
      </c>
      <c r="F565" t="s">
        <v>803</v>
      </c>
      <c r="G565" t="s">
        <v>810</v>
      </c>
      <c r="H565">
        <v>1</v>
      </c>
      <c r="I565">
        <v>117.57</v>
      </c>
      <c r="J565">
        <v>0.1</v>
      </c>
      <c r="K565">
        <v>105.81</v>
      </c>
      <c r="L565" t="s">
        <v>813</v>
      </c>
    </row>
    <row r="566" spans="1:12" x14ac:dyDescent="0.3">
      <c r="A566" t="s">
        <v>576</v>
      </c>
      <c r="B566" s="2">
        <v>46003</v>
      </c>
      <c r="C566" t="s">
        <v>682</v>
      </c>
      <c r="D566" t="s">
        <v>786</v>
      </c>
      <c r="E566" t="s">
        <v>793</v>
      </c>
      <c r="F566" t="s">
        <v>798</v>
      </c>
      <c r="G566" t="s">
        <v>810</v>
      </c>
      <c r="H566">
        <v>7</v>
      </c>
      <c r="I566">
        <v>285.36</v>
      </c>
      <c r="J566">
        <v>0</v>
      </c>
      <c r="K566">
        <v>1997.52</v>
      </c>
      <c r="L566" t="s">
        <v>813</v>
      </c>
    </row>
    <row r="567" spans="1:12" x14ac:dyDescent="0.3">
      <c r="A567" t="s">
        <v>577</v>
      </c>
      <c r="B567" s="2">
        <v>46006</v>
      </c>
      <c r="C567" t="s">
        <v>634</v>
      </c>
      <c r="D567" t="s">
        <v>788</v>
      </c>
      <c r="E567" t="s">
        <v>795</v>
      </c>
      <c r="F567" t="s">
        <v>804</v>
      </c>
      <c r="G567" t="s">
        <v>809</v>
      </c>
      <c r="H567">
        <v>5</v>
      </c>
      <c r="I567">
        <v>374.58</v>
      </c>
      <c r="J567">
        <v>0.1</v>
      </c>
      <c r="K567">
        <v>1685.61</v>
      </c>
      <c r="L567" t="s">
        <v>815</v>
      </c>
    </row>
    <row r="568" spans="1:12" x14ac:dyDescent="0.3">
      <c r="A568" t="s">
        <v>578</v>
      </c>
      <c r="B568" s="2">
        <v>46007</v>
      </c>
      <c r="C568" t="s">
        <v>661</v>
      </c>
      <c r="D568" t="s">
        <v>788</v>
      </c>
      <c r="E568" t="s">
        <v>795</v>
      </c>
      <c r="F568" t="s">
        <v>798</v>
      </c>
      <c r="G568" t="s">
        <v>810</v>
      </c>
      <c r="H568">
        <v>8</v>
      </c>
      <c r="I568">
        <v>304.63</v>
      </c>
      <c r="J568">
        <v>0.15</v>
      </c>
      <c r="K568">
        <v>2071.48</v>
      </c>
      <c r="L568" t="s">
        <v>813</v>
      </c>
    </row>
    <row r="569" spans="1:12" x14ac:dyDescent="0.3">
      <c r="A569" t="s">
        <v>579</v>
      </c>
      <c r="B569" s="2">
        <v>46008</v>
      </c>
      <c r="C569" t="s">
        <v>752</v>
      </c>
      <c r="D569" t="s">
        <v>787</v>
      </c>
      <c r="E569" t="s">
        <v>794</v>
      </c>
      <c r="F569" t="s">
        <v>800</v>
      </c>
      <c r="G569" t="s">
        <v>810</v>
      </c>
      <c r="H569">
        <v>2</v>
      </c>
      <c r="I569">
        <v>643.47</v>
      </c>
      <c r="J569">
        <v>0.1</v>
      </c>
      <c r="K569">
        <v>1158.25</v>
      </c>
      <c r="L569" t="s">
        <v>816</v>
      </c>
    </row>
    <row r="570" spans="1:12" x14ac:dyDescent="0.3">
      <c r="A570" t="s">
        <v>580</v>
      </c>
      <c r="B570" s="2">
        <v>46008</v>
      </c>
      <c r="C570" t="s">
        <v>783</v>
      </c>
      <c r="D570" t="s">
        <v>789</v>
      </c>
      <c r="E570" t="s">
        <v>792</v>
      </c>
      <c r="F570" t="s">
        <v>807</v>
      </c>
      <c r="G570" t="s">
        <v>810</v>
      </c>
      <c r="H570">
        <v>5</v>
      </c>
      <c r="I570">
        <v>820.15</v>
      </c>
      <c r="J570">
        <v>0.2</v>
      </c>
      <c r="K570">
        <v>3280.6</v>
      </c>
      <c r="L570" t="s">
        <v>813</v>
      </c>
    </row>
    <row r="571" spans="1:12" x14ac:dyDescent="0.3">
      <c r="A571" t="s">
        <v>581</v>
      </c>
      <c r="B571" s="2">
        <v>46009</v>
      </c>
      <c r="C571" t="s">
        <v>694</v>
      </c>
      <c r="D571" t="s">
        <v>785</v>
      </c>
      <c r="E571" t="s">
        <v>792</v>
      </c>
      <c r="F571" t="s">
        <v>805</v>
      </c>
      <c r="G571" t="s">
        <v>810</v>
      </c>
      <c r="H571">
        <v>8</v>
      </c>
      <c r="I571">
        <v>48.19</v>
      </c>
      <c r="J571">
        <v>0.1</v>
      </c>
      <c r="K571">
        <v>346.97</v>
      </c>
      <c r="L571" t="s">
        <v>813</v>
      </c>
    </row>
    <row r="572" spans="1:12" x14ac:dyDescent="0.3">
      <c r="A572" t="s">
        <v>582</v>
      </c>
      <c r="B572" s="2">
        <v>46010</v>
      </c>
      <c r="C572" t="s">
        <v>720</v>
      </c>
      <c r="D572" t="s">
        <v>786</v>
      </c>
      <c r="E572" t="s">
        <v>793</v>
      </c>
      <c r="F572" t="s">
        <v>802</v>
      </c>
      <c r="G572" t="s">
        <v>811</v>
      </c>
      <c r="H572">
        <v>8</v>
      </c>
      <c r="I572">
        <v>238.71</v>
      </c>
      <c r="J572">
        <v>0</v>
      </c>
      <c r="K572">
        <v>1909.68</v>
      </c>
      <c r="L572" t="s">
        <v>814</v>
      </c>
    </row>
    <row r="573" spans="1:12" x14ac:dyDescent="0.3">
      <c r="A573" t="s">
        <v>583</v>
      </c>
      <c r="B573" s="2">
        <v>46011</v>
      </c>
      <c r="C573" t="s">
        <v>624</v>
      </c>
      <c r="D573" t="s">
        <v>789</v>
      </c>
      <c r="E573" t="s">
        <v>792</v>
      </c>
      <c r="F573" t="s">
        <v>798</v>
      </c>
      <c r="G573" t="s">
        <v>810</v>
      </c>
      <c r="H573">
        <v>1</v>
      </c>
      <c r="I573">
        <v>288.38</v>
      </c>
      <c r="J573">
        <v>0.2</v>
      </c>
      <c r="K573">
        <v>230.7</v>
      </c>
      <c r="L573" t="s">
        <v>815</v>
      </c>
    </row>
    <row r="574" spans="1:12" x14ac:dyDescent="0.3">
      <c r="A574" t="s">
        <v>584</v>
      </c>
      <c r="B574" s="2">
        <v>46011</v>
      </c>
      <c r="C574" t="s">
        <v>651</v>
      </c>
      <c r="D574" t="s">
        <v>786</v>
      </c>
      <c r="E574" t="s">
        <v>793</v>
      </c>
      <c r="F574" t="s">
        <v>800</v>
      </c>
      <c r="G574" t="s">
        <v>810</v>
      </c>
      <c r="H574">
        <v>4</v>
      </c>
      <c r="I574">
        <v>649.57000000000005</v>
      </c>
      <c r="J574">
        <v>0.05</v>
      </c>
      <c r="K574">
        <v>2468.37</v>
      </c>
      <c r="L574" t="s">
        <v>814</v>
      </c>
    </row>
    <row r="575" spans="1:12" x14ac:dyDescent="0.3">
      <c r="A575" t="s">
        <v>585</v>
      </c>
      <c r="B575" s="2">
        <v>46012</v>
      </c>
      <c r="C575" t="s">
        <v>615</v>
      </c>
      <c r="D575" t="s">
        <v>789</v>
      </c>
      <c r="E575" t="s">
        <v>792</v>
      </c>
      <c r="F575" t="s">
        <v>804</v>
      </c>
      <c r="G575" t="s">
        <v>809</v>
      </c>
      <c r="H575">
        <v>5</v>
      </c>
      <c r="I575">
        <v>343.66</v>
      </c>
      <c r="J575">
        <v>0.1</v>
      </c>
      <c r="K575">
        <v>1546.47</v>
      </c>
      <c r="L575" t="s">
        <v>815</v>
      </c>
    </row>
    <row r="576" spans="1:12" x14ac:dyDescent="0.3">
      <c r="A576" t="s">
        <v>586</v>
      </c>
      <c r="B576" s="2">
        <v>46012</v>
      </c>
      <c r="C576" t="s">
        <v>687</v>
      </c>
      <c r="D576" t="s">
        <v>789</v>
      </c>
      <c r="E576" t="s">
        <v>792</v>
      </c>
      <c r="F576" t="s">
        <v>799</v>
      </c>
      <c r="G576" t="s">
        <v>809</v>
      </c>
      <c r="H576">
        <v>3</v>
      </c>
      <c r="I576">
        <v>56.35</v>
      </c>
      <c r="J576">
        <v>0.15</v>
      </c>
      <c r="K576">
        <v>143.69</v>
      </c>
      <c r="L576" t="s">
        <v>813</v>
      </c>
    </row>
    <row r="577" spans="1:12" x14ac:dyDescent="0.3">
      <c r="A577" t="s">
        <v>587</v>
      </c>
      <c r="B577" s="2">
        <v>46013</v>
      </c>
      <c r="C577" t="s">
        <v>707</v>
      </c>
      <c r="D577" t="s">
        <v>787</v>
      </c>
      <c r="E577" t="s">
        <v>794</v>
      </c>
      <c r="F577" t="s">
        <v>807</v>
      </c>
      <c r="G577" t="s">
        <v>810</v>
      </c>
      <c r="H577">
        <v>2</v>
      </c>
      <c r="I577">
        <v>948.2</v>
      </c>
      <c r="J577">
        <v>0</v>
      </c>
      <c r="K577">
        <v>1896.4</v>
      </c>
      <c r="L577" t="s">
        <v>815</v>
      </c>
    </row>
    <row r="578" spans="1:12" x14ac:dyDescent="0.3">
      <c r="A578" t="s">
        <v>588</v>
      </c>
      <c r="B578" s="2">
        <v>46014</v>
      </c>
      <c r="C578" t="s">
        <v>775</v>
      </c>
      <c r="D578" t="s">
        <v>785</v>
      </c>
      <c r="E578" t="s">
        <v>792</v>
      </c>
      <c r="F578" t="s">
        <v>799</v>
      </c>
      <c r="G578" t="s">
        <v>809</v>
      </c>
      <c r="H578">
        <v>3</v>
      </c>
      <c r="I578">
        <v>54.44</v>
      </c>
      <c r="J578">
        <v>0</v>
      </c>
      <c r="K578">
        <v>163.32</v>
      </c>
      <c r="L578" t="s">
        <v>814</v>
      </c>
    </row>
    <row r="579" spans="1:12" x14ac:dyDescent="0.3">
      <c r="A579" t="s">
        <v>589</v>
      </c>
      <c r="B579" s="2">
        <v>46014</v>
      </c>
      <c r="C579" t="s">
        <v>716</v>
      </c>
      <c r="D579" t="s">
        <v>787</v>
      </c>
      <c r="E579" t="s">
        <v>794</v>
      </c>
      <c r="F579" t="s">
        <v>807</v>
      </c>
      <c r="G579" t="s">
        <v>810</v>
      </c>
      <c r="H579">
        <v>4</v>
      </c>
      <c r="I579">
        <v>980.86</v>
      </c>
      <c r="J579">
        <v>0.15</v>
      </c>
      <c r="K579">
        <v>3334.92</v>
      </c>
      <c r="L579" t="s">
        <v>814</v>
      </c>
    </row>
    <row r="580" spans="1:12" x14ac:dyDescent="0.3">
      <c r="A580" t="s">
        <v>590</v>
      </c>
      <c r="B580" s="2">
        <v>46015</v>
      </c>
      <c r="C580" t="s">
        <v>738</v>
      </c>
      <c r="D580" t="s">
        <v>787</v>
      </c>
      <c r="E580" t="s">
        <v>794</v>
      </c>
      <c r="F580" t="s">
        <v>800</v>
      </c>
      <c r="G580" t="s">
        <v>810</v>
      </c>
      <c r="H580">
        <v>8</v>
      </c>
      <c r="I580">
        <v>599.67999999999995</v>
      </c>
      <c r="J580">
        <v>0.2</v>
      </c>
      <c r="K580">
        <v>3837.95</v>
      </c>
      <c r="L580" t="s">
        <v>814</v>
      </c>
    </row>
    <row r="581" spans="1:12" x14ac:dyDescent="0.3">
      <c r="A581" t="s">
        <v>591</v>
      </c>
      <c r="B581" s="2">
        <v>46015</v>
      </c>
      <c r="C581" t="s">
        <v>736</v>
      </c>
      <c r="D581" t="s">
        <v>786</v>
      </c>
      <c r="E581" t="s">
        <v>793</v>
      </c>
      <c r="F581" t="s">
        <v>802</v>
      </c>
      <c r="G581" t="s">
        <v>811</v>
      </c>
      <c r="H581">
        <v>5</v>
      </c>
      <c r="I581">
        <v>228.78</v>
      </c>
      <c r="J581">
        <v>0.05</v>
      </c>
      <c r="K581">
        <v>1086.7</v>
      </c>
      <c r="L581" t="s">
        <v>814</v>
      </c>
    </row>
    <row r="582" spans="1:12" x14ac:dyDescent="0.3">
      <c r="A582" t="s">
        <v>592</v>
      </c>
      <c r="B582" s="2">
        <v>46015</v>
      </c>
      <c r="C582" t="s">
        <v>698</v>
      </c>
      <c r="D582" t="s">
        <v>788</v>
      </c>
      <c r="E582" t="s">
        <v>795</v>
      </c>
      <c r="F582" t="s">
        <v>806</v>
      </c>
      <c r="G582" t="s">
        <v>810</v>
      </c>
      <c r="H582">
        <v>7</v>
      </c>
      <c r="I582">
        <v>79.8</v>
      </c>
      <c r="J582">
        <v>0</v>
      </c>
      <c r="K582">
        <v>558.6</v>
      </c>
      <c r="L582" t="s">
        <v>814</v>
      </c>
    </row>
    <row r="583" spans="1:12" x14ac:dyDescent="0.3">
      <c r="A583" t="s">
        <v>593</v>
      </c>
      <c r="B583" s="2">
        <v>46015</v>
      </c>
      <c r="C583" t="s">
        <v>715</v>
      </c>
      <c r="D583" t="s">
        <v>789</v>
      </c>
      <c r="E583" t="s">
        <v>792</v>
      </c>
      <c r="F583" t="s">
        <v>798</v>
      </c>
      <c r="G583" t="s">
        <v>810</v>
      </c>
      <c r="H583">
        <v>1</v>
      </c>
      <c r="I583">
        <v>324.92</v>
      </c>
      <c r="J583">
        <v>0.25</v>
      </c>
      <c r="K583">
        <v>243.69</v>
      </c>
      <c r="L583" t="s">
        <v>814</v>
      </c>
    </row>
    <row r="584" spans="1:12" x14ac:dyDescent="0.3">
      <c r="A584" t="s">
        <v>594</v>
      </c>
      <c r="B584" s="2">
        <v>46016</v>
      </c>
      <c r="C584" t="s">
        <v>755</v>
      </c>
      <c r="D584" t="s">
        <v>789</v>
      </c>
      <c r="E584" t="s">
        <v>792</v>
      </c>
      <c r="F584" t="s">
        <v>808</v>
      </c>
      <c r="G584" t="s">
        <v>812</v>
      </c>
      <c r="H584">
        <v>3</v>
      </c>
      <c r="I584">
        <v>69.83</v>
      </c>
      <c r="J584">
        <v>0</v>
      </c>
      <c r="K584">
        <v>209.49</v>
      </c>
      <c r="L584" t="s">
        <v>813</v>
      </c>
    </row>
    <row r="585" spans="1:12" x14ac:dyDescent="0.3">
      <c r="A585" t="s">
        <v>595</v>
      </c>
      <c r="B585" s="2">
        <v>46017</v>
      </c>
      <c r="C585" t="s">
        <v>738</v>
      </c>
      <c r="D585" t="s">
        <v>789</v>
      </c>
      <c r="E585" t="s">
        <v>792</v>
      </c>
      <c r="F585" t="s">
        <v>799</v>
      </c>
      <c r="G585" t="s">
        <v>809</v>
      </c>
      <c r="H585">
        <v>2</v>
      </c>
      <c r="I585">
        <v>58.35</v>
      </c>
      <c r="J585">
        <v>0</v>
      </c>
      <c r="K585">
        <v>116.7</v>
      </c>
      <c r="L585" t="s">
        <v>813</v>
      </c>
    </row>
    <row r="586" spans="1:12" x14ac:dyDescent="0.3">
      <c r="A586" t="s">
        <v>596</v>
      </c>
      <c r="B586" s="2">
        <v>46017</v>
      </c>
      <c r="C586" t="s">
        <v>743</v>
      </c>
      <c r="D586" t="s">
        <v>785</v>
      </c>
      <c r="E586" t="s">
        <v>792</v>
      </c>
      <c r="F586" t="s">
        <v>798</v>
      </c>
      <c r="G586" t="s">
        <v>810</v>
      </c>
      <c r="H586">
        <v>4</v>
      </c>
      <c r="I586">
        <v>304.89</v>
      </c>
      <c r="J586">
        <v>0</v>
      </c>
      <c r="K586">
        <v>1219.56</v>
      </c>
      <c r="L586" t="s">
        <v>813</v>
      </c>
    </row>
    <row r="587" spans="1:12" x14ac:dyDescent="0.3">
      <c r="A587" t="s">
        <v>597</v>
      </c>
      <c r="B587" s="2">
        <v>46017</v>
      </c>
      <c r="C587" t="s">
        <v>649</v>
      </c>
      <c r="D587" t="s">
        <v>790</v>
      </c>
      <c r="E587" t="s">
        <v>796</v>
      </c>
      <c r="F587" t="s">
        <v>800</v>
      </c>
      <c r="G587" t="s">
        <v>810</v>
      </c>
      <c r="H587">
        <v>5</v>
      </c>
      <c r="I587">
        <v>683.16</v>
      </c>
      <c r="J587">
        <v>0.1</v>
      </c>
      <c r="K587">
        <v>3074.22</v>
      </c>
      <c r="L587" t="s">
        <v>813</v>
      </c>
    </row>
    <row r="588" spans="1:12" x14ac:dyDescent="0.3">
      <c r="A588" t="s">
        <v>598</v>
      </c>
      <c r="B588" s="2">
        <v>46017</v>
      </c>
      <c r="C588" t="s">
        <v>715</v>
      </c>
      <c r="D588" t="s">
        <v>785</v>
      </c>
      <c r="E588" t="s">
        <v>792</v>
      </c>
      <c r="F588" t="s">
        <v>803</v>
      </c>
      <c r="G588" t="s">
        <v>810</v>
      </c>
      <c r="H588">
        <v>4</v>
      </c>
      <c r="I588">
        <v>121.22</v>
      </c>
      <c r="J588">
        <v>0.1</v>
      </c>
      <c r="K588">
        <v>436.39</v>
      </c>
      <c r="L588" t="s">
        <v>813</v>
      </c>
    </row>
    <row r="589" spans="1:12" x14ac:dyDescent="0.3">
      <c r="A589" t="s">
        <v>599</v>
      </c>
      <c r="B589" s="2">
        <v>46017</v>
      </c>
      <c r="C589" t="s">
        <v>635</v>
      </c>
      <c r="D589" t="s">
        <v>790</v>
      </c>
      <c r="E589" t="s">
        <v>796</v>
      </c>
      <c r="F589" t="s">
        <v>805</v>
      </c>
      <c r="G589" t="s">
        <v>810</v>
      </c>
      <c r="H589">
        <v>2</v>
      </c>
      <c r="I589">
        <v>43.34</v>
      </c>
      <c r="J589">
        <v>0.05</v>
      </c>
      <c r="K589">
        <v>82.35</v>
      </c>
      <c r="L589" t="s">
        <v>816</v>
      </c>
    </row>
    <row r="590" spans="1:12" x14ac:dyDescent="0.3">
      <c r="A590" t="s">
        <v>600</v>
      </c>
      <c r="B590" s="2">
        <v>46017</v>
      </c>
      <c r="C590" t="s">
        <v>757</v>
      </c>
      <c r="D590" t="s">
        <v>789</v>
      </c>
      <c r="E590" t="s">
        <v>792</v>
      </c>
      <c r="F590" t="s">
        <v>798</v>
      </c>
      <c r="G590" t="s">
        <v>810</v>
      </c>
      <c r="H590">
        <v>4</v>
      </c>
      <c r="I590">
        <v>326.43</v>
      </c>
      <c r="J590">
        <v>0.1</v>
      </c>
      <c r="K590">
        <v>1175.1500000000001</v>
      </c>
      <c r="L590" t="s">
        <v>815</v>
      </c>
    </row>
    <row r="591" spans="1:12" x14ac:dyDescent="0.3">
      <c r="A591" t="s">
        <v>601</v>
      </c>
      <c r="B591" s="2">
        <v>46018</v>
      </c>
      <c r="C591" t="s">
        <v>683</v>
      </c>
      <c r="D591" t="s">
        <v>789</v>
      </c>
      <c r="E591" t="s">
        <v>792</v>
      </c>
      <c r="F591" t="s">
        <v>802</v>
      </c>
      <c r="G591" t="s">
        <v>811</v>
      </c>
      <c r="H591">
        <v>4</v>
      </c>
      <c r="I591">
        <v>235.63</v>
      </c>
      <c r="J591">
        <v>0.1</v>
      </c>
      <c r="K591">
        <v>848.27</v>
      </c>
      <c r="L591" t="s">
        <v>816</v>
      </c>
    </row>
    <row r="592" spans="1:12" x14ac:dyDescent="0.3">
      <c r="A592" t="s">
        <v>602</v>
      </c>
      <c r="B592" s="2">
        <v>46018</v>
      </c>
      <c r="C592" t="s">
        <v>659</v>
      </c>
      <c r="D592" t="s">
        <v>785</v>
      </c>
      <c r="E592" t="s">
        <v>792</v>
      </c>
      <c r="F592" t="s">
        <v>799</v>
      </c>
      <c r="G592" t="s">
        <v>809</v>
      </c>
      <c r="H592">
        <v>6</v>
      </c>
      <c r="I592">
        <v>50.12</v>
      </c>
      <c r="J592">
        <v>0</v>
      </c>
      <c r="K592">
        <v>300.72000000000003</v>
      </c>
      <c r="L592" t="s">
        <v>814</v>
      </c>
    </row>
    <row r="593" spans="1:12" x14ac:dyDescent="0.3">
      <c r="A593" t="s">
        <v>603</v>
      </c>
      <c r="B593" s="2">
        <v>46019</v>
      </c>
      <c r="C593" t="s">
        <v>749</v>
      </c>
      <c r="D593" t="s">
        <v>788</v>
      </c>
      <c r="E593" t="s">
        <v>795</v>
      </c>
      <c r="F593" t="s">
        <v>798</v>
      </c>
      <c r="G593" t="s">
        <v>810</v>
      </c>
      <c r="H593">
        <v>4</v>
      </c>
      <c r="I593">
        <v>308.18</v>
      </c>
      <c r="J593">
        <v>0.15</v>
      </c>
      <c r="K593">
        <v>1047.81</v>
      </c>
      <c r="L593" t="s">
        <v>814</v>
      </c>
    </row>
    <row r="594" spans="1:12" x14ac:dyDescent="0.3">
      <c r="A594" t="s">
        <v>604</v>
      </c>
      <c r="B594" s="2">
        <v>46020</v>
      </c>
      <c r="C594" t="s">
        <v>780</v>
      </c>
      <c r="D594" t="s">
        <v>790</v>
      </c>
      <c r="E594" t="s">
        <v>796</v>
      </c>
      <c r="F594" t="s">
        <v>805</v>
      </c>
      <c r="G594" t="s">
        <v>810</v>
      </c>
      <c r="H594">
        <v>2</v>
      </c>
      <c r="I594">
        <v>47.59</v>
      </c>
      <c r="J594">
        <v>0.1</v>
      </c>
      <c r="K594">
        <v>85.66</v>
      </c>
      <c r="L594" t="s">
        <v>815</v>
      </c>
    </row>
    <row r="595" spans="1:12" x14ac:dyDescent="0.3">
      <c r="A595" t="s">
        <v>605</v>
      </c>
      <c r="B595" s="2">
        <v>46020</v>
      </c>
      <c r="C595" t="s">
        <v>782</v>
      </c>
      <c r="D595" t="s">
        <v>788</v>
      </c>
      <c r="E595" t="s">
        <v>795</v>
      </c>
      <c r="F595" t="s">
        <v>805</v>
      </c>
      <c r="G595" t="s">
        <v>810</v>
      </c>
      <c r="H595">
        <v>5</v>
      </c>
      <c r="I595">
        <v>45.75</v>
      </c>
      <c r="J595">
        <v>0.1</v>
      </c>
      <c r="K595">
        <v>205.88</v>
      </c>
      <c r="L595" t="s">
        <v>814</v>
      </c>
    </row>
    <row r="596" spans="1:12" x14ac:dyDescent="0.3">
      <c r="A596" t="s">
        <v>606</v>
      </c>
      <c r="B596" s="2">
        <v>46021</v>
      </c>
      <c r="C596" t="s">
        <v>647</v>
      </c>
      <c r="D596" t="s">
        <v>790</v>
      </c>
      <c r="E596" t="s">
        <v>796</v>
      </c>
      <c r="F596" t="s">
        <v>798</v>
      </c>
      <c r="G596" t="s">
        <v>810</v>
      </c>
      <c r="H596">
        <v>2</v>
      </c>
      <c r="I596">
        <v>298.85000000000002</v>
      </c>
      <c r="J596">
        <v>0.25</v>
      </c>
      <c r="K596">
        <v>448.28</v>
      </c>
      <c r="L596" t="s">
        <v>815</v>
      </c>
    </row>
    <row r="597" spans="1:12" x14ac:dyDescent="0.3">
      <c r="A597" t="s">
        <v>607</v>
      </c>
      <c r="B597" s="2">
        <v>46021</v>
      </c>
      <c r="C597" t="s">
        <v>674</v>
      </c>
      <c r="D597" t="s">
        <v>786</v>
      </c>
      <c r="E597" t="s">
        <v>793</v>
      </c>
      <c r="F597" t="s">
        <v>800</v>
      </c>
      <c r="G597" t="s">
        <v>810</v>
      </c>
      <c r="H597">
        <v>6</v>
      </c>
      <c r="I597">
        <v>677.33</v>
      </c>
      <c r="J597">
        <v>0.05</v>
      </c>
      <c r="K597">
        <v>3860.78</v>
      </c>
      <c r="L597" t="s">
        <v>815</v>
      </c>
    </row>
    <row r="598" spans="1:12" x14ac:dyDescent="0.3">
      <c r="A598" t="s">
        <v>608</v>
      </c>
      <c r="B598" s="2">
        <v>46021</v>
      </c>
      <c r="C598" t="s">
        <v>759</v>
      </c>
      <c r="D598" t="s">
        <v>785</v>
      </c>
      <c r="E598" t="s">
        <v>792</v>
      </c>
      <c r="F598" t="s">
        <v>807</v>
      </c>
      <c r="G598" t="s">
        <v>810</v>
      </c>
      <c r="H598">
        <v>8</v>
      </c>
      <c r="I598">
        <v>850.81</v>
      </c>
      <c r="J598">
        <v>0.15</v>
      </c>
      <c r="K598">
        <v>5785.51</v>
      </c>
      <c r="L598" t="s">
        <v>815</v>
      </c>
    </row>
    <row r="599" spans="1:12" x14ac:dyDescent="0.3">
      <c r="A599" t="s">
        <v>609</v>
      </c>
      <c r="B599" s="2">
        <v>46022</v>
      </c>
      <c r="C599" t="s">
        <v>784</v>
      </c>
      <c r="D599" t="s">
        <v>790</v>
      </c>
      <c r="E599" t="s">
        <v>796</v>
      </c>
      <c r="F599" t="s">
        <v>801</v>
      </c>
      <c r="G599" t="s">
        <v>811</v>
      </c>
      <c r="H599">
        <v>5</v>
      </c>
      <c r="I599">
        <v>15.74</v>
      </c>
      <c r="J599">
        <v>0.2</v>
      </c>
      <c r="K599">
        <v>62.96</v>
      </c>
      <c r="L599" t="s">
        <v>813</v>
      </c>
    </row>
    <row r="600" spans="1:12" x14ac:dyDescent="0.3">
      <c r="A600" t="s">
        <v>610</v>
      </c>
      <c r="B600" s="2">
        <v>46022</v>
      </c>
      <c r="C600" t="s">
        <v>709</v>
      </c>
      <c r="D600" t="s">
        <v>785</v>
      </c>
      <c r="E600" t="s">
        <v>792</v>
      </c>
      <c r="F600" t="s">
        <v>807</v>
      </c>
      <c r="G600" t="s">
        <v>810</v>
      </c>
      <c r="H600">
        <v>6</v>
      </c>
      <c r="I600">
        <v>959.71</v>
      </c>
      <c r="J600">
        <v>0.05</v>
      </c>
      <c r="K600">
        <v>5470.35</v>
      </c>
      <c r="L600" t="s">
        <v>815</v>
      </c>
    </row>
    <row r="601" spans="1:12" x14ac:dyDescent="0.3">
      <c r="A601" t="s">
        <v>611</v>
      </c>
      <c r="B601" s="2">
        <v>46022</v>
      </c>
      <c r="C601" t="s">
        <v>657</v>
      </c>
      <c r="D601" t="s">
        <v>790</v>
      </c>
      <c r="E601" t="s">
        <v>796</v>
      </c>
      <c r="F601" t="s">
        <v>801</v>
      </c>
      <c r="G601" t="s">
        <v>811</v>
      </c>
      <c r="H601">
        <v>2</v>
      </c>
      <c r="I601">
        <v>14.83</v>
      </c>
      <c r="J601">
        <v>0.15</v>
      </c>
      <c r="K601">
        <v>25.21</v>
      </c>
      <c r="L601" t="s">
        <v>815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129F-147F-498C-A3CF-407759A665B1}">
  <dimension ref="B2:T26"/>
  <sheetViews>
    <sheetView tabSelected="1" topLeftCell="G10" workbookViewId="0">
      <selection activeCell="S2" sqref="S2:T15"/>
    </sheetView>
  </sheetViews>
  <sheetFormatPr defaultRowHeight="14.4" x14ac:dyDescent="0.3"/>
  <cols>
    <col min="1" max="1" width="12.5546875" bestFit="1" customWidth="1"/>
    <col min="2" max="2" width="13.109375" bestFit="1" customWidth="1"/>
    <col min="3" max="3" width="11.6640625" bestFit="1" customWidth="1"/>
    <col min="4" max="4" width="18" bestFit="1" customWidth="1"/>
    <col min="5" max="6" width="11.6640625" bestFit="1" customWidth="1"/>
    <col min="10" max="10" width="18" bestFit="1" customWidth="1"/>
    <col min="11" max="12" width="11.6640625" bestFit="1" customWidth="1"/>
    <col min="19" max="19" width="12.5546875" bestFit="1" customWidth="1"/>
    <col min="20" max="20" width="11.6640625" bestFit="1" customWidth="1"/>
  </cols>
  <sheetData>
    <row r="2" spans="2:20" x14ac:dyDescent="0.3">
      <c r="B2" s="10" t="s">
        <v>841</v>
      </c>
      <c r="C2" t="s">
        <v>864</v>
      </c>
      <c r="J2" s="10" t="s">
        <v>841</v>
      </c>
      <c r="K2" t="s">
        <v>857</v>
      </c>
      <c r="S2" s="10" t="s">
        <v>841</v>
      </c>
      <c r="T2" t="s">
        <v>857</v>
      </c>
    </row>
    <row r="3" spans="2:20" x14ac:dyDescent="0.3">
      <c r="B3" s="14" t="s">
        <v>859</v>
      </c>
      <c r="C3" s="12">
        <v>261572.32999999996</v>
      </c>
      <c r="J3" s="11" t="s">
        <v>812</v>
      </c>
      <c r="K3" s="12">
        <v>15498.76</v>
      </c>
      <c r="S3" s="11" t="s">
        <v>808</v>
      </c>
      <c r="T3" s="12">
        <v>15498.76</v>
      </c>
    </row>
    <row r="4" spans="2:20" x14ac:dyDescent="0.3">
      <c r="B4" s="14" t="s">
        <v>860</v>
      </c>
      <c r="C4" s="12">
        <v>238609.90000000026</v>
      </c>
      <c r="J4" s="11" t="s">
        <v>810</v>
      </c>
      <c r="K4" s="12">
        <v>428836.37000000064</v>
      </c>
      <c r="S4" s="11" t="s">
        <v>804</v>
      </c>
      <c r="T4" s="12">
        <v>89391.410000000018</v>
      </c>
    </row>
    <row r="5" spans="2:20" x14ac:dyDescent="0.3">
      <c r="B5" s="14" t="s">
        <v>861</v>
      </c>
      <c r="C5" s="12">
        <v>110470.35</v>
      </c>
      <c r="J5" s="11" t="s">
        <v>809</v>
      </c>
      <c r="K5" s="12">
        <v>139730.41999999995</v>
      </c>
      <c r="S5" s="11" t="s">
        <v>799</v>
      </c>
      <c r="T5" s="12">
        <v>9859.8100000000013</v>
      </c>
    </row>
    <row r="6" spans="2:20" x14ac:dyDescent="0.3">
      <c r="B6" s="14" t="s">
        <v>862</v>
      </c>
      <c r="C6" s="12">
        <v>22242.850000000002</v>
      </c>
      <c r="J6" s="11" t="s">
        <v>811</v>
      </c>
      <c r="K6" s="12">
        <v>49068.82</v>
      </c>
      <c r="S6" s="11" t="s">
        <v>803</v>
      </c>
      <c r="T6" s="12">
        <v>20077.22</v>
      </c>
    </row>
    <row r="7" spans="2:20" x14ac:dyDescent="0.3">
      <c r="B7" s="14" t="s">
        <v>863</v>
      </c>
      <c r="C7" s="12">
        <v>238.94</v>
      </c>
      <c r="J7" s="11" t="s">
        <v>842</v>
      </c>
      <c r="K7" s="12">
        <v>633134.37000000058</v>
      </c>
      <c r="S7" s="11" t="s">
        <v>806</v>
      </c>
      <c r="T7" s="12">
        <v>18372.990000000005</v>
      </c>
    </row>
    <row r="8" spans="2:20" x14ac:dyDescent="0.3">
      <c r="B8" s="15" t="s">
        <v>842</v>
      </c>
      <c r="C8" s="12">
        <v>633134.37000000011</v>
      </c>
      <c r="S8" s="11" t="s">
        <v>807</v>
      </c>
      <c r="T8" s="12">
        <v>213041.96000000002</v>
      </c>
    </row>
    <row r="9" spans="2:20" x14ac:dyDescent="0.3">
      <c r="S9" s="11" t="s">
        <v>798</v>
      </c>
      <c r="T9" s="12">
        <v>47402.130000000005</v>
      </c>
    </row>
    <row r="10" spans="2:20" x14ac:dyDescent="0.3">
      <c r="S10" s="11" t="s">
        <v>805</v>
      </c>
      <c r="T10" s="12">
        <v>10235.020000000002</v>
      </c>
    </row>
    <row r="11" spans="2:20" x14ac:dyDescent="0.3">
      <c r="S11" s="11" t="s">
        <v>801</v>
      </c>
      <c r="T11" s="12">
        <v>3384.57</v>
      </c>
    </row>
    <row r="12" spans="2:20" x14ac:dyDescent="0.3">
      <c r="S12" s="11" t="s">
        <v>797</v>
      </c>
      <c r="T12" s="12">
        <v>40479.200000000004</v>
      </c>
    </row>
    <row r="13" spans="2:20" x14ac:dyDescent="0.3">
      <c r="S13" s="11" t="s">
        <v>802</v>
      </c>
      <c r="T13" s="12">
        <v>45684.25</v>
      </c>
    </row>
    <row r="14" spans="2:20" x14ac:dyDescent="0.3">
      <c r="D14" s="10" t="s">
        <v>841</v>
      </c>
      <c r="E14" t="s">
        <v>857</v>
      </c>
      <c r="S14" s="11" t="s">
        <v>800</v>
      </c>
      <c r="T14" s="12">
        <v>119707.04999999999</v>
      </c>
    </row>
    <row r="15" spans="2:20" x14ac:dyDescent="0.3">
      <c r="D15" s="11" t="s">
        <v>794</v>
      </c>
      <c r="E15" s="12">
        <v>89362.259999999966</v>
      </c>
      <c r="S15" s="11" t="s">
        <v>842</v>
      </c>
      <c r="T15" s="12">
        <v>633134.37000000011</v>
      </c>
    </row>
    <row r="16" spans="2:20" x14ac:dyDescent="0.3">
      <c r="D16" s="13" t="s">
        <v>787</v>
      </c>
      <c r="E16" s="12">
        <v>89362.259999999966</v>
      </c>
    </row>
    <row r="17" spans="4:5" x14ac:dyDescent="0.3">
      <c r="D17" s="11" t="s">
        <v>793</v>
      </c>
      <c r="E17" s="12">
        <v>97654.689999999988</v>
      </c>
    </row>
    <row r="18" spans="4:5" x14ac:dyDescent="0.3">
      <c r="D18" s="13" t="s">
        <v>786</v>
      </c>
      <c r="E18" s="12">
        <v>97654.689999999988</v>
      </c>
    </row>
    <row r="19" spans="4:5" x14ac:dyDescent="0.3">
      <c r="D19" s="11" t="s">
        <v>796</v>
      </c>
      <c r="E19" s="12">
        <v>89176.930000000008</v>
      </c>
    </row>
    <row r="20" spans="4:5" x14ac:dyDescent="0.3">
      <c r="D20" s="13" t="s">
        <v>790</v>
      </c>
      <c r="E20" s="12">
        <v>89176.930000000008</v>
      </c>
    </row>
    <row r="21" spans="4:5" x14ac:dyDescent="0.3">
      <c r="D21" s="11" t="s">
        <v>795</v>
      </c>
      <c r="E21" s="12">
        <v>88607.2</v>
      </c>
    </row>
    <row r="22" spans="4:5" x14ac:dyDescent="0.3">
      <c r="D22" s="13" t="s">
        <v>788</v>
      </c>
      <c r="E22" s="12">
        <v>88607.2</v>
      </c>
    </row>
    <row r="23" spans="4:5" x14ac:dyDescent="0.3">
      <c r="D23" s="11" t="s">
        <v>792</v>
      </c>
      <c r="E23" s="12">
        <v>268333.28999999998</v>
      </c>
    </row>
    <row r="24" spans="4:5" x14ac:dyDescent="0.3">
      <c r="D24" s="13" t="s">
        <v>785</v>
      </c>
      <c r="E24" s="12">
        <v>128138.97</v>
      </c>
    </row>
    <row r="25" spans="4:5" x14ac:dyDescent="0.3">
      <c r="D25" s="13" t="s">
        <v>789</v>
      </c>
      <c r="E25" s="12">
        <v>140194.31999999998</v>
      </c>
    </row>
    <row r="26" spans="4:5" x14ac:dyDescent="0.3">
      <c r="D26" s="11" t="s">
        <v>842</v>
      </c>
      <c r="E26" s="12">
        <v>633134.36999999988</v>
      </c>
    </row>
  </sheetData>
  <phoneticPr fontId="4" type="noConversion"/>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5D0C-DB2F-4673-BD59-48C44EF5295B}">
  <dimension ref="A1:L602"/>
  <sheetViews>
    <sheetView topLeftCell="B2" workbookViewId="0">
      <selection activeCell="M590" sqref="M590"/>
    </sheetView>
  </sheetViews>
  <sheetFormatPr defaultRowHeight="14.4" x14ac:dyDescent="0.3"/>
  <cols>
    <col min="1" max="1" width="10.44140625" customWidth="1"/>
    <col min="2" max="2" width="18.109375" bestFit="1" customWidth="1"/>
    <col min="3" max="3" width="13.77734375" customWidth="1"/>
    <col min="4" max="4" width="14" bestFit="1" customWidth="1"/>
    <col min="5" max="5" width="13.6640625" bestFit="1" customWidth="1"/>
    <col min="6" max="6" width="12.109375" bestFit="1" customWidth="1"/>
    <col min="7" max="7" width="13.109375" bestFit="1" customWidth="1"/>
    <col min="8" max="8" width="12.77734375" bestFit="1" customWidth="1"/>
    <col min="9" max="9" width="14.109375" bestFit="1" customWidth="1"/>
    <col min="10" max="10" width="12.77734375" bestFit="1" customWidth="1"/>
    <col min="11" max="11" width="9.6640625" bestFit="1" customWidth="1"/>
    <col min="12" max="12" width="18.21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t="str">
        <f>TRIM(Raw_Data_Copy!A2)</f>
        <v>ORD-0557</v>
      </c>
      <c r="B2" s="2">
        <v>45658</v>
      </c>
      <c r="C2" t="str">
        <f>TRIM(Raw_Data_Copy!C2)</f>
        <v>CUST-0044</v>
      </c>
      <c r="D2" t="str">
        <f>PROPER(TRIM(Raw_Data_Copy!D2))</f>
        <v>Ghana</v>
      </c>
      <c r="E2" t="str">
        <f>PROPER(TRIM(Raw_Data_Copy!E2))</f>
        <v>West Africa</v>
      </c>
      <c r="F2" t="str">
        <f>PROPER(TRIM(Raw_Data_Copy!F2))</f>
        <v>Office Chair</v>
      </c>
      <c r="G2" t="str">
        <f>PROPER(TRIM(Raw_Data_Copy!G2))</f>
        <v>Furniture</v>
      </c>
      <c r="H2" t="str">
        <f>TRIM(Raw_Data_Copy!H2)</f>
        <v>6</v>
      </c>
      <c r="I2" t="str">
        <f>TRIM(Raw_Data_Copy!I2)</f>
        <v>222.25</v>
      </c>
      <c r="J2" t="str">
        <f>TRIM(Raw_Data_Copy!J2)</f>
        <v>0.1</v>
      </c>
      <c r="K2">
        <f>ROUND(Cleaned_data!$H2*Cleaned_data!$I2*(1-Cleaned_data!$J2),2)</f>
        <v>1200.1500000000001</v>
      </c>
      <c r="L2" t="str">
        <f>PROPER(TRIM(Raw_Data_Copy!L2))</f>
        <v>Bank Transfer</v>
      </c>
    </row>
    <row r="3" spans="1:12" x14ac:dyDescent="0.3">
      <c r="A3" t="str">
        <f>TRIM(Raw_Data_Copy!A3)</f>
        <v>ORD-0385</v>
      </c>
      <c r="B3" s="2">
        <v>45658</v>
      </c>
      <c r="C3" t="str">
        <f>TRIM(Raw_Data_Copy!C3)</f>
        <v>CUST-0143</v>
      </c>
      <c r="D3" t="str">
        <f>PROPER(TRIM(Raw_Data_Copy!D3))</f>
        <v>United Kingdom</v>
      </c>
      <c r="E3" t="str">
        <f>PROPER(TRIM(Raw_Data_Copy!E3))</f>
        <v>Europe</v>
      </c>
      <c r="F3" t="str">
        <f>PROPER(TRIM(Raw_Data_Copy!F3))</f>
        <v>Monitor</v>
      </c>
      <c r="G3" t="str">
        <f>PROPER(TRIM(Raw_Data_Copy!G3))</f>
        <v>Electronics</v>
      </c>
      <c r="H3" t="str">
        <f>TRIM(Raw_Data_Copy!H3)</f>
        <v>6</v>
      </c>
      <c r="I3" t="str">
        <f>TRIM(Raw_Data_Copy!I3)</f>
        <v>270.86</v>
      </c>
      <c r="J3" t="str">
        <f>TRIM(Raw_Data_Copy!J3)</f>
        <v>0.15</v>
      </c>
      <c r="K3">
        <f>ROUND(Cleaned_data!$H3*Cleaned_data!$I3*(1-Cleaned_data!$J3),2)</f>
        <v>1381.39</v>
      </c>
      <c r="L3" t="str">
        <f>PROPER(TRIM(Raw_Data_Copy!L3))</f>
        <v>Bank Transfer</v>
      </c>
    </row>
    <row r="4" spans="1:12" x14ac:dyDescent="0.3">
      <c r="A4" t="str">
        <f>TRIM(Raw_Data_Copy!A4)</f>
        <v>ORD-0510</v>
      </c>
      <c r="B4" s="2">
        <v>45659</v>
      </c>
      <c r="C4" t="str">
        <f>TRIM(Raw_Data_Copy!C4)</f>
        <v>CUST-0178</v>
      </c>
      <c r="D4" t="str">
        <f>PROPER(TRIM(Raw_Data_Copy!D4))</f>
        <v>Kenya</v>
      </c>
      <c r="E4" t="str">
        <f>PROPER(TRIM(Raw_Data_Copy!E4))</f>
        <v>East Africa</v>
      </c>
      <c r="F4" t="str">
        <f>PROPER(TRIM(Raw_Data_Copy!F4))</f>
        <v>Desk Lamp</v>
      </c>
      <c r="G4" t="str">
        <f>PROPER(TRIM(Raw_Data_Copy!G4))</f>
        <v>Furniture</v>
      </c>
      <c r="H4" t="str">
        <f>TRIM(Raw_Data_Copy!H4)</f>
        <v>2</v>
      </c>
      <c r="I4" t="str">
        <f>TRIM(Raw_Data_Copy!I4)</f>
        <v>55.08</v>
      </c>
      <c r="J4" t="str">
        <f>TRIM(Raw_Data_Copy!J4)</f>
        <v>0</v>
      </c>
      <c r="K4">
        <f>ROUND(Cleaned_data!$H4*Cleaned_data!$I4*(1-Cleaned_data!$J4),2)</f>
        <v>110.16</v>
      </c>
      <c r="L4" t="str">
        <f>PROPER(TRIM(Raw_Data_Copy!L4))</f>
        <v>Card</v>
      </c>
    </row>
    <row r="5" spans="1:12" x14ac:dyDescent="0.3">
      <c r="A5" t="str">
        <f>TRIM(Raw_Data_Copy!A5)</f>
        <v>ORD-0218</v>
      </c>
      <c r="B5" s="2">
        <v>45662</v>
      </c>
      <c r="C5" t="str">
        <f>TRIM(Raw_Data_Copy!C5)</f>
        <v>CUST-0086</v>
      </c>
      <c r="D5" t="str">
        <f>PROPER(TRIM(Raw_Data_Copy!D5))</f>
        <v>South Africa</v>
      </c>
      <c r="E5" t="str">
        <f>PROPER(TRIM(Raw_Data_Copy!E5))</f>
        <v>Southern Africa</v>
      </c>
      <c r="F5" t="str">
        <f>PROPER(TRIM(Raw_Data_Copy!F5))</f>
        <v>Smartphone</v>
      </c>
      <c r="G5" t="str">
        <f>PROPER(TRIM(Raw_Data_Copy!G5))</f>
        <v>Electronics</v>
      </c>
      <c r="H5" t="str">
        <f>TRIM(Raw_Data_Copy!H5)</f>
        <v>5</v>
      </c>
      <c r="I5" t="str">
        <f>TRIM(Raw_Data_Copy!I5)</f>
        <v>597.21</v>
      </c>
      <c r="J5" t="str">
        <f>TRIM(Raw_Data_Copy!J5)</f>
        <v>0.15</v>
      </c>
      <c r="K5">
        <f>ROUND(Cleaned_data!$H5*Cleaned_data!$I5*(1-Cleaned_data!$J5),2)</f>
        <v>2538.14</v>
      </c>
      <c r="L5" t="str">
        <f>PROPER(TRIM(Raw_Data_Copy!L5))</f>
        <v>Mobile Money</v>
      </c>
    </row>
    <row r="6" spans="1:12" x14ac:dyDescent="0.3">
      <c r="A6" t="str">
        <f>TRIM(Raw_Data_Copy!A6)</f>
        <v>ORD-0562</v>
      </c>
      <c r="B6" s="2">
        <v>45663</v>
      </c>
      <c r="C6" t="str">
        <f>TRIM(Raw_Data_Copy!C6)</f>
        <v>CUST-0147</v>
      </c>
      <c r="D6" t="str">
        <f>PROPER(TRIM(Raw_Data_Copy!D6))</f>
        <v>Nigeria</v>
      </c>
      <c r="E6" t="str">
        <f>PROPER(TRIM(Raw_Data_Copy!E6))</f>
        <v>West Africa</v>
      </c>
      <c r="F6" t="str">
        <f>PROPER(TRIM(Raw_Data_Copy!F6))</f>
        <v>Smartphone</v>
      </c>
      <c r="G6" t="str">
        <f>PROPER(TRIM(Raw_Data_Copy!G6))</f>
        <v>Electronics</v>
      </c>
      <c r="H6" t="str">
        <f>TRIM(Raw_Data_Copy!H6)</f>
        <v>7</v>
      </c>
      <c r="I6" t="str">
        <f>TRIM(Raw_Data_Copy!I6)</f>
        <v>590.39</v>
      </c>
      <c r="J6" t="str">
        <f>TRIM(Raw_Data_Copy!J6)</f>
        <v>0.15</v>
      </c>
      <c r="K6">
        <f>ROUND(Cleaned_data!$H6*Cleaned_data!$I6*(1-Cleaned_data!$J6),2)</f>
        <v>3512.82</v>
      </c>
      <c r="L6" t="str">
        <f>PROPER(TRIM(Raw_Data_Copy!L6))</f>
        <v>Mobile Money</v>
      </c>
    </row>
    <row r="7" spans="1:12" x14ac:dyDescent="0.3">
      <c r="A7" t="str">
        <f>TRIM(Raw_Data_Copy!A7)</f>
        <v>ORD-0263</v>
      </c>
      <c r="B7" s="2">
        <v>45664</v>
      </c>
      <c r="C7" t="str">
        <f>TRIM(Raw_Data_Copy!C7)</f>
        <v>CUST-0155</v>
      </c>
      <c r="D7" t="str">
        <f>PROPER(TRIM(Raw_Data_Copy!D7))</f>
        <v>Kenya</v>
      </c>
      <c r="E7" t="str">
        <f>PROPER(TRIM(Raw_Data_Copy!E7))</f>
        <v>East Africa</v>
      </c>
      <c r="F7" t="str">
        <f>PROPER(TRIM(Raw_Data_Copy!F7))</f>
        <v>Monitor</v>
      </c>
      <c r="G7" t="str">
        <f>PROPER(TRIM(Raw_Data_Copy!G7))</f>
        <v>Electronics</v>
      </c>
      <c r="H7" t="str">
        <f>TRIM(Raw_Data_Copy!H7)</f>
        <v>2</v>
      </c>
      <c r="I7" t="str">
        <f>TRIM(Raw_Data_Copy!I7)</f>
        <v>277.84</v>
      </c>
      <c r="J7" t="str">
        <f>TRIM(Raw_Data_Copy!J7)</f>
        <v>0.2</v>
      </c>
      <c r="K7">
        <f>ROUND(Cleaned_data!$H7*Cleaned_data!$I7*(1-Cleaned_data!$J7),2)</f>
        <v>444.54</v>
      </c>
      <c r="L7" t="str">
        <f>PROPER(TRIM(Raw_Data_Copy!L7))</f>
        <v>Mobile Money</v>
      </c>
    </row>
    <row r="8" spans="1:12" x14ac:dyDescent="0.3">
      <c r="A8" t="str">
        <f>TRIM(Raw_Data_Copy!A8)</f>
        <v>ORD-0089</v>
      </c>
      <c r="B8" s="2">
        <v>45665</v>
      </c>
      <c r="C8" t="str">
        <f>TRIM(Raw_Data_Copy!C8)</f>
        <v>CUST-0132</v>
      </c>
      <c r="D8" t="str">
        <f>PROPER(TRIM(Raw_Data_Copy!D8))</f>
        <v>South Africa</v>
      </c>
      <c r="E8" t="str">
        <f>PROPER(TRIM(Raw_Data_Copy!E8))</f>
        <v>Southern Africa</v>
      </c>
      <c r="F8" t="str">
        <f>PROPER(TRIM(Raw_Data_Copy!F8))</f>
        <v>Notebook</v>
      </c>
      <c r="G8" t="str">
        <f>PROPER(TRIM(Raw_Data_Copy!G8))</f>
        <v>Office Supplies</v>
      </c>
      <c r="H8" t="str">
        <f>TRIM(Raw_Data_Copy!H8)</f>
        <v>3</v>
      </c>
      <c r="I8" t="str">
        <f>TRIM(Raw_Data_Copy!I8)</f>
        <v>15.11</v>
      </c>
      <c r="J8" t="str">
        <f>TRIM(Raw_Data_Copy!J8)</f>
        <v>0.1</v>
      </c>
      <c r="K8">
        <f>ROUND(Cleaned_data!$H8*Cleaned_data!$I8*(1-Cleaned_data!$J8),2)</f>
        <v>40.799999999999997</v>
      </c>
      <c r="L8" t="str">
        <f>PROPER(TRIM(Raw_Data_Copy!L8))</f>
        <v>Mobile Money</v>
      </c>
    </row>
    <row r="9" spans="1:12" x14ac:dyDescent="0.3">
      <c r="A9" t="str">
        <f>TRIM(Raw_Data_Copy!A9)</f>
        <v>ORD-0530</v>
      </c>
      <c r="B9" s="2">
        <v>45665</v>
      </c>
      <c r="C9" t="str">
        <f>TRIM(Raw_Data_Copy!C9)</f>
        <v>CUST-0029</v>
      </c>
      <c r="D9" t="str">
        <f>PROPER(TRIM(Raw_Data_Copy!D9))</f>
        <v>United States</v>
      </c>
      <c r="E9" t="str">
        <f>PROPER(TRIM(Raw_Data_Copy!E9))</f>
        <v>North America</v>
      </c>
      <c r="F9" t="str">
        <f>PROPER(TRIM(Raw_Data_Copy!F9))</f>
        <v>Printer</v>
      </c>
      <c r="G9" t="str">
        <f>PROPER(TRIM(Raw_Data_Copy!G9))</f>
        <v>Office Supplies</v>
      </c>
      <c r="H9" t="str">
        <f>TRIM(Raw_Data_Copy!H9)</f>
        <v>3</v>
      </c>
      <c r="I9" t="str">
        <f>TRIM(Raw_Data_Copy!I9)</f>
        <v>254.64</v>
      </c>
      <c r="J9" t="str">
        <f>TRIM(Raw_Data_Copy!J9)</f>
        <v>0.05</v>
      </c>
      <c r="K9">
        <f>ROUND(Cleaned_data!$H9*Cleaned_data!$I9*(1-Cleaned_data!$J9),2)</f>
        <v>725.72</v>
      </c>
      <c r="L9" t="str">
        <f>PROPER(TRIM(Raw_Data_Copy!L9))</f>
        <v>Card</v>
      </c>
    </row>
    <row r="10" spans="1:12" x14ac:dyDescent="0.3">
      <c r="A10" t="str">
        <f>TRIM(Raw_Data_Copy!A10)</f>
        <v>ORD-0187</v>
      </c>
      <c r="B10" s="2">
        <v>45665</v>
      </c>
      <c r="C10" t="str">
        <f>TRIM(Raw_Data_Copy!C10)</f>
        <v>CUST-0079</v>
      </c>
      <c r="D10" t="str">
        <f>PROPER(TRIM(Raw_Data_Copy!D10))</f>
        <v>Kenya</v>
      </c>
      <c r="E10" t="str">
        <f>PROPER(TRIM(Raw_Data_Copy!E10))</f>
        <v>East Africa</v>
      </c>
      <c r="F10" t="str">
        <f>PROPER(TRIM(Raw_Data_Copy!F10))</f>
        <v>Notebook</v>
      </c>
      <c r="G10" t="str">
        <f>PROPER(TRIM(Raw_Data_Copy!G10))</f>
        <v>Office Supplies</v>
      </c>
      <c r="H10" t="str">
        <f>TRIM(Raw_Data_Copy!H10)</f>
        <v>8</v>
      </c>
      <c r="I10" t="str">
        <f>TRIM(Raw_Data_Copy!I10)</f>
        <v>13.98</v>
      </c>
      <c r="J10" t="str">
        <f>TRIM(Raw_Data_Copy!J10)</f>
        <v>0.05</v>
      </c>
      <c r="K10">
        <f>ROUND(Cleaned_data!$H10*Cleaned_data!$I10*(1-Cleaned_data!$J10),2)</f>
        <v>106.25</v>
      </c>
      <c r="L10" t="str">
        <f>PROPER(TRIM(Raw_Data_Copy!L10))</f>
        <v>Card</v>
      </c>
    </row>
    <row r="11" spans="1:12" x14ac:dyDescent="0.3">
      <c r="A11" t="str">
        <f>TRIM(Raw_Data_Copy!A11)</f>
        <v>ORD-0077</v>
      </c>
      <c r="B11" s="2">
        <v>45667</v>
      </c>
      <c r="C11" t="str">
        <f>TRIM(Raw_Data_Copy!C11)</f>
        <v>CUST-0056</v>
      </c>
      <c r="D11" t="str">
        <f>PROPER(TRIM(Raw_Data_Copy!D11))</f>
        <v>Ghana</v>
      </c>
      <c r="E11" t="str">
        <f>PROPER(TRIM(Raw_Data_Copy!E11))</f>
        <v>West Africa</v>
      </c>
      <c r="F11" t="str">
        <f>PROPER(TRIM(Raw_Data_Copy!F11))</f>
        <v>Headphones</v>
      </c>
      <c r="G11" t="str">
        <f>PROPER(TRIM(Raw_Data_Copy!G11))</f>
        <v>Electronics</v>
      </c>
      <c r="H11" t="str">
        <f>TRIM(Raw_Data_Copy!H11)</f>
        <v>5</v>
      </c>
      <c r="I11" t="str">
        <f>TRIM(Raw_Data_Copy!I11)</f>
        <v>130.57</v>
      </c>
      <c r="J11" t="str">
        <f>TRIM(Raw_Data_Copy!J11)</f>
        <v>0.1</v>
      </c>
      <c r="K11">
        <f>ROUND(Cleaned_data!$H11*Cleaned_data!$I11*(1-Cleaned_data!$J11),2)</f>
        <v>587.57000000000005</v>
      </c>
      <c r="L11" t="str">
        <f>PROPER(TRIM(Raw_Data_Copy!L11))</f>
        <v>Mobile Money</v>
      </c>
    </row>
    <row r="12" spans="1:12" x14ac:dyDescent="0.3">
      <c r="A12" t="str">
        <f>TRIM(Raw_Data_Copy!A12)</f>
        <v>ORD-0401</v>
      </c>
      <c r="B12" s="2">
        <v>45668</v>
      </c>
      <c r="C12" t="str">
        <f>TRIM(Raw_Data_Copy!C12)</f>
        <v>CUST-0017</v>
      </c>
      <c r="D12" t="str">
        <f>PROPER(TRIM(Raw_Data_Copy!D12))</f>
        <v>Ghana</v>
      </c>
      <c r="E12" t="str">
        <f>PROPER(TRIM(Raw_Data_Copy!E12))</f>
        <v>West Africa</v>
      </c>
      <c r="F12" t="str">
        <f>PROPER(TRIM(Raw_Data_Copy!F12))</f>
        <v>Desk</v>
      </c>
      <c r="G12" t="str">
        <f>PROPER(TRIM(Raw_Data_Copy!G12))</f>
        <v>Furniture</v>
      </c>
      <c r="H12" t="str">
        <f>TRIM(Raw_Data_Copy!H12)</f>
        <v>5</v>
      </c>
      <c r="I12" t="str">
        <f>TRIM(Raw_Data_Copy!I12)</f>
        <v>376.29</v>
      </c>
      <c r="J12" t="str">
        <f>TRIM(Raw_Data_Copy!J12)</f>
        <v>0</v>
      </c>
      <c r="K12">
        <f>ROUND(Cleaned_data!$H12*Cleaned_data!$I12*(1-Cleaned_data!$J12),2)</f>
        <v>1881.45</v>
      </c>
      <c r="L12" t="str">
        <f>PROPER(TRIM(Raw_Data_Copy!L12))</f>
        <v>Card</v>
      </c>
    </row>
    <row r="13" spans="1:12" x14ac:dyDescent="0.3">
      <c r="A13" t="str">
        <f>TRIM(Raw_Data_Copy!A13)</f>
        <v>ORD-0288</v>
      </c>
      <c r="B13" s="2">
        <v>45669</v>
      </c>
      <c r="C13" t="str">
        <f>TRIM(Raw_Data_Copy!C13)</f>
        <v>CUST-0014</v>
      </c>
      <c r="D13" t="str">
        <f>PROPER(TRIM(Raw_Data_Copy!D13))</f>
        <v>Nigeria</v>
      </c>
      <c r="E13" t="str">
        <f>PROPER(TRIM(Raw_Data_Copy!E13))</f>
        <v>West Africa</v>
      </c>
      <c r="F13" t="str">
        <f>PROPER(TRIM(Raw_Data_Copy!F13))</f>
        <v>Mouse</v>
      </c>
      <c r="G13" t="str">
        <f>PROPER(TRIM(Raw_Data_Copy!G13))</f>
        <v>Electronics</v>
      </c>
      <c r="H13" t="str">
        <f>TRIM(Raw_Data_Copy!H13)</f>
        <v>4</v>
      </c>
      <c r="I13" t="str">
        <f>TRIM(Raw_Data_Copy!I13)</f>
        <v>45.22</v>
      </c>
      <c r="J13" t="str">
        <f>TRIM(Raw_Data_Copy!J13)</f>
        <v>0.2</v>
      </c>
      <c r="K13">
        <f>ROUND(Cleaned_data!$H13*Cleaned_data!$I13*(1-Cleaned_data!$J13),2)</f>
        <v>144.69999999999999</v>
      </c>
      <c r="L13" t="str">
        <f>PROPER(TRIM(Raw_Data_Copy!L13))</f>
        <v>Bank Transfer</v>
      </c>
    </row>
    <row r="14" spans="1:12" x14ac:dyDescent="0.3">
      <c r="A14" t="str">
        <f>TRIM(Raw_Data_Copy!A14)</f>
        <v>ORD-0257</v>
      </c>
      <c r="B14" s="2">
        <v>45669</v>
      </c>
      <c r="C14" t="str">
        <f>TRIM(Raw_Data_Copy!C14)</f>
        <v>CUST-0032</v>
      </c>
      <c r="D14" t="str">
        <f>PROPER(TRIM(Raw_Data_Copy!D14))</f>
        <v>Nigeria</v>
      </c>
      <c r="E14" t="str">
        <f>PROPER(TRIM(Raw_Data_Copy!E14))</f>
        <v>West Africa</v>
      </c>
      <c r="F14" t="str">
        <f>PROPER(TRIM(Raw_Data_Copy!F14))</f>
        <v>Keyboard</v>
      </c>
      <c r="G14" t="str">
        <f>PROPER(TRIM(Raw_Data_Copy!G14))</f>
        <v>Electronics</v>
      </c>
      <c r="H14" t="str">
        <f>TRIM(Raw_Data_Copy!H14)</f>
        <v>5</v>
      </c>
      <c r="I14" t="str">
        <f>TRIM(Raw_Data_Copy!I14)</f>
        <v>72.41</v>
      </c>
      <c r="J14" t="str">
        <f>TRIM(Raw_Data_Copy!J14)</f>
        <v>0</v>
      </c>
      <c r="K14">
        <f>ROUND(Cleaned_data!$H14*Cleaned_data!$I14*(1-Cleaned_data!$J14),2)</f>
        <v>362.05</v>
      </c>
      <c r="L14" t="str">
        <f>PROPER(TRIM(Raw_Data_Copy!L14))</f>
        <v>Cash</v>
      </c>
    </row>
    <row r="15" spans="1:12" x14ac:dyDescent="0.3">
      <c r="A15" t="str">
        <f>TRIM(Raw_Data_Copy!A15)</f>
        <v>ORD-0377</v>
      </c>
      <c r="B15" s="2">
        <v>45669</v>
      </c>
      <c r="C15" t="str">
        <f>TRIM(Raw_Data_Copy!C15)</f>
        <v>CUST-0070</v>
      </c>
      <c r="D15" t="str">
        <f>PROPER(TRIM(Raw_Data_Copy!D15))</f>
        <v>United Kingdom</v>
      </c>
      <c r="E15" t="str">
        <f>PROPER(TRIM(Raw_Data_Copy!E15))</f>
        <v>Europe</v>
      </c>
      <c r="F15" t="str">
        <f>PROPER(TRIM(Raw_Data_Copy!F15))</f>
        <v>Monitor</v>
      </c>
      <c r="G15" t="str">
        <f>PROPER(TRIM(Raw_Data_Copy!G15))</f>
        <v>Electronics</v>
      </c>
      <c r="H15" t="str">
        <f>TRIM(Raw_Data_Copy!H15)</f>
        <v>4</v>
      </c>
      <c r="I15" t="str">
        <f>TRIM(Raw_Data_Copy!I15)</f>
        <v>273.46</v>
      </c>
      <c r="J15" t="str">
        <f>TRIM(Raw_Data_Copy!J15)</f>
        <v>0.15</v>
      </c>
      <c r="K15">
        <f>ROUND(Cleaned_data!$H15*Cleaned_data!$I15*(1-Cleaned_data!$J15),2)</f>
        <v>929.76</v>
      </c>
      <c r="L15" t="str">
        <f>PROPER(TRIM(Raw_Data_Copy!L15))</f>
        <v>Mobile Money</v>
      </c>
    </row>
    <row r="16" spans="1:12" x14ac:dyDescent="0.3">
      <c r="A16" t="str">
        <f>TRIM(Raw_Data_Copy!A16)</f>
        <v>ORD-0543</v>
      </c>
      <c r="B16" s="2">
        <v>45670</v>
      </c>
      <c r="C16" t="str">
        <f>TRIM(Raw_Data_Copy!C16)</f>
        <v>CUST-0081</v>
      </c>
      <c r="D16" t="str">
        <f>PROPER(TRIM(Raw_Data_Copy!D16))</f>
        <v>United States</v>
      </c>
      <c r="E16" t="str">
        <f>PROPER(TRIM(Raw_Data_Copy!E16))</f>
        <v>North America</v>
      </c>
      <c r="F16" t="str">
        <f>PROPER(TRIM(Raw_Data_Copy!F16))</f>
        <v>Laptop</v>
      </c>
      <c r="G16" t="str">
        <f>PROPER(TRIM(Raw_Data_Copy!G16))</f>
        <v>Electronics</v>
      </c>
      <c r="H16" t="str">
        <f>TRIM(Raw_Data_Copy!H16)</f>
        <v>7</v>
      </c>
      <c r="I16" t="str">
        <f>TRIM(Raw_Data_Copy!I16)</f>
        <v>845.86</v>
      </c>
      <c r="J16" t="str">
        <f>TRIM(Raw_Data_Copy!J16)</f>
        <v>0</v>
      </c>
      <c r="K16">
        <f>ROUND(Cleaned_data!$H16*Cleaned_data!$I16*(1-Cleaned_data!$J16),2)</f>
        <v>5921.02</v>
      </c>
      <c r="L16" t="str">
        <f>PROPER(TRIM(Raw_Data_Copy!L16))</f>
        <v>Card</v>
      </c>
    </row>
    <row r="17" spans="1:12" x14ac:dyDescent="0.3">
      <c r="A17" t="str">
        <f>TRIM(Raw_Data_Copy!A17)</f>
        <v>ORD-0265</v>
      </c>
      <c r="B17" s="2">
        <v>45670</v>
      </c>
      <c r="C17" t="str">
        <f>TRIM(Raw_Data_Copy!C17)</f>
        <v>CUST-0082</v>
      </c>
      <c r="D17" t="str">
        <f>PROPER(TRIM(Raw_Data_Copy!D17))</f>
        <v>Ghana</v>
      </c>
      <c r="E17" t="str">
        <f>PROPER(TRIM(Raw_Data_Copy!E17))</f>
        <v>West Africa</v>
      </c>
      <c r="F17" t="str">
        <f>PROPER(TRIM(Raw_Data_Copy!F17))</f>
        <v>Desk</v>
      </c>
      <c r="G17" t="str">
        <f>PROPER(TRIM(Raw_Data_Copy!G17))</f>
        <v>Furniture</v>
      </c>
      <c r="H17" t="str">
        <f>TRIM(Raw_Data_Copy!H17)</f>
        <v>2</v>
      </c>
      <c r="I17" t="str">
        <f>TRIM(Raw_Data_Copy!I17)</f>
        <v>362.67</v>
      </c>
      <c r="J17" t="str">
        <f>TRIM(Raw_Data_Copy!J17)</f>
        <v>0</v>
      </c>
      <c r="K17">
        <f>ROUND(Cleaned_data!$H17*Cleaned_data!$I17*(1-Cleaned_data!$J17),2)</f>
        <v>725.34</v>
      </c>
      <c r="L17" t="str">
        <f>PROPER(TRIM(Raw_Data_Copy!L17))</f>
        <v>Mobile Money</v>
      </c>
    </row>
    <row r="18" spans="1:12" x14ac:dyDescent="0.3">
      <c r="A18" t="str">
        <f>TRIM(Raw_Data_Copy!A18)</f>
        <v>ORD-0551</v>
      </c>
      <c r="B18" s="2">
        <v>45670</v>
      </c>
      <c r="C18" t="str">
        <f>TRIM(Raw_Data_Copy!C18)</f>
        <v>CUST-0045</v>
      </c>
      <c r="D18" t="str">
        <f>PROPER(TRIM(Raw_Data_Copy!D18))</f>
        <v>South Africa</v>
      </c>
      <c r="E18" t="str">
        <f>PROPER(TRIM(Raw_Data_Copy!E18))</f>
        <v>Southern Africa</v>
      </c>
      <c r="F18" t="str">
        <f>PROPER(TRIM(Raw_Data_Copy!F18))</f>
        <v>Mouse</v>
      </c>
      <c r="G18" t="str">
        <f>PROPER(TRIM(Raw_Data_Copy!G18))</f>
        <v>Electronics</v>
      </c>
      <c r="H18" t="str">
        <f>TRIM(Raw_Data_Copy!H18)</f>
        <v>7</v>
      </c>
      <c r="I18" t="str">
        <f>TRIM(Raw_Data_Copy!I18)</f>
        <v>42.46</v>
      </c>
      <c r="J18" t="str">
        <f>TRIM(Raw_Data_Copy!J18)</f>
        <v>0.2</v>
      </c>
      <c r="K18">
        <f>ROUND(Cleaned_data!$H18*Cleaned_data!$I18*(1-Cleaned_data!$J18),2)</f>
        <v>237.78</v>
      </c>
      <c r="L18" t="str">
        <f>PROPER(TRIM(Raw_Data_Copy!L18))</f>
        <v>Card</v>
      </c>
    </row>
    <row r="19" spans="1:12" x14ac:dyDescent="0.3">
      <c r="A19" t="str">
        <f>TRIM(Raw_Data_Copy!A19)</f>
        <v>ORD-0538</v>
      </c>
      <c r="B19" s="2">
        <v>45670</v>
      </c>
      <c r="C19" t="str">
        <f>TRIM(Raw_Data_Copy!C19)</f>
        <v>CUST-0036</v>
      </c>
      <c r="D19" t="str">
        <f>PROPER(TRIM(Raw_Data_Copy!D19))</f>
        <v>Ghana</v>
      </c>
      <c r="E19" t="str">
        <f>PROPER(TRIM(Raw_Data_Copy!E19))</f>
        <v>West Africa</v>
      </c>
      <c r="F19" t="str">
        <f>PROPER(TRIM(Raw_Data_Copy!F19))</f>
        <v>Keyboard</v>
      </c>
      <c r="G19" t="str">
        <f>PROPER(TRIM(Raw_Data_Copy!G19))</f>
        <v>Electronics</v>
      </c>
      <c r="H19" t="str">
        <f>TRIM(Raw_Data_Copy!H19)</f>
        <v>4</v>
      </c>
      <c r="I19" t="str">
        <f>TRIM(Raw_Data_Copy!I19)</f>
        <v>85.23</v>
      </c>
      <c r="J19" t="str">
        <f>TRIM(Raw_Data_Copy!J19)</f>
        <v>0.05</v>
      </c>
      <c r="K19">
        <f>ROUND(Cleaned_data!$H19*Cleaned_data!$I19*(1-Cleaned_data!$J19),2)</f>
        <v>323.87</v>
      </c>
      <c r="L19" t="str">
        <f>PROPER(TRIM(Raw_Data_Copy!L19))</f>
        <v>Card</v>
      </c>
    </row>
    <row r="20" spans="1:12" x14ac:dyDescent="0.3">
      <c r="A20" t="str">
        <f>TRIM(Raw_Data_Copy!A20)</f>
        <v>ORD-0095</v>
      </c>
      <c r="B20" s="2">
        <v>45671</v>
      </c>
      <c r="C20" t="str">
        <f>TRIM(Raw_Data_Copy!C20)</f>
        <v>CUST-0056</v>
      </c>
      <c r="D20" t="str">
        <f>PROPER(TRIM(Raw_Data_Copy!D20))</f>
        <v>Kenya</v>
      </c>
      <c r="E20" t="str">
        <f>PROPER(TRIM(Raw_Data_Copy!E20))</f>
        <v>East Africa</v>
      </c>
      <c r="F20" t="str">
        <f>PROPER(TRIM(Raw_Data_Copy!F20))</f>
        <v>Printer</v>
      </c>
      <c r="G20" t="str">
        <f>PROPER(TRIM(Raw_Data_Copy!G20))</f>
        <v>Office Supplies</v>
      </c>
      <c r="H20" t="str">
        <f>TRIM(Raw_Data_Copy!H20)</f>
        <v>4</v>
      </c>
      <c r="I20" t="str">
        <f>TRIM(Raw_Data_Copy!I20)</f>
        <v>243.45</v>
      </c>
      <c r="J20" t="str">
        <f>TRIM(Raw_Data_Copy!J20)</f>
        <v>0.1</v>
      </c>
      <c r="K20">
        <f>ROUND(Cleaned_data!$H20*Cleaned_data!$I20*(1-Cleaned_data!$J20),2)</f>
        <v>876.42</v>
      </c>
      <c r="L20" t="str">
        <f>PROPER(TRIM(Raw_Data_Copy!L20))</f>
        <v>Bank Transfer</v>
      </c>
    </row>
    <row r="21" spans="1:12" x14ac:dyDescent="0.3">
      <c r="A21" t="str">
        <f>TRIM(Raw_Data_Copy!A21)</f>
        <v>ORD-0393</v>
      </c>
      <c r="B21" s="2">
        <v>45671</v>
      </c>
      <c r="C21" t="str">
        <f>TRIM(Raw_Data_Copy!C21)</f>
        <v>CUST-0178</v>
      </c>
      <c r="D21" t="str">
        <f>PROPER(TRIM(Raw_Data_Copy!D21))</f>
        <v>United States</v>
      </c>
      <c r="E21" t="str">
        <f>PROPER(TRIM(Raw_Data_Copy!E21))</f>
        <v>North America</v>
      </c>
      <c r="F21" t="str">
        <f>PROPER(TRIM(Raw_Data_Copy!F21))</f>
        <v>Printer</v>
      </c>
      <c r="G21" t="str">
        <f>PROPER(TRIM(Raw_Data_Copy!G21))</f>
        <v>Office Supplies</v>
      </c>
      <c r="H21" t="str">
        <f>TRIM(Raw_Data_Copy!H21)</f>
        <v>2</v>
      </c>
      <c r="I21" t="str">
        <f>TRIM(Raw_Data_Copy!I21)</f>
        <v>266.07</v>
      </c>
      <c r="J21" t="str">
        <f>TRIM(Raw_Data_Copy!J21)</f>
        <v>0.1</v>
      </c>
      <c r="K21">
        <f>ROUND(Cleaned_data!$H21*Cleaned_data!$I21*(1-Cleaned_data!$J21),2)</f>
        <v>478.93</v>
      </c>
      <c r="L21" t="str">
        <f>PROPER(TRIM(Raw_Data_Copy!L21))</f>
        <v>Mobile Money</v>
      </c>
    </row>
    <row r="22" spans="1:12" x14ac:dyDescent="0.3">
      <c r="A22" t="str">
        <f>TRIM(Raw_Data_Copy!A22)</f>
        <v>ORD-0156</v>
      </c>
      <c r="B22" s="2">
        <v>45671</v>
      </c>
      <c r="C22" t="str">
        <f>TRIM(Raw_Data_Copy!C22)</f>
        <v>CUST-0159</v>
      </c>
      <c r="D22" t="str">
        <f>PROPER(TRIM(Raw_Data_Copy!D22))</f>
        <v>United Kingdom</v>
      </c>
      <c r="E22" t="str">
        <f>PROPER(TRIM(Raw_Data_Copy!E22))</f>
        <v>Europe</v>
      </c>
      <c r="F22" t="str">
        <f>PROPER(TRIM(Raw_Data_Copy!F22))</f>
        <v>Office Chair</v>
      </c>
      <c r="G22" t="str">
        <f>PROPER(TRIM(Raw_Data_Copy!G22))</f>
        <v>Furniture</v>
      </c>
      <c r="H22" t="str">
        <f>TRIM(Raw_Data_Copy!H22)</f>
        <v>7</v>
      </c>
      <c r="I22" t="str">
        <f>TRIM(Raw_Data_Copy!I22)</f>
        <v>218.03</v>
      </c>
      <c r="J22" t="str">
        <f>TRIM(Raw_Data_Copy!J22)</f>
        <v>0.1</v>
      </c>
      <c r="K22">
        <f>ROUND(Cleaned_data!$H22*Cleaned_data!$I22*(1-Cleaned_data!$J22),2)</f>
        <v>1373.59</v>
      </c>
      <c r="L22" t="str">
        <f>PROPER(TRIM(Raw_Data_Copy!L22))</f>
        <v>Mobile Money</v>
      </c>
    </row>
    <row r="23" spans="1:12" x14ac:dyDescent="0.3">
      <c r="A23" t="str">
        <f>TRIM(Raw_Data_Copy!A23)</f>
        <v>ORD-0199</v>
      </c>
      <c r="B23" s="2">
        <v>45671</v>
      </c>
      <c r="C23" t="str">
        <f>TRIM(Raw_Data_Copy!C23)</f>
        <v>CUST-0012</v>
      </c>
      <c r="D23" t="str">
        <f>PROPER(TRIM(Raw_Data_Copy!D23))</f>
        <v>South Africa</v>
      </c>
      <c r="E23" t="str">
        <f>PROPER(TRIM(Raw_Data_Copy!E23))</f>
        <v>Southern Africa</v>
      </c>
      <c r="F23" t="str">
        <f>PROPER(TRIM(Raw_Data_Copy!F23))</f>
        <v>Backpack</v>
      </c>
      <c r="G23" t="str">
        <f>PROPER(TRIM(Raw_Data_Copy!G23))</f>
        <v>Accessories</v>
      </c>
      <c r="H23" t="str">
        <f>TRIM(Raw_Data_Copy!H23)</f>
        <v>2</v>
      </c>
      <c r="I23" t="str">
        <f>TRIM(Raw_Data_Copy!I23)</f>
        <v>74.71</v>
      </c>
      <c r="J23" t="str">
        <f>TRIM(Raw_Data_Copy!J23)</f>
        <v>0</v>
      </c>
      <c r="K23">
        <f>ROUND(Cleaned_data!$H23*Cleaned_data!$I23*(1-Cleaned_data!$J23),2)</f>
        <v>149.41999999999999</v>
      </c>
      <c r="L23" t="str">
        <f>PROPER(TRIM(Raw_Data_Copy!L23))</f>
        <v>Card</v>
      </c>
    </row>
    <row r="24" spans="1:12" x14ac:dyDescent="0.3">
      <c r="A24" t="str">
        <f>TRIM(Raw_Data_Copy!A24)</f>
        <v>ORD-0010</v>
      </c>
      <c r="B24" s="2">
        <v>45672</v>
      </c>
      <c r="C24" t="str">
        <f>TRIM(Raw_Data_Copy!C24)</f>
        <v>CUST-0045</v>
      </c>
      <c r="D24" t="str">
        <f>PROPER(TRIM(Raw_Data_Copy!D24))</f>
        <v>United Kingdom</v>
      </c>
      <c r="E24" t="str">
        <f>PROPER(TRIM(Raw_Data_Copy!E24))</f>
        <v>Europe</v>
      </c>
      <c r="F24" t="str">
        <f>PROPER(TRIM(Raw_Data_Copy!F24))</f>
        <v>Printer</v>
      </c>
      <c r="G24" t="str">
        <f>PROPER(TRIM(Raw_Data_Copy!G24))</f>
        <v>Office Supplies</v>
      </c>
      <c r="H24" t="str">
        <f>TRIM(Raw_Data_Copy!H24)</f>
        <v>1</v>
      </c>
      <c r="I24" t="str">
        <f>TRIM(Raw_Data_Copy!I24)</f>
        <v>239.05</v>
      </c>
      <c r="J24" t="str">
        <f>TRIM(Raw_Data_Copy!J24)</f>
        <v>0.1</v>
      </c>
      <c r="K24">
        <f>ROUND(Cleaned_data!$H24*Cleaned_data!$I24*(1-Cleaned_data!$J24),2)</f>
        <v>215.15</v>
      </c>
      <c r="L24" t="str">
        <f>PROPER(TRIM(Raw_Data_Copy!L24))</f>
        <v>Card</v>
      </c>
    </row>
    <row r="25" spans="1:12" x14ac:dyDescent="0.3">
      <c r="A25" t="str">
        <f>TRIM(Raw_Data_Copy!A25)</f>
        <v>ORD-0404</v>
      </c>
      <c r="B25" s="2">
        <v>45673</v>
      </c>
      <c r="C25" t="str">
        <f>TRIM(Raw_Data_Copy!C25)</f>
        <v>CUST-0137</v>
      </c>
      <c r="D25" t="str">
        <f>PROPER(TRIM(Raw_Data_Copy!D25))</f>
        <v>Ghana</v>
      </c>
      <c r="E25" t="str">
        <f>PROPER(TRIM(Raw_Data_Copy!E25))</f>
        <v>West Africa</v>
      </c>
      <c r="F25" t="str">
        <f>PROPER(TRIM(Raw_Data_Copy!F25))</f>
        <v>Mouse</v>
      </c>
      <c r="G25" t="str">
        <f>PROPER(TRIM(Raw_Data_Copy!G25))</f>
        <v>Electronics</v>
      </c>
      <c r="H25" t="str">
        <f>TRIM(Raw_Data_Copy!H25)</f>
        <v>5</v>
      </c>
      <c r="I25" t="str">
        <f>TRIM(Raw_Data_Copy!I25)</f>
        <v>44.25</v>
      </c>
      <c r="J25" t="str">
        <f>TRIM(Raw_Data_Copy!J25)</f>
        <v>0.2</v>
      </c>
      <c r="K25">
        <f>ROUND(Cleaned_data!$H25*Cleaned_data!$I25*(1-Cleaned_data!$J25),2)</f>
        <v>177</v>
      </c>
      <c r="L25" t="str">
        <f>PROPER(TRIM(Raw_Data_Copy!L25))</f>
        <v>Bank Transfer</v>
      </c>
    </row>
    <row r="26" spans="1:12" x14ac:dyDescent="0.3">
      <c r="A26" t="str">
        <f>TRIM(Raw_Data_Copy!A26)</f>
        <v>ORD-0597</v>
      </c>
      <c r="B26" s="2">
        <v>45675</v>
      </c>
      <c r="C26" t="str">
        <f>TRIM(Raw_Data_Copy!C26)</f>
        <v>CUST-0113</v>
      </c>
      <c r="D26" t="str">
        <f>PROPER(TRIM(Raw_Data_Copy!D26))</f>
        <v>Kenya</v>
      </c>
      <c r="E26" t="str">
        <f>PROPER(TRIM(Raw_Data_Copy!E26))</f>
        <v>East Africa</v>
      </c>
      <c r="F26" t="str">
        <f>PROPER(TRIM(Raw_Data_Copy!F26))</f>
        <v>Printer</v>
      </c>
      <c r="G26" t="str">
        <f>PROPER(TRIM(Raw_Data_Copy!G26))</f>
        <v>Office Supplies</v>
      </c>
      <c r="H26" t="str">
        <f>TRIM(Raw_Data_Copy!H26)</f>
        <v>3</v>
      </c>
      <c r="I26" t="str">
        <f>TRIM(Raw_Data_Copy!I26)</f>
        <v>274.88</v>
      </c>
      <c r="J26" t="str">
        <f>TRIM(Raw_Data_Copy!J26)</f>
        <v>0</v>
      </c>
      <c r="K26">
        <f>ROUND(Cleaned_data!$H26*Cleaned_data!$I26*(1-Cleaned_data!$J26),2)</f>
        <v>824.64</v>
      </c>
      <c r="L26" t="str">
        <f>PROPER(TRIM(Raw_Data_Copy!L26))</f>
        <v>Mobile Money</v>
      </c>
    </row>
    <row r="27" spans="1:12" x14ac:dyDescent="0.3">
      <c r="A27" t="str">
        <f>TRIM(Raw_Data_Copy!A27)</f>
        <v>ORD-0542</v>
      </c>
      <c r="B27" s="2">
        <v>45675</v>
      </c>
      <c r="C27" t="str">
        <f>TRIM(Raw_Data_Copy!C27)</f>
        <v>CUST-0115</v>
      </c>
      <c r="D27" t="str">
        <f>PROPER(TRIM(Raw_Data_Copy!D27))</f>
        <v>South Africa</v>
      </c>
      <c r="E27" t="str">
        <f>PROPER(TRIM(Raw_Data_Copy!E27))</f>
        <v>Southern Africa</v>
      </c>
      <c r="F27" t="str">
        <f>PROPER(TRIM(Raw_Data_Copy!F27))</f>
        <v>Desk</v>
      </c>
      <c r="G27" t="str">
        <f>PROPER(TRIM(Raw_Data_Copy!G27))</f>
        <v>Furniture</v>
      </c>
      <c r="H27" t="str">
        <f>TRIM(Raw_Data_Copy!H27)</f>
        <v>8</v>
      </c>
      <c r="I27" t="str">
        <f>TRIM(Raw_Data_Copy!I27)</f>
        <v>340.47</v>
      </c>
      <c r="J27" t="str">
        <f>TRIM(Raw_Data_Copy!J27)</f>
        <v>0</v>
      </c>
      <c r="K27">
        <f>ROUND(Cleaned_data!$H27*Cleaned_data!$I27*(1-Cleaned_data!$J27),2)</f>
        <v>2723.76</v>
      </c>
      <c r="L27" t="str">
        <f>PROPER(TRIM(Raw_Data_Copy!L27))</f>
        <v>Card</v>
      </c>
    </row>
    <row r="28" spans="1:12" x14ac:dyDescent="0.3">
      <c r="A28" t="str">
        <f>TRIM(Raw_Data_Copy!A28)</f>
        <v>ORD-0241</v>
      </c>
      <c r="B28" s="2">
        <v>45676</v>
      </c>
      <c r="C28" t="str">
        <f>TRIM(Raw_Data_Copy!C28)</f>
        <v>CUST-0068</v>
      </c>
      <c r="D28" t="str">
        <f>PROPER(TRIM(Raw_Data_Copy!D28))</f>
        <v>Kenya</v>
      </c>
      <c r="E28" t="str">
        <f>PROPER(TRIM(Raw_Data_Copy!E28))</f>
        <v>East Africa</v>
      </c>
      <c r="F28" t="str">
        <f>PROPER(TRIM(Raw_Data_Copy!F28))</f>
        <v>Monitor</v>
      </c>
      <c r="G28" t="str">
        <f>PROPER(TRIM(Raw_Data_Copy!G28))</f>
        <v>Electronics</v>
      </c>
      <c r="H28" t="str">
        <f>TRIM(Raw_Data_Copy!H28)</f>
        <v>1</v>
      </c>
      <c r="I28" t="str">
        <f>TRIM(Raw_Data_Copy!I28)</f>
        <v>311.55</v>
      </c>
      <c r="J28" t="str">
        <f>TRIM(Raw_Data_Copy!J28)</f>
        <v>0.3</v>
      </c>
      <c r="K28">
        <f>ROUND(Cleaned_data!$H28*Cleaned_data!$I28*(1-Cleaned_data!$J28),2)</f>
        <v>218.09</v>
      </c>
      <c r="L28" t="str">
        <f>PROPER(TRIM(Raw_Data_Copy!L28))</f>
        <v>Card</v>
      </c>
    </row>
    <row r="29" spans="1:12" x14ac:dyDescent="0.3">
      <c r="A29" t="str">
        <f>TRIM(Raw_Data_Copy!A29)</f>
        <v>ORD-0352</v>
      </c>
      <c r="B29" s="2">
        <v>45676</v>
      </c>
      <c r="C29" t="str">
        <f>TRIM(Raw_Data_Copy!C29)</f>
        <v>CUST-0076</v>
      </c>
      <c r="D29" t="str">
        <f>PROPER(TRIM(Raw_Data_Copy!D29))</f>
        <v>Ghana</v>
      </c>
      <c r="E29" t="str">
        <f>PROPER(TRIM(Raw_Data_Copy!E29))</f>
        <v>West Africa</v>
      </c>
      <c r="F29" t="str">
        <f>PROPER(TRIM(Raw_Data_Copy!F29))</f>
        <v>Notebook</v>
      </c>
      <c r="G29" t="str">
        <f>PROPER(TRIM(Raw_Data_Copy!G29))</f>
        <v>Office Supplies</v>
      </c>
      <c r="H29" t="str">
        <f>TRIM(Raw_Data_Copy!H29)</f>
        <v>5</v>
      </c>
      <c r="I29" t="str">
        <f>TRIM(Raw_Data_Copy!I29)</f>
        <v>16.29</v>
      </c>
      <c r="J29" t="str">
        <f>TRIM(Raw_Data_Copy!J29)</f>
        <v>0</v>
      </c>
      <c r="K29">
        <f>ROUND(Cleaned_data!$H29*Cleaned_data!$I29*(1-Cleaned_data!$J29),2)</f>
        <v>81.45</v>
      </c>
      <c r="L29" t="str">
        <f>PROPER(TRIM(Raw_Data_Copy!L29))</f>
        <v>Card</v>
      </c>
    </row>
    <row r="30" spans="1:12" x14ac:dyDescent="0.3">
      <c r="A30" t="str">
        <f>TRIM(Raw_Data_Copy!A30)</f>
        <v>ORD-0493</v>
      </c>
      <c r="B30" s="2">
        <v>45676</v>
      </c>
      <c r="C30" t="str">
        <f>TRIM(Raw_Data_Copy!C30)</f>
        <v>CUST-0074</v>
      </c>
      <c r="D30" t="str">
        <f>PROPER(TRIM(Raw_Data_Copy!D30))</f>
        <v>Nigeria</v>
      </c>
      <c r="E30" t="str">
        <f>PROPER(TRIM(Raw_Data_Copy!E30))</f>
        <v>West Africa</v>
      </c>
      <c r="F30" t="str">
        <f>PROPER(TRIM(Raw_Data_Copy!F30))</f>
        <v>Desk Lamp</v>
      </c>
      <c r="G30" t="str">
        <f>PROPER(TRIM(Raw_Data_Copy!G30))</f>
        <v>Furniture</v>
      </c>
      <c r="H30" t="str">
        <f>TRIM(Raw_Data_Copy!H30)</f>
        <v>8</v>
      </c>
      <c r="I30" t="str">
        <f>TRIM(Raw_Data_Copy!I30)</f>
        <v>56.28</v>
      </c>
      <c r="J30" t="str">
        <f>TRIM(Raw_Data_Copy!J30)</f>
        <v>0.1</v>
      </c>
      <c r="K30">
        <f>ROUND(Cleaned_data!$H30*Cleaned_data!$I30*(1-Cleaned_data!$J30),2)</f>
        <v>405.22</v>
      </c>
      <c r="L30" t="str">
        <f>PROPER(TRIM(Raw_Data_Copy!L30))</f>
        <v>Card</v>
      </c>
    </row>
    <row r="31" spans="1:12" x14ac:dyDescent="0.3">
      <c r="A31" t="str">
        <f>TRIM(Raw_Data_Copy!A31)</f>
        <v>ORD-0284</v>
      </c>
      <c r="B31" s="2">
        <v>45676</v>
      </c>
      <c r="C31" t="str">
        <f>TRIM(Raw_Data_Copy!C31)</f>
        <v>CUST-0023</v>
      </c>
      <c r="D31" t="str">
        <f>PROPER(TRIM(Raw_Data_Copy!D31))</f>
        <v>United Kingdom</v>
      </c>
      <c r="E31" t="str">
        <f>PROPER(TRIM(Raw_Data_Copy!E31))</f>
        <v>Europe</v>
      </c>
      <c r="F31" t="str">
        <f>PROPER(TRIM(Raw_Data_Copy!F31))</f>
        <v>Notebook</v>
      </c>
      <c r="G31" t="str">
        <f>PROPER(TRIM(Raw_Data_Copy!G31))</f>
        <v>Office Supplies</v>
      </c>
      <c r="H31" t="str">
        <f>TRIM(Raw_Data_Copy!H31)</f>
        <v>5</v>
      </c>
      <c r="I31" t="str">
        <f>TRIM(Raw_Data_Copy!I31)</f>
        <v>15.27</v>
      </c>
      <c r="J31" t="str">
        <f>TRIM(Raw_Data_Copy!J31)</f>
        <v>0.1</v>
      </c>
      <c r="K31">
        <f>ROUND(Cleaned_data!$H31*Cleaned_data!$I31*(1-Cleaned_data!$J31),2)</f>
        <v>68.72</v>
      </c>
      <c r="L31" t="str">
        <f>PROPER(TRIM(Raw_Data_Copy!L31))</f>
        <v>Card</v>
      </c>
    </row>
    <row r="32" spans="1:12" x14ac:dyDescent="0.3">
      <c r="A32" t="str">
        <f>TRIM(Raw_Data_Copy!A32)</f>
        <v>ORD-0528</v>
      </c>
      <c r="B32" s="2">
        <v>45677</v>
      </c>
      <c r="C32" t="str">
        <f>TRIM(Raw_Data_Copy!C32)</f>
        <v>CUST-0166</v>
      </c>
      <c r="D32" t="str">
        <f>PROPER(TRIM(Raw_Data_Copy!D32))</f>
        <v>Ghana</v>
      </c>
      <c r="E32" t="str">
        <f>PROPER(TRIM(Raw_Data_Copy!E32))</f>
        <v>West Africa</v>
      </c>
      <c r="F32" t="str">
        <f>PROPER(TRIM(Raw_Data_Copy!F32))</f>
        <v>Laptop</v>
      </c>
      <c r="G32" t="str">
        <f>PROPER(TRIM(Raw_Data_Copy!G32))</f>
        <v>Electronics</v>
      </c>
      <c r="H32" t="str">
        <f>TRIM(Raw_Data_Copy!H32)</f>
        <v>7</v>
      </c>
      <c r="I32" t="str">
        <f>TRIM(Raw_Data_Copy!I32)</f>
        <v>840.86</v>
      </c>
      <c r="J32" t="str">
        <f>TRIM(Raw_Data_Copy!J32)</f>
        <v>0.1</v>
      </c>
      <c r="K32">
        <f>ROUND(Cleaned_data!$H32*Cleaned_data!$I32*(1-Cleaned_data!$J32),2)</f>
        <v>5297.42</v>
      </c>
      <c r="L32" t="str">
        <f>PROPER(TRIM(Raw_Data_Copy!L32))</f>
        <v>Mobile Money</v>
      </c>
    </row>
    <row r="33" spans="1:12" x14ac:dyDescent="0.3">
      <c r="A33" t="str">
        <f>TRIM(Raw_Data_Copy!A33)</f>
        <v>ORD-0105</v>
      </c>
      <c r="B33" s="2">
        <v>45677</v>
      </c>
      <c r="C33" t="str">
        <f>TRIM(Raw_Data_Copy!C33)</f>
        <v>CUST-0113</v>
      </c>
      <c r="D33" t="str">
        <f>PROPER(TRIM(Raw_Data_Copy!D33))</f>
        <v>United Kingdom</v>
      </c>
      <c r="E33" t="str">
        <f>PROPER(TRIM(Raw_Data_Copy!E33))</f>
        <v>Europe</v>
      </c>
      <c r="F33" t="str">
        <f>PROPER(TRIM(Raw_Data_Copy!F33))</f>
        <v>Desk</v>
      </c>
      <c r="G33" t="str">
        <f>PROPER(TRIM(Raw_Data_Copy!G33))</f>
        <v>Furniture</v>
      </c>
      <c r="H33" t="str">
        <f>TRIM(Raw_Data_Copy!H33)</f>
        <v>6</v>
      </c>
      <c r="I33" t="str">
        <f>TRIM(Raw_Data_Copy!I33)</f>
        <v>382.76</v>
      </c>
      <c r="J33" t="str">
        <f>TRIM(Raw_Data_Copy!J33)</f>
        <v>0.15</v>
      </c>
      <c r="K33">
        <f>ROUND(Cleaned_data!$H33*Cleaned_data!$I33*(1-Cleaned_data!$J33),2)</f>
        <v>1952.08</v>
      </c>
      <c r="L33" t="str">
        <f>PROPER(TRIM(Raw_Data_Copy!L33))</f>
        <v>Card</v>
      </c>
    </row>
    <row r="34" spans="1:12" x14ac:dyDescent="0.3">
      <c r="A34" t="str">
        <f>TRIM(Raw_Data_Copy!A34)</f>
        <v>ORD-0305</v>
      </c>
      <c r="B34" s="2">
        <v>45678</v>
      </c>
      <c r="C34" t="str">
        <f>TRIM(Raw_Data_Copy!C34)</f>
        <v>CUST-0178</v>
      </c>
      <c r="D34" t="str">
        <f>PROPER(TRIM(Raw_Data_Copy!D34))</f>
        <v>Ghana</v>
      </c>
      <c r="E34" t="str">
        <f>PROPER(TRIM(Raw_Data_Copy!E34))</f>
        <v>West Africa</v>
      </c>
      <c r="F34" t="str">
        <f>PROPER(TRIM(Raw_Data_Copy!F34))</f>
        <v>Office Chair</v>
      </c>
      <c r="G34" t="str">
        <f>PROPER(TRIM(Raw_Data_Copy!G34))</f>
        <v>Furniture</v>
      </c>
      <c r="H34" t="str">
        <f>TRIM(Raw_Data_Copy!H34)</f>
        <v>8</v>
      </c>
      <c r="I34" t="str">
        <f>TRIM(Raw_Data_Copy!I34)</f>
        <v>200.05</v>
      </c>
      <c r="J34" t="str">
        <f>TRIM(Raw_Data_Copy!J34)</f>
        <v>0.15</v>
      </c>
      <c r="K34">
        <f>ROUND(Cleaned_data!$H34*Cleaned_data!$I34*(1-Cleaned_data!$J34),2)</f>
        <v>1360.34</v>
      </c>
      <c r="L34" t="str">
        <f>PROPER(TRIM(Raw_Data_Copy!L34))</f>
        <v>Mobile Money</v>
      </c>
    </row>
    <row r="35" spans="1:12" x14ac:dyDescent="0.3">
      <c r="A35" t="str">
        <f>TRIM(Raw_Data_Copy!A35)</f>
        <v>ORD-0372</v>
      </c>
      <c r="B35" s="2">
        <v>45678</v>
      </c>
      <c r="C35" t="str">
        <f>TRIM(Raw_Data_Copy!C35)</f>
        <v>CUST-0044</v>
      </c>
      <c r="D35" t="str">
        <f>PROPER(TRIM(Raw_Data_Copy!D35))</f>
        <v>Nigeria</v>
      </c>
      <c r="E35" t="str">
        <f>PROPER(TRIM(Raw_Data_Copy!E35))</f>
        <v>West Africa</v>
      </c>
      <c r="F35" t="str">
        <f>PROPER(TRIM(Raw_Data_Copy!F35))</f>
        <v>Smartphone</v>
      </c>
      <c r="G35" t="str">
        <f>PROPER(TRIM(Raw_Data_Copy!G35))</f>
        <v>Electronics</v>
      </c>
      <c r="H35" t="str">
        <f>TRIM(Raw_Data_Copy!H35)</f>
        <v>8</v>
      </c>
      <c r="I35" t="str">
        <f>TRIM(Raw_Data_Copy!I35)</f>
        <v>677.17</v>
      </c>
      <c r="J35" t="str">
        <f>TRIM(Raw_Data_Copy!J35)</f>
        <v>0</v>
      </c>
      <c r="K35">
        <f>ROUND(Cleaned_data!$H35*Cleaned_data!$I35*(1-Cleaned_data!$J35),2)</f>
        <v>5417.36</v>
      </c>
      <c r="L35" t="str">
        <f>PROPER(TRIM(Raw_Data_Copy!L35))</f>
        <v>Mobile Money</v>
      </c>
    </row>
    <row r="36" spans="1:12" x14ac:dyDescent="0.3">
      <c r="A36" t="str">
        <f>TRIM(Raw_Data_Copy!A36)</f>
        <v>ORD-0322</v>
      </c>
      <c r="B36" s="2">
        <v>45678</v>
      </c>
      <c r="C36" t="str">
        <f>TRIM(Raw_Data_Copy!C36)</f>
        <v>CUST-0158</v>
      </c>
      <c r="D36" t="str">
        <f>PROPER(TRIM(Raw_Data_Copy!D36))</f>
        <v>United States</v>
      </c>
      <c r="E36" t="str">
        <f>PROPER(TRIM(Raw_Data_Copy!E36))</f>
        <v>North America</v>
      </c>
      <c r="F36" t="str">
        <f>PROPER(TRIM(Raw_Data_Copy!F36))</f>
        <v>Desk Lamp</v>
      </c>
      <c r="G36" t="str">
        <f>PROPER(TRIM(Raw_Data_Copy!G36))</f>
        <v>Furniture</v>
      </c>
      <c r="H36" t="str">
        <f>TRIM(Raw_Data_Copy!H36)</f>
        <v>3</v>
      </c>
      <c r="I36" t="str">
        <f>TRIM(Raw_Data_Copy!I36)</f>
        <v>55.06</v>
      </c>
      <c r="J36" t="str">
        <f>TRIM(Raw_Data_Copy!J36)</f>
        <v>0.25</v>
      </c>
      <c r="K36">
        <f>ROUND(Cleaned_data!$H36*Cleaned_data!$I36*(1-Cleaned_data!$J36),2)</f>
        <v>123.89</v>
      </c>
      <c r="L36" t="str">
        <f>PROPER(TRIM(Raw_Data_Copy!L36))</f>
        <v>Card</v>
      </c>
    </row>
    <row r="37" spans="1:12" x14ac:dyDescent="0.3">
      <c r="A37" t="str">
        <f>TRIM(Raw_Data_Copy!A37)</f>
        <v>ORD-0483</v>
      </c>
      <c r="B37" s="2">
        <v>45678</v>
      </c>
      <c r="C37" t="str">
        <f>TRIM(Raw_Data_Copy!C37)</f>
        <v>CUST-0109</v>
      </c>
      <c r="D37" t="str">
        <f>PROPER(TRIM(Raw_Data_Copy!D37))</f>
        <v>Nigeria</v>
      </c>
      <c r="E37" t="str">
        <f>PROPER(TRIM(Raw_Data_Copy!E37))</f>
        <v>West Africa</v>
      </c>
      <c r="F37" t="str">
        <f>PROPER(TRIM(Raw_Data_Copy!F37))</f>
        <v>Backpack</v>
      </c>
      <c r="G37" t="str">
        <f>PROPER(TRIM(Raw_Data_Copy!G37))</f>
        <v>Accessories</v>
      </c>
      <c r="H37" t="str">
        <f>TRIM(Raw_Data_Copy!H37)</f>
        <v>5</v>
      </c>
      <c r="I37" t="str">
        <f>TRIM(Raw_Data_Copy!I37)</f>
        <v>69.91</v>
      </c>
      <c r="J37" t="str">
        <f>TRIM(Raw_Data_Copy!J37)</f>
        <v>0</v>
      </c>
      <c r="K37">
        <f>ROUND(Cleaned_data!$H37*Cleaned_data!$I37*(1-Cleaned_data!$J37),2)</f>
        <v>349.55</v>
      </c>
      <c r="L37" t="str">
        <f>PROPER(TRIM(Raw_Data_Copy!L37))</f>
        <v>Card</v>
      </c>
    </row>
    <row r="38" spans="1:12" x14ac:dyDescent="0.3">
      <c r="A38" t="str">
        <f>TRIM(Raw_Data_Copy!A38)</f>
        <v>ORD-0456</v>
      </c>
      <c r="B38" s="2">
        <v>45679</v>
      </c>
      <c r="C38" t="str">
        <f>TRIM(Raw_Data_Copy!C38)</f>
        <v>CUST-0115</v>
      </c>
      <c r="D38" t="str">
        <f>PROPER(TRIM(Raw_Data_Copy!D38))</f>
        <v>Ghana</v>
      </c>
      <c r="E38" t="str">
        <f>PROPER(TRIM(Raw_Data_Copy!E38))</f>
        <v>West Africa</v>
      </c>
      <c r="F38" t="str">
        <f>PROPER(TRIM(Raw_Data_Copy!F38))</f>
        <v>Printer</v>
      </c>
      <c r="G38" t="str">
        <f>PROPER(TRIM(Raw_Data_Copy!G38))</f>
        <v>Office Supplies</v>
      </c>
      <c r="H38" t="str">
        <f>TRIM(Raw_Data_Copy!H38)</f>
        <v>1</v>
      </c>
      <c r="I38" t="str">
        <f>TRIM(Raw_Data_Copy!I38)</f>
        <v>232.86</v>
      </c>
      <c r="J38" t="str">
        <f>TRIM(Raw_Data_Copy!J38)</f>
        <v>0.05</v>
      </c>
      <c r="K38">
        <f>ROUND(Cleaned_data!$H38*Cleaned_data!$I38*(1-Cleaned_data!$J38),2)</f>
        <v>221.22</v>
      </c>
      <c r="L38" t="str">
        <f>PROPER(TRIM(Raw_Data_Copy!L38))</f>
        <v>Card</v>
      </c>
    </row>
    <row r="39" spans="1:12" x14ac:dyDescent="0.3">
      <c r="A39" t="str">
        <f>TRIM(Raw_Data_Copy!A39)</f>
        <v>ORD-0188</v>
      </c>
      <c r="B39" s="2">
        <v>45681</v>
      </c>
      <c r="C39" t="str">
        <f>TRIM(Raw_Data_Copy!C39)</f>
        <v>CUST-0060</v>
      </c>
      <c r="D39" t="str">
        <f>PROPER(TRIM(Raw_Data_Copy!D39))</f>
        <v>Kenya</v>
      </c>
      <c r="E39" t="str">
        <f>PROPER(TRIM(Raw_Data_Copy!E39))</f>
        <v>East Africa</v>
      </c>
      <c r="F39" t="str">
        <f>PROPER(TRIM(Raw_Data_Copy!F39))</f>
        <v>Smartphone</v>
      </c>
      <c r="G39" t="str">
        <f>PROPER(TRIM(Raw_Data_Copy!G39))</f>
        <v>Electronics</v>
      </c>
      <c r="H39" t="str">
        <f>TRIM(Raw_Data_Copy!H39)</f>
        <v>4</v>
      </c>
      <c r="I39" t="str">
        <f>TRIM(Raw_Data_Copy!I39)</f>
        <v>587.32</v>
      </c>
      <c r="J39" t="str">
        <f>TRIM(Raw_Data_Copy!J39)</f>
        <v>0.2</v>
      </c>
      <c r="K39">
        <f>ROUND(Cleaned_data!$H39*Cleaned_data!$I39*(1-Cleaned_data!$J39),2)</f>
        <v>1879.42</v>
      </c>
      <c r="L39" t="str">
        <f>PROPER(TRIM(Raw_Data_Copy!L39))</f>
        <v>Card</v>
      </c>
    </row>
    <row r="40" spans="1:12" x14ac:dyDescent="0.3">
      <c r="A40" t="str">
        <f>TRIM(Raw_Data_Copy!A40)</f>
        <v>ORD-0469</v>
      </c>
      <c r="B40" s="2">
        <v>45682</v>
      </c>
      <c r="C40" t="str">
        <f>TRIM(Raw_Data_Copy!C40)</f>
        <v>CUST-0028</v>
      </c>
      <c r="D40" t="str">
        <f>PROPER(TRIM(Raw_Data_Copy!D40))</f>
        <v>Ghana</v>
      </c>
      <c r="E40" t="str">
        <f>PROPER(TRIM(Raw_Data_Copy!E40))</f>
        <v>West Africa</v>
      </c>
      <c r="F40" t="str">
        <f>PROPER(TRIM(Raw_Data_Copy!F40))</f>
        <v>Headphones</v>
      </c>
      <c r="G40" t="str">
        <f>PROPER(TRIM(Raw_Data_Copy!G40))</f>
        <v>Electronics</v>
      </c>
      <c r="H40" t="str">
        <f>TRIM(Raw_Data_Copy!H40)</f>
        <v>8</v>
      </c>
      <c r="I40" t="str">
        <f>TRIM(Raw_Data_Copy!I40)</f>
        <v>108.16</v>
      </c>
      <c r="J40" t="str">
        <f>TRIM(Raw_Data_Copy!J40)</f>
        <v>0.15</v>
      </c>
      <c r="K40">
        <f>ROUND(Cleaned_data!$H40*Cleaned_data!$I40*(1-Cleaned_data!$J40),2)</f>
        <v>735.49</v>
      </c>
      <c r="L40" t="str">
        <f>PROPER(TRIM(Raw_Data_Copy!L40))</f>
        <v>Mobile Money</v>
      </c>
    </row>
    <row r="41" spans="1:12" x14ac:dyDescent="0.3">
      <c r="A41" t="str">
        <f>TRIM(Raw_Data_Copy!A41)</f>
        <v>ORD-0063</v>
      </c>
      <c r="B41" s="2">
        <v>45682</v>
      </c>
      <c r="C41" t="str">
        <f>TRIM(Raw_Data_Copy!C41)</f>
        <v>CUST-0180</v>
      </c>
      <c r="D41" t="str">
        <f>PROPER(TRIM(Raw_Data_Copy!D41))</f>
        <v>United States</v>
      </c>
      <c r="E41" t="str">
        <f>PROPER(TRIM(Raw_Data_Copy!E41))</f>
        <v>North America</v>
      </c>
      <c r="F41" t="str">
        <f>PROPER(TRIM(Raw_Data_Copy!F41))</f>
        <v>Office Chair</v>
      </c>
      <c r="G41" t="str">
        <f>PROPER(TRIM(Raw_Data_Copy!G41))</f>
        <v>Furniture</v>
      </c>
      <c r="H41" t="str">
        <f>TRIM(Raw_Data_Copy!H41)</f>
        <v>3</v>
      </c>
      <c r="I41" t="str">
        <f>TRIM(Raw_Data_Copy!I41)</f>
        <v>219.69</v>
      </c>
      <c r="J41" t="str">
        <f>TRIM(Raw_Data_Copy!J41)</f>
        <v>0</v>
      </c>
      <c r="K41">
        <f>ROUND(Cleaned_data!$H41*Cleaned_data!$I41*(1-Cleaned_data!$J41),2)</f>
        <v>659.07</v>
      </c>
      <c r="L41" t="str">
        <f>PROPER(TRIM(Raw_Data_Copy!L41))</f>
        <v>Card</v>
      </c>
    </row>
    <row r="42" spans="1:12" x14ac:dyDescent="0.3">
      <c r="A42" t="str">
        <f>TRIM(Raw_Data_Copy!A42)</f>
        <v>ORD-0256</v>
      </c>
      <c r="B42" s="2">
        <v>45682</v>
      </c>
      <c r="C42" t="str">
        <f>TRIM(Raw_Data_Copy!C42)</f>
        <v>CUST-0141</v>
      </c>
      <c r="D42" t="str">
        <f>PROPER(TRIM(Raw_Data_Copy!D42))</f>
        <v>Nigeria</v>
      </c>
      <c r="E42" t="str">
        <f>PROPER(TRIM(Raw_Data_Copy!E42))</f>
        <v>West Africa</v>
      </c>
      <c r="F42" t="str">
        <f>PROPER(TRIM(Raw_Data_Copy!F42))</f>
        <v>Laptop</v>
      </c>
      <c r="G42" t="str">
        <f>PROPER(TRIM(Raw_Data_Copy!G42))</f>
        <v>Electronics</v>
      </c>
      <c r="H42" t="str">
        <f>TRIM(Raw_Data_Copy!H42)</f>
        <v>6</v>
      </c>
      <c r="I42" t="str">
        <f>TRIM(Raw_Data_Copy!I42)</f>
        <v>971.69</v>
      </c>
      <c r="J42" t="str">
        <f>TRIM(Raw_Data_Copy!J42)</f>
        <v>0.2</v>
      </c>
      <c r="K42">
        <f>ROUND(Cleaned_data!$H42*Cleaned_data!$I42*(1-Cleaned_data!$J42),2)</f>
        <v>4664.1099999999997</v>
      </c>
      <c r="L42" t="str">
        <f>PROPER(TRIM(Raw_Data_Copy!L42))</f>
        <v>Card</v>
      </c>
    </row>
    <row r="43" spans="1:12" x14ac:dyDescent="0.3">
      <c r="A43" t="str">
        <f>TRIM(Raw_Data_Copy!A43)</f>
        <v>ORD-0235</v>
      </c>
      <c r="B43" s="2">
        <v>45683</v>
      </c>
      <c r="C43" t="str">
        <f>TRIM(Raw_Data_Copy!C43)</f>
        <v>CUST-0009</v>
      </c>
      <c r="D43" t="str">
        <f>PROPER(TRIM(Raw_Data_Copy!D43))</f>
        <v>Kenya</v>
      </c>
      <c r="E43" t="str">
        <f>PROPER(TRIM(Raw_Data_Copy!E43))</f>
        <v>East Africa</v>
      </c>
      <c r="F43" t="str">
        <f>PROPER(TRIM(Raw_Data_Copy!F43))</f>
        <v>Notebook</v>
      </c>
      <c r="G43" t="str">
        <f>PROPER(TRIM(Raw_Data_Copy!G43))</f>
        <v>Office Supplies</v>
      </c>
      <c r="H43" t="str">
        <f>TRIM(Raw_Data_Copy!H43)</f>
        <v>5</v>
      </c>
      <c r="I43" t="str">
        <f>TRIM(Raw_Data_Copy!I43)</f>
        <v>15.3</v>
      </c>
      <c r="J43" t="str">
        <f>TRIM(Raw_Data_Copy!J43)</f>
        <v>0.2</v>
      </c>
      <c r="K43">
        <f>ROUND(Cleaned_data!$H43*Cleaned_data!$I43*(1-Cleaned_data!$J43),2)</f>
        <v>61.2</v>
      </c>
      <c r="L43" t="str">
        <f>PROPER(TRIM(Raw_Data_Copy!L43))</f>
        <v>Bank Transfer</v>
      </c>
    </row>
    <row r="44" spans="1:12" x14ac:dyDescent="0.3">
      <c r="A44" t="str">
        <f>TRIM(Raw_Data_Copy!A44)</f>
        <v>ORD-0104</v>
      </c>
      <c r="B44" s="2">
        <v>45683</v>
      </c>
      <c r="C44" t="str">
        <f>TRIM(Raw_Data_Copy!C44)</f>
        <v>CUST-0179</v>
      </c>
      <c r="D44" t="str">
        <f>PROPER(TRIM(Raw_Data_Copy!D44))</f>
        <v>Kenya</v>
      </c>
      <c r="E44" t="str">
        <f>PROPER(TRIM(Raw_Data_Copy!E44))</f>
        <v>East Africa</v>
      </c>
      <c r="F44" t="str">
        <f>PROPER(TRIM(Raw_Data_Copy!F44))</f>
        <v>Backpack</v>
      </c>
      <c r="G44" t="str">
        <f>PROPER(TRIM(Raw_Data_Copy!G44))</f>
        <v>Accessories</v>
      </c>
      <c r="H44" t="str">
        <f>TRIM(Raw_Data_Copy!H44)</f>
        <v>3</v>
      </c>
      <c r="I44" t="str">
        <f>TRIM(Raw_Data_Copy!I44)</f>
        <v>79.81</v>
      </c>
      <c r="J44" t="str">
        <f>TRIM(Raw_Data_Copy!J44)</f>
        <v>0.15</v>
      </c>
      <c r="K44">
        <f>ROUND(Cleaned_data!$H44*Cleaned_data!$I44*(1-Cleaned_data!$J44),2)</f>
        <v>203.52</v>
      </c>
      <c r="L44" t="str">
        <f>PROPER(TRIM(Raw_Data_Copy!L44))</f>
        <v>Mobile Money</v>
      </c>
    </row>
    <row r="45" spans="1:12" x14ac:dyDescent="0.3">
      <c r="A45" t="str">
        <f>TRIM(Raw_Data_Copy!A45)</f>
        <v>ORD-0357</v>
      </c>
      <c r="B45" s="2">
        <v>45685</v>
      </c>
      <c r="C45" t="str">
        <f>TRIM(Raw_Data_Copy!C45)</f>
        <v>CUST-0003</v>
      </c>
      <c r="D45" t="str">
        <f>PROPER(TRIM(Raw_Data_Copy!D45))</f>
        <v>South Africa</v>
      </c>
      <c r="E45" t="str">
        <f>PROPER(TRIM(Raw_Data_Copy!E45))</f>
        <v>Southern Africa</v>
      </c>
      <c r="F45" t="str">
        <f>PROPER(TRIM(Raw_Data_Copy!F45))</f>
        <v>Printer</v>
      </c>
      <c r="G45" t="str">
        <f>PROPER(TRIM(Raw_Data_Copy!G45))</f>
        <v>Office Supplies</v>
      </c>
      <c r="H45" t="str">
        <f>TRIM(Raw_Data_Copy!H45)</f>
        <v>6</v>
      </c>
      <c r="I45" t="str">
        <f>TRIM(Raw_Data_Copy!I45)</f>
        <v>256.8</v>
      </c>
      <c r="J45" t="str">
        <f>TRIM(Raw_Data_Copy!J45)</f>
        <v>0.25</v>
      </c>
      <c r="K45">
        <f>ROUND(Cleaned_data!$H45*Cleaned_data!$I45*(1-Cleaned_data!$J45),2)</f>
        <v>1155.5999999999999</v>
      </c>
      <c r="L45" t="str">
        <f>PROPER(TRIM(Raw_Data_Copy!L45))</f>
        <v>Mobile Money</v>
      </c>
    </row>
    <row r="46" spans="1:12" x14ac:dyDescent="0.3">
      <c r="A46" t="str">
        <f>TRIM(Raw_Data_Copy!A46)</f>
        <v>ORD-0012</v>
      </c>
      <c r="B46" s="2">
        <v>45685</v>
      </c>
      <c r="C46" t="str">
        <f>TRIM(Raw_Data_Copy!C46)</f>
        <v>CUST-0135</v>
      </c>
      <c r="D46" t="str">
        <f>PROPER(TRIM(Raw_Data_Copy!D46))</f>
        <v>South Africa</v>
      </c>
      <c r="E46" t="str">
        <f>PROPER(TRIM(Raw_Data_Copy!E46))</f>
        <v>Southern Africa</v>
      </c>
      <c r="F46" t="str">
        <f>PROPER(TRIM(Raw_Data_Copy!F46))</f>
        <v>Headphones</v>
      </c>
      <c r="G46" t="str">
        <f>PROPER(TRIM(Raw_Data_Copy!G46))</f>
        <v>Electronics</v>
      </c>
      <c r="H46" t="str">
        <f>TRIM(Raw_Data_Copy!H46)</f>
        <v>1</v>
      </c>
      <c r="I46" t="str">
        <f>TRIM(Raw_Data_Copy!I46)</f>
        <v>122.54</v>
      </c>
      <c r="J46" t="str">
        <f>TRIM(Raw_Data_Copy!J46)</f>
        <v>0.25</v>
      </c>
      <c r="K46">
        <f>ROUND(Cleaned_data!$H46*Cleaned_data!$I46*(1-Cleaned_data!$J46),2)</f>
        <v>91.91</v>
      </c>
      <c r="L46" t="str">
        <f>PROPER(TRIM(Raw_Data_Copy!L46))</f>
        <v>Mobile Money</v>
      </c>
    </row>
    <row r="47" spans="1:12" x14ac:dyDescent="0.3">
      <c r="A47" t="str">
        <f>TRIM(Raw_Data_Copy!A47)</f>
        <v>ORD-0181</v>
      </c>
      <c r="B47" s="2">
        <v>45686</v>
      </c>
      <c r="C47" t="str">
        <f>TRIM(Raw_Data_Copy!C47)</f>
        <v>CUST-0139</v>
      </c>
      <c r="D47" t="str">
        <f>PROPER(TRIM(Raw_Data_Copy!D47))</f>
        <v>United States</v>
      </c>
      <c r="E47" t="str">
        <f>PROPER(TRIM(Raw_Data_Copy!E47))</f>
        <v>North America</v>
      </c>
      <c r="F47" t="str">
        <f>PROPER(TRIM(Raw_Data_Copy!F47))</f>
        <v>Desk Lamp</v>
      </c>
      <c r="G47" t="str">
        <f>PROPER(TRIM(Raw_Data_Copy!G47))</f>
        <v>Furniture</v>
      </c>
      <c r="H47" t="str">
        <f>TRIM(Raw_Data_Copy!H47)</f>
        <v>4</v>
      </c>
      <c r="I47" t="str">
        <f>TRIM(Raw_Data_Copy!I47)</f>
        <v>56.62</v>
      </c>
      <c r="J47" t="str">
        <f>TRIM(Raw_Data_Copy!J47)</f>
        <v>0.1</v>
      </c>
      <c r="K47">
        <f>ROUND(Cleaned_data!$H47*Cleaned_data!$I47*(1-Cleaned_data!$J47),2)</f>
        <v>203.83</v>
      </c>
      <c r="L47" t="str">
        <f>PROPER(TRIM(Raw_Data_Copy!L47))</f>
        <v>Card</v>
      </c>
    </row>
    <row r="48" spans="1:12" x14ac:dyDescent="0.3">
      <c r="A48" t="str">
        <f>TRIM(Raw_Data_Copy!A48)</f>
        <v>ORD-0521</v>
      </c>
      <c r="B48" s="2">
        <v>45686</v>
      </c>
      <c r="C48" t="str">
        <f>TRIM(Raw_Data_Copy!C48)</f>
        <v>CUST-0127</v>
      </c>
      <c r="D48" t="str">
        <f>PROPER(TRIM(Raw_Data_Copy!D48))</f>
        <v>United States</v>
      </c>
      <c r="E48" t="str">
        <f>PROPER(TRIM(Raw_Data_Copy!E48))</f>
        <v>North America</v>
      </c>
      <c r="F48" t="str">
        <f>PROPER(TRIM(Raw_Data_Copy!F48))</f>
        <v>Desk</v>
      </c>
      <c r="G48" t="str">
        <f>PROPER(TRIM(Raw_Data_Copy!G48))</f>
        <v>Furniture</v>
      </c>
      <c r="H48" t="str">
        <f>TRIM(Raw_Data_Copy!H48)</f>
        <v>5</v>
      </c>
      <c r="I48" t="str">
        <f>TRIM(Raw_Data_Copy!I48)</f>
        <v>343.16</v>
      </c>
      <c r="J48" t="str">
        <f>TRIM(Raw_Data_Copy!J48)</f>
        <v>0.1</v>
      </c>
      <c r="K48">
        <f>ROUND(Cleaned_data!$H48*Cleaned_data!$I48*(1-Cleaned_data!$J48),2)</f>
        <v>1544.22</v>
      </c>
      <c r="L48" t="str">
        <f>PROPER(TRIM(Raw_Data_Copy!L48))</f>
        <v>Card</v>
      </c>
    </row>
    <row r="49" spans="1:12" x14ac:dyDescent="0.3">
      <c r="A49" t="str">
        <f>TRIM(Raw_Data_Copy!A49)</f>
        <v>ORD-0579</v>
      </c>
      <c r="B49" s="2">
        <v>45688</v>
      </c>
      <c r="C49" t="str">
        <f>TRIM(Raw_Data_Copy!C49)</f>
        <v>CUST-0052</v>
      </c>
      <c r="D49" t="str">
        <f>PROPER(TRIM(Raw_Data_Copy!D49))</f>
        <v>United Kingdom</v>
      </c>
      <c r="E49" t="str">
        <f>PROPER(TRIM(Raw_Data_Copy!E49))</f>
        <v>Europe</v>
      </c>
      <c r="F49" t="str">
        <f>PROPER(TRIM(Raw_Data_Copy!F49))</f>
        <v>Monitor</v>
      </c>
      <c r="G49" t="str">
        <f>PROPER(TRIM(Raw_Data_Copy!G49))</f>
        <v>Electronics</v>
      </c>
      <c r="H49" t="str">
        <f>TRIM(Raw_Data_Copy!H49)</f>
        <v>7</v>
      </c>
      <c r="I49" t="str">
        <f>TRIM(Raw_Data_Copy!I49)</f>
        <v>316.92</v>
      </c>
      <c r="J49" t="str">
        <f>TRIM(Raw_Data_Copy!J49)</f>
        <v>0.05</v>
      </c>
      <c r="K49">
        <f>ROUND(Cleaned_data!$H49*Cleaned_data!$I49*(1-Cleaned_data!$J49),2)</f>
        <v>2107.52</v>
      </c>
      <c r="L49" t="str">
        <f>PROPER(TRIM(Raw_Data_Copy!L49))</f>
        <v>Card</v>
      </c>
    </row>
    <row r="50" spans="1:12" x14ac:dyDescent="0.3">
      <c r="A50" t="str">
        <f>TRIM(Raw_Data_Copy!A50)</f>
        <v>ORD-0302</v>
      </c>
      <c r="B50" s="2">
        <v>45688</v>
      </c>
      <c r="C50" t="str">
        <f>TRIM(Raw_Data_Copy!C50)</f>
        <v>CUST-0084</v>
      </c>
      <c r="D50" t="str">
        <f>PROPER(TRIM(Raw_Data_Copy!D50))</f>
        <v>United Kingdom</v>
      </c>
      <c r="E50" t="str">
        <f>PROPER(TRIM(Raw_Data_Copy!E50))</f>
        <v>Europe</v>
      </c>
      <c r="F50" t="str">
        <f>PROPER(TRIM(Raw_Data_Copy!F50))</f>
        <v>Backpack</v>
      </c>
      <c r="G50" t="str">
        <f>PROPER(TRIM(Raw_Data_Copy!G50))</f>
        <v>Accessories</v>
      </c>
      <c r="H50" t="str">
        <f>TRIM(Raw_Data_Copy!H50)</f>
        <v>1</v>
      </c>
      <c r="I50" t="str">
        <f>TRIM(Raw_Data_Copy!I50)</f>
        <v>69.88</v>
      </c>
      <c r="J50" t="str">
        <f>TRIM(Raw_Data_Copy!J50)</f>
        <v>0.15</v>
      </c>
      <c r="K50">
        <f>ROUND(Cleaned_data!$H50*Cleaned_data!$I50*(1-Cleaned_data!$J50),2)</f>
        <v>59.4</v>
      </c>
      <c r="L50" t="str">
        <f>PROPER(TRIM(Raw_Data_Copy!L50))</f>
        <v>Card</v>
      </c>
    </row>
    <row r="51" spans="1:12" x14ac:dyDescent="0.3">
      <c r="A51" t="str">
        <f>TRIM(Raw_Data_Copy!A51)</f>
        <v>ORD-0549</v>
      </c>
      <c r="B51" s="2">
        <v>45689</v>
      </c>
      <c r="C51" t="str">
        <f>TRIM(Raw_Data_Copy!C51)</f>
        <v>CUST-0099</v>
      </c>
      <c r="D51" t="str">
        <f>PROPER(TRIM(Raw_Data_Copy!D51))</f>
        <v>South Africa</v>
      </c>
      <c r="E51" t="str">
        <f>PROPER(TRIM(Raw_Data_Copy!E51))</f>
        <v>Southern Africa</v>
      </c>
      <c r="F51" t="str">
        <f>PROPER(TRIM(Raw_Data_Copy!F51))</f>
        <v>Backpack</v>
      </c>
      <c r="G51" t="str">
        <f>PROPER(TRIM(Raw_Data_Copy!G51))</f>
        <v>Accessories</v>
      </c>
      <c r="H51" t="str">
        <f>TRIM(Raw_Data_Copy!H51)</f>
        <v>8</v>
      </c>
      <c r="I51" t="str">
        <f>TRIM(Raw_Data_Copy!I51)</f>
        <v>75.88</v>
      </c>
      <c r="J51" t="str">
        <f>TRIM(Raw_Data_Copy!J51)</f>
        <v>0.05</v>
      </c>
      <c r="K51">
        <f>ROUND(Cleaned_data!$H51*Cleaned_data!$I51*(1-Cleaned_data!$J51),2)</f>
        <v>576.69000000000005</v>
      </c>
      <c r="L51" t="str">
        <f>PROPER(TRIM(Raw_Data_Copy!L51))</f>
        <v>Bank Transfer</v>
      </c>
    </row>
    <row r="52" spans="1:12" x14ac:dyDescent="0.3">
      <c r="A52" t="str">
        <f>TRIM(Raw_Data_Copy!A52)</f>
        <v>ORD-0340</v>
      </c>
      <c r="B52" s="2">
        <v>45692</v>
      </c>
      <c r="C52" t="str">
        <f>TRIM(Raw_Data_Copy!C52)</f>
        <v>CUST-0011</v>
      </c>
      <c r="D52" t="str">
        <f>PROPER(TRIM(Raw_Data_Copy!D52))</f>
        <v>United States</v>
      </c>
      <c r="E52" t="str">
        <f>PROPER(TRIM(Raw_Data_Copy!E52))</f>
        <v>North America</v>
      </c>
      <c r="F52" t="str">
        <f>PROPER(TRIM(Raw_Data_Copy!F52))</f>
        <v>Monitor</v>
      </c>
      <c r="G52" t="str">
        <f>PROPER(TRIM(Raw_Data_Copy!G52))</f>
        <v>Electronics</v>
      </c>
      <c r="H52" t="str">
        <f>TRIM(Raw_Data_Copy!H52)</f>
        <v>8</v>
      </c>
      <c r="I52" t="str">
        <f>TRIM(Raw_Data_Copy!I52)</f>
        <v>284.37</v>
      </c>
      <c r="J52" t="str">
        <f>TRIM(Raw_Data_Copy!J52)</f>
        <v>0.2</v>
      </c>
      <c r="K52">
        <f>ROUND(Cleaned_data!$H52*Cleaned_data!$I52*(1-Cleaned_data!$J52),2)</f>
        <v>1819.97</v>
      </c>
      <c r="L52" t="str">
        <f>PROPER(TRIM(Raw_Data_Copy!L52))</f>
        <v>Card</v>
      </c>
    </row>
    <row r="53" spans="1:12" x14ac:dyDescent="0.3">
      <c r="A53" t="str">
        <f>TRIM(Raw_Data_Copy!A53)</f>
        <v>ORD-0137</v>
      </c>
      <c r="B53" s="2">
        <v>45693</v>
      </c>
      <c r="C53" t="str">
        <f>TRIM(Raw_Data_Copy!C53)</f>
        <v>CUST-0029</v>
      </c>
      <c r="D53" t="str">
        <f>PROPER(TRIM(Raw_Data_Copy!D53))</f>
        <v>United States</v>
      </c>
      <c r="E53" t="str">
        <f>PROPER(TRIM(Raw_Data_Copy!E53))</f>
        <v>North America</v>
      </c>
      <c r="F53" t="str">
        <f>PROPER(TRIM(Raw_Data_Copy!F53))</f>
        <v>Monitor</v>
      </c>
      <c r="G53" t="str">
        <f>PROPER(TRIM(Raw_Data_Copy!G53))</f>
        <v>Electronics</v>
      </c>
      <c r="H53" t="str">
        <f>TRIM(Raw_Data_Copy!H53)</f>
        <v>2</v>
      </c>
      <c r="I53" t="str">
        <f>TRIM(Raw_Data_Copy!I53)</f>
        <v>275.13</v>
      </c>
      <c r="J53" t="str">
        <f>TRIM(Raw_Data_Copy!J53)</f>
        <v>0.05</v>
      </c>
      <c r="K53">
        <f>ROUND(Cleaned_data!$H53*Cleaned_data!$I53*(1-Cleaned_data!$J53),2)</f>
        <v>522.75</v>
      </c>
      <c r="L53" t="str">
        <f>PROPER(TRIM(Raw_Data_Copy!L53))</f>
        <v>Card</v>
      </c>
    </row>
    <row r="54" spans="1:12" x14ac:dyDescent="0.3">
      <c r="A54" t="str">
        <f>TRIM(Raw_Data_Copy!A54)</f>
        <v>ORD-0333</v>
      </c>
      <c r="B54" s="2">
        <v>45695</v>
      </c>
      <c r="C54" t="str">
        <f>TRIM(Raw_Data_Copy!C54)</f>
        <v>CUST-0142</v>
      </c>
      <c r="D54" t="str">
        <f>PROPER(TRIM(Raw_Data_Copy!D54))</f>
        <v>United States</v>
      </c>
      <c r="E54" t="str">
        <f>PROPER(TRIM(Raw_Data_Copy!E54))</f>
        <v>North America</v>
      </c>
      <c r="F54" t="str">
        <f>PROPER(TRIM(Raw_Data_Copy!F54))</f>
        <v>Notebook</v>
      </c>
      <c r="G54" t="str">
        <f>PROPER(TRIM(Raw_Data_Copy!G54))</f>
        <v>Office Supplies</v>
      </c>
      <c r="H54" t="str">
        <f>TRIM(Raw_Data_Copy!H54)</f>
        <v>3</v>
      </c>
      <c r="I54" t="str">
        <f>TRIM(Raw_Data_Copy!I54)</f>
        <v>15.18</v>
      </c>
      <c r="J54" t="str">
        <f>TRIM(Raw_Data_Copy!J54)</f>
        <v>0</v>
      </c>
      <c r="K54">
        <f>ROUND(Cleaned_data!$H54*Cleaned_data!$I54*(1-Cleaned_data!$J54),2)</f>
        <v>45.54</v>
      </c>
      <c r="L54" t="str">
        <f>PROPER(TRIM(Raw_Data_Copy!L54))</f>
        <v>Mobile Money</v>
      </c>
    </row>
    <row r="55" spans="1:12" x14ac:dyDescent="0.3">
      <c r="A55" t="str">
        <f>TRIM(Raw_Data_Copy!A55)</f>
        <v>ORD-0108</v>
      </c>
      <c r="B55" s="2">
        <v>45695</v>
      </c>
      <c r="C55" t="str">
        <f>TRIM(Raw_Data_Copy!C55)</f>
        <v>CUST-0163</v>
      </c>
      <c r="D55" t="str">
        <f>PROPER(TRIM(Raw_Data_Copy!D55))</f>
        <v>Nigeria</v>
      </c>
      <c r="E55" t="str">
        <f>PROPER(TRIM(Raw_Data_Copy!E55))</f>
        <v>West Africa</v>
      </c>
      <c r="F55" t="str">
        <f>PROPER(TRIM(Raw_Data_Copy!F55))</f>
        <v>Smartphone</v>
      </c>
      <c r="G55" t="str">
        <f>PROPER(TRIM(Raw_Data_Copy!G55))</f>
        <v>Electronics</v>
      </c>
      <c r="H55" t="str">
        <f>TRIM(Raw_Data_Copy!H55)</f>
        <v>4</v>
      </c>
      <c r="I55" t="str">
        <f>TRIM(Raw_Data_Copy!I55)</f>
        <v>618.1</v>
      </c>
      <c r="J55" t="str">
        <f>TRIM(Raw_Data_Copy!J55)</f>
        <v>0.15</v>
      </c>
      <c r="K55">
        <f>ROUND(Cleaned_data!$H55*Cleaned_data!$I55*(1-Cleaned_data!$J55),2)</f>
        <v>2101.54</v>
      </c>
      <c r="L55" t="str">
        <f>PROPER(TRIM(Raw_Data_Copy!L55))</f>
        <v>Bank Transfer</v>
      </c>
    </row>
    <row r="56" spans="1:12" x14ac:dyDescent="0.3">
      <c r="A56" t="str">
        <f>TRIM(Raw_Data_Copy!A56)</f>
        <v>ORD-0034</v>
      </c>
      <c r="B56" s="2">
        <v>45695</v>
      </c>
      <c r="C56" t="str">
        <f>TRIM(Raw_Data_Copy!C56)</f>
        <v>CUST-0109</v>
      </c>
      <c r="D56" t="str">
        <f>PROPER(TRIM(Raw_Data_Copy!D56))</f>
        <v>Nigeria</v>
      </c>
      <c r="E56" t="str">
        <f>PROPER(TRIM(Raw_Data_Copy!E56))</f>
        <v>West Africa</v>
      </c>
      <c r="F56" t="str">
        <f>PROPER(TRIM(Raw_Data_Copy!F56))</f>
        <v>Desk Lamp</v>
      </c>
      <c r="G56" t="str">
        <f>PROPER(TRIM(Raw_Data_Copy!G56))</f>
        <v>Furniture</v>
      </c>
      <c r="H56" t="str">
        <f>TRIM(Raw_Data_Copy!H56)</f>
        <v>3</v>
      </c>
      <c r="I56" t="str">
        <f>TRIM(Raw_Data_Copy!I56)</f>
        <v>53.54</v>
      </c>
      <c r="J56" t="str">
        <f>TRIM(Raw_Data_Copy!J56)</f>
        <v>0.05</v>
      </c>
      <c r="K56">
        <f>ROUND(Cleaned_data!$H56*Cleaned_data!$I56*(1-Cleaned_data!$J56),2)</f>
        <v>152.59</v>
      </c>
      <c r="L56" t="str">
        <f>PROPER(TRIM(Raw_Data_Copy!L56))</f>
        <v>Card</v>
      </c>
    </row>
    <row r="57" spans="1:12" x14ac:dyDescent="0.3">
      <c r="A57" t="str">
        <f>TRIM(Raw_Data_Copy!A57)</f>
        <v>ORD-0487</v>
      </c>
      <c r="B57" s="2">
        <v>45696</v>
      </c>
      <c r="C57" t="str">
        <f>TRIM(Raw_Data_Copy!C57)</f>
        <v>CUST-0150</v>
      </c>
      <c r="D57" t="str">
        <f>PROPER(TRIM(Raw_Data_Copy!D57))</f>
        <v>Nigeria</v>
      </c>
      <c r="E57" t="str">
        <f>PROPER(TRIM(Raw_Data_Copy!E57))</f>
        <v>West Africa</v>
      </c>
      <c r="F57" t="str">
        <f>PROPER(TRIM(Raw_Data_Copy!F57))</f>
        <v>Laptop</v>
      </c>
      <c r="G57" t="str">
        <f>PROPER(TRIM(Raw_Data_Copy!G57))</f>
        <v>Electronics</v>
      </c>
      <c r="H57" t="str">
        <f>TRIM(Raw_Data_Copy!H57)</f>
        <v>5</v>
      </c>
      <c r="I57" t="str">
        <f>TRIM(Raw_Data_Copy!I57)</f>
        <v>972.64</v>
      </c>
      <c r="J57" t="str">
        <f>TRIM(Raw_Data_Copy!J57)</f>
        <v>0</v>
      </c>
      <c r="K57">
        <f>ROUND(Cleaned_data!$H57*Cleaned_data!$I57*(1-Cleaned_data!$J57),2)</f>
        <v>4863.2</v>
      </c>
      <c r="L57" t="str">
        <f>PROPER(TRIM(Raw_Data_Copy!L57))</f>
        <v>Bank Transfer</v>
      </c>
    </row>
    <row r="58" spans="1:12" x14ac:dyDescent="0.3">
      <c r="A58" t="str">
        <f>TRIM(Raw_Data_Copy!A58)</f>
        <v>ORD-0280</v>
      </c>
      <c r="B58" s="2">
        <v>45696</v>
      </c>
      <c r="C58" t="str">
        <f>TRIM(Raw_Data_Copy!C58)</f>
        <v>CUST-0012</v>
      </c>
      <c r="D58" t="str">
        <f>PROPER(TRIM(Raw_Data_Copy!D58))</f>
        <v>Kenya</v>
      </c>
      <c r="E58" t="str">
        <f>PROPER(TRIM(Raw_Data_Copy!E58))</f>
        <v>East Africa</v>
      </c>
      <c r="F58" t="str">
        <f>PROPER(TRIM(Raw_Data_Copy!F58))</f>
        <v>Laptop</v>
      </c>
      <c r="G58" t="str">
        <f>PROPER(TRIM(Raw_Data_Copy!G58))</f>
        <v>Electronics</v>
      </c>
      <c r="H58" t="str">
        <f>TRIM(Raw_Data_Copy!H58)</f>
        <v>8</v>
      </c>
      <c r="I58" t="str">
        <f>TRIM(Raw_Data_Copy!I58)</f>
        <v>988.63</v>
      </c>
      <c r="J58" t="str">
        <f>TRIM(Raw_Data_Copy!J58)</f>
        <v>0.15</v>
      </c>
      <c r="K58">
        <f>ROUND(Cleaned_data!$H58*Cleaned_data!$I58*(1-Cleaned_data!$J58),2)</f>
        <v>6722.68</v>
      </c>
      <c r="L58" t="str">
        <f>PROPER(TRIM(Raw_Data_Copy!L58))</f>
        <v>Card</v>
      </c>
    </row>
    <row r="59" spans="1:12" x14ac:dyDescent="0.3">
      <c r="A59" t="str">
        <f>TRIM(Raw_Data_Copy!A59)</f>
        <v>ORD-0428</v>
      </c>
      <c r="B59" s="2">
        <v>45696</v>
      </c>
      <c r="C59" t="str">
        <f>TRIM(Raw_Data_Copy!C59)</f>
        <v>CUST-0081</v>
      </c>
      <c r="D59" t="str">
        <f>PROPER(TRIM(Raw_Data_Copy!D59))</f>
        <v>Ghana</v>
      </c>
      <c r="E59" t="str">
        <f>PROPER(TRIM(Raw_Data_Copy!E59))</f>
        <v>West Africa</v>
      </c>
      <c r="F59" t="str">
        <f>PROPER(TRIM(Raw_Data_Copy!F59))</f>
        <v>Keyboard</v>
      </c>
      <c r="G59" t="str">
        <f>PROPER(TRIM(Raw_Data_Copy!G59))</f>
        <v>Electronics</v>
      </c>
      <c r="H59" t="str">
        <f>TRIM(Raw_Data_Copy!H59)</f>
        <v>6</v>
      </c>
      <c r="I59" t="str">
        <f>TRIM(Raw_Data_Copy!I59)</f>
        <v>83.49</v>
      </c>
      <c r="J59" t="str">
        <f>TRIM(Raw_Data_Copy!J59)</f>
        <v>0.05</v>
      </c>
      <c r="K59">
        <f>ROUND(Cleaned_data!$H59*Cleaned_data!$I59*(1-Cleaned_data!$J59),2)</f>
        <v>475.89</v>
      </c>
      <c r="L59" t="str">
        <f>PROPER(TRIM(Raw_Data_Copy!L59))</f>
        <v>Mobile Money</v>
      </c>
    </row>
    <row r="60" spans="1:12" x14ac:dyDescent="0.3">
      <c r="A60" t="str">
        <f>TRIM(Raw_Data_Copy!A60)</f>
        <v>ORD-0064</v>
      </c>
      <c r="B60" s="2">
        <v>45699</v>
      </c>
      <c r="C60" t="str">
        <f>TRIM(Raw_Data_Copy!C60)</f>
        <v>CUST-0167</v>
      </c>
      <c r="D60" t="str">
        <f>PROPER(TRIM(Raw_Data_Copy!D60))</f>
        <v>South Africa</v>
      </c>
      <c r="E60" t="str">
        <f>PROPER(TRIM(Raw_Data_Copy!E60))</f>
        <v>Southern Africa</v>
      </c>
      <c r="F60" t="str">
        <f>PROPER(TRIM(Raw_Data_Copy!F60))</f>
        <v>Office Chair</v>
      </c>
      <c r="G60" t="str">
        <f>PROPER(TRIM(Raw_Data_Copy!G60))</f>
        <v>Furniture</v>
      </c>
      <c r="H60" t="str">
        <f>TRIM(Raw_Data_Copy!H60)</f>
        <v>5</v>
      </c>
      <c r="I60" t="str">
        <f>TRIM(Raw_Data_Copy!I60)</f>
        <v>232.83</v>
      </c>
      <c r="J60" t="str">
        <f>TRIM(Raw_Data_Copy!J60)</f>
        <v>0.2</v>
      </c>
      <c r="K60">
        <f>ROUND(Cleaned_data!$H60*Cleaned_data!$I60*(1-Cleaned_data!$J60),2)</f>
        <v>931.32</v>
      </c>
      <c r="L60" t="str">
        <f>PROPER(TRIM(Raw_Data_Copy!L60))</f>
        <v>Card</v>
      </c>
    </row>
    <row r="61" spans="1:12" x14ac:dyDescent="0.3">
      <c r="A61" t="str">
        <f>TRIM(Raw_Data_Copy!A61)</f>
        <v>ORD-0142</v>
      </c>
      <c r="B61" s="2">
        <v>45699</v>
      </c>
      <c r="C61" t="str">
        <f>TRIM(Raw_Data_Copy!C61)</f>
        <v>CUST-0100</v>
      </c>
      <c r="D61" t="str">
        <f>PROPER(TRIM(Raw_Data_Copy!D61))</f>
        <v>Ghana</v>
      </c>
      <c r="E61" t="str">
        <f>PROPER(TRIM(Raw_Data_Copy!E61))</f>
        <v>West Africa</v>
      </c>
      <c r="F61" t="str">
        <f>PROPER(TRIM(Raw_Data_Copy!F61))</f>
        <v>Smartphone</v>
      </c>
      <c r="G61" t="str">
        <f>PROPER(TRIM(Raw_Data_Copy!G61))</f>
        <v>Electronics</v>
      </c>
      <c r="H61" t="str">
        <f>TRIM(Raw_Data_Copy!H61)</f>
        <v>7</v>
      </c>
      <c r="I61" t="str">
        <f>TRIM(Raw_Data_Copy!I61)</f>
        <v>673.81</v>
      </c>
      <c r="J61" t="str">
        <f>TRIM(Raw_Data_Copy!J61)</f>
        <v>0.2</v>
      </c>
      <c r="K61">
        <f>ROUND(Cleaned_data!$H61*Cleaned_data!$I61*(1-Cleaned_data!$J61),2)</f>
        <v>3773.34</v>
      </c>
      <c r="L61" t="str">
        <f>PROPER(TRIM(Raw_Data_Copy!L61))</f>
        <v>Mobile Money</v>
      </c>
    </row>
    <row r="62" spans="1:12" x14ac:dyDescent="0.3">
      <c r="A62" t="str">
        <f>TRIM(Raw_Data_Copy!A62)</f>
        <v>ORD-0114</v>
      </c>
      <c r="B62" s="2">
        <v>45699</v>
      </c>
      <c r="C62" t="str">
        <f>TRIM(Raw_Data_Copy!C62)</f>
        <v>CUST-0015</v>
      </c>
      <c r="D62" t="str">
        <f>PROPER(TRIM(Raw_Data_Copy!D62))</f>
        <v>United States</v>
      </c>
      <c r="E62" t="str">
        <f>PROPER(TRIM(Raw_Data_Copy!E62))</f>
        <v>North America</v>
      </c>
      <c r="F62" t="str">
        <f>PROPER(TRIM(Raw_Data_Copy!F62))</f>
        <v>Headphones</v>
      </c>
      <c r="G62" t="str">
        <f>PROPER(TRIM(Raw_Data_Copy!G62))</f>
        <v>Electronics</v>
      </c>
      <c r="H62" t="str">
        <f>TRIM(Raw_Data_Copy!H62)</f>
        <v>7</v>
      </c>
      <c r="I62" t="str">
        <f>TRIM(Raw_Data_Copy!I62)</f>
        <v>110.81</v>
      </c>
      <c r="J62" t="str">
        <f>TRIM(Raw_Data_Copy!J62)</f>
        <v>0.25</v>
      </c>
      <c r="K62">
        <f>ROUND(Cleaned_data!$H62*Cleaned_data!$I62*(1-Cleaned_data!$J62),2)</f>
        <v>581.75</v>
      </c>
      <c r="L62" t="str">
        <f>PROPER(TRIM(Raw_Data_Copy!L62))</f>
        <v>Mobile Money</v>
      </c>
    </row>
    <row r="63" spans="1:12" x14ac:dyDescent="0.3">
      <c r="A63" t="str">
        <f>TRIM(Raw_Data_Copy!A63)</f>
        <v>ORD-0413</v>
      </c>
      <c r="B63" s="2">
        <v>45700</v>
      </c>
      <c r="C63" t="str">
        <f>TRIM(Raw_Data_Copy!C63)</f>
        <v>CUST-0117</v>
      </c>
      <c r="D63" t="str">
        <f>PROPER(TRIM(Raw_Data_Copy!D63))</f>
        <v>United Kingdom</v>
      </c>
      <c r="E63" t="str">
        <f>PROPER(TRIM(Raw_Data_Copy!E63))</f>
        <v>Europe</v>
      </c>
      <c r="F63" t="str">
        <f>PROPER(TRIM(Raw_Data_Copy!F63))</f>
        <v>Printer</v>
      </c>
      <c r="G63" t="str">
        <f>PROPER(TRIM(Raw_Data_Copy!G63))</f>
        <v>Office Supplies</v>
      </c>
      <c r="H63" t="str">
        <f>TRIM(Raw_Data_Copy!H63)</f>
        <v>7</v>
      </c>
      <c r="I63" t="str">
        <f>TRIM(Raw_Data_Copy!I63)</f>
        <v>242.4</v>
      </c>
      <c r="J63" t="str">
        <f>TRIM(Raw_Data_Copy!J63)</f>
        <v>0.05</v>
      </c>
      <c r="K63">
        <f>ROUND(Cleaned_data!$H63*Cleaned_data!$I63*(1-Cleaned_data!$J63),2)</f>
        <v>1611.96</v>
      </c>
      <c r="L63" t="str">
        <f>PROPER(TRIM(Raw_Data_Copy!L63))</f>
        <v>Card</v>
      </c>
    </row>
    <row r="64" spans="1:12" x14ac:dyDescent="0.3">
      <c r="A64" t="str">
        <f>TRIM(Raw_Data_Copy!A64)</f>
        <v>ORD-0316</v>
      </c>
      <c r="B64" s="2">
        <v>45701</v>
      </c>
      <c r="C64" t="str">
        <f>TRIM(Raw_Data_Copy!C64)</f>
        <v>CUST-0097</v>
      </c>
      <c r="D64" t="str">
        <f>PROPER(TRIM(Raw_Data_Copy!D64))</f>
        <v>United Kingdom</v>
      </c>
      <c r="E64" t="str">
        <f>PROPER(TRIM(Raw_Data_Copy!E64))</f>
        <v>Europe</v>
      </c>
      <c r="F64" t="str">
        <f>PROPER(TRIM(Raw_Data_Copy!F64))</f>
        <v>Laptop</v>
      </c>
      <c r="G64" t="str">
        <f>PROPER(TRIM(Raw_Data_Copy!G64))</f>
        <v>Electronics</v>
      </c>
      <c r="H64" t="str">
        <f>TRIM(Raw_Data_Copy!H64)</f>
        <v>7</v>
      </c>
      <c r="I64" t="str">
        <f>TRIM(Raw_Data_Copy!I64)</f>
        <v>909.45</v>
      </c>
      <c r="J64" t="str">
        <f>TRIM(Raw_Data_Copy!J64)</f>
        <v>0</v>
      </c>
      <c r="K64">
        <f>ROUND(Cleaned_data!$H64*Cleaned_data!$I64*(1-Cleaned_data!$J64),2)</f>
        <v>6366.15</v>
      </c>
      <c r="L64" t="str">
        <f>PROPER(TRIM(Raw_Data_Copy!L64))</f>
        <v>Card</v>
      </c>
    </row>
    <row r="65" spans="1:12" x14ac:dyDescent="0.3">
      <c r="A65" t="str">
        <f>TRIM(Raw_Data_Copy!A65)</f>
        <v>ORD-0489</v>
      </c>
      <c r="B65" s="2">
        <v>45702</v>
      </c>
      <c r="C65" t="str">
        <f>TRIM(Raw_Data_Copy!C65)</f>
        <v>CUST-0145</v>
      </c>
      <c r="D65" t="str">
        <f>PROPER(TRIM(Raw_Data_Copy!D65))</f>
        <v>South Africa</v>
      </c>
      <c r="E65" t="str">
        <f>PROPER(TRIM(Raw_Data_Copy!E65))</f>
        <v>Southern Africa</v>
      </c>
      <c r="F65" t="str">
        <f>PROPER(TRIM(Raw_Data_Copy!F65))</f>
        <v>Desk</v>
      </c>
      <c r="G65" t="str">
        <f>PROPER(TRIM(Raw_Data_Copy!G65))</f>
        <v>Furniture</v>
      </c>
      <c r="H65" t="str">
        <f>TRIM(Raw_Data_Copy!H65)</f>
        <v>7</v>
      </c>
      <c r="I65" t="str">
        <f>TRIM(Raw_Data_Copy!I65)</f>
        <v>327.55</v>
      </c>
      <c r="J65" t="str">
        <f>TRIM(Raw_Data_Copy!J65)</f>
        <v>0.15</v>
      </c>
      <c r="K65">
        <f>ROUND(Cleaned_data!$H65*Cleaned_data!$I65*(1-Cleaned_data!$J65),2)</f>
        <v>1948.92</v>
      </c>
      <c r="L65" t="str">
        <f>PROPER(TRIM(Raw_Data_Copy!L65))</f>
        <v>Card</v>
      </c>
    </row>
    <row r="66" spans="1:12" x14ac:dyDescent="0.3">
      <c r="A66" t="str">
        <f>TRIM(Raw_Data_Copy!A66)</f>
        <v>ORD-0175</v>
      </c>
      <c r="B66" s="2">
        <v>45702</v>
      </c>
      <c r="C66" t="str">
        <f>TRIM(Raw_Data_Copy!C66)</f>
        <v>CUST-0058</v>
      </c>
      <c r="D66" t="str">
        <f>PROPER(TRIM(Raw_Data_Copy!D66))</f>
        <v>United States</v>
      </c>
      <c r="E66" t="str">
        <f>PROPER(TRIM(Raw_Data_Copy!E66))</f>
        <v>North America</v>
      </c>
      <c r="F66" t="str">
        <f>PROPER(TRIM(Raw_Data_Copy!F66))</f>
        <v>Office Chair</v>
      </c>
      <c r="G66" t="str">
        <f>PROPER(TRIM(Raw_Data_Copy!G66))</f>
        <v>Furniture</v>
      </c>
      <c r="H66" t="str">
        <f>TRIM(Raw_Data_Copy!H66)</f>
        <v>7</v>
      </c>
      <c r="I66" t="str">
        <f>TRIM(Raw_Data_Copy!I66)</f>
        <v>228.76</v>
      </c>
      <c r="J66" t="str">
        <f>TRIM(Raw_Data_Copy!J66)</f>
        <v>0</v>
      </c>
      <c r="K66">
        <f>ROUND(Cleaned_data!$H66*Cleaned_data!$I66*(1-Cleaned_data!$J66),2)</f>
        <v>1601.32</v>
      </c>
      <c r="L66" t="str">
        <f>PROPER(TRIM(Raw_Data_Copy!L66))</f>
        <v>Bank Transfer</v>
      </c>
    </row>
    <row r="67" spans="1:12" x14ac:dyDescent="0.3">
      <c r="A67" t="str">
        <f>TRIM(Raw_Data_Copy!A67)</f>
        <v>ORD-0174</v>
      </c>
      <c r="B67" s="2">
        <v>45702</v>
      </c>
      <c r="C67" t="str">
        <f>TRIM(Raw_Data_Copy!C67)</f>
        <v>CUST-0089</v>
      </c>
      <c r="D67" t="str">
        <f>PROPER(TRIM(Raw_Data_Copy!D67))</f>
        <v>United States</v>
      </c>
      <c r="E67" t="str">
        <f>PROPER(TRIM(Raw_Data_Copy!E67))</f>
        <v>North America</v>
      </c>
      <c r="F67" t="str">
        <f>PROPER(TRIM(Raw_Data_Copy!F67))</f>
        <v>Desk Lamp</v>
      </c>
      <c r="G67" t="str">
        <f>PROPER(TRIM(Raw_Data_Copy!G67))</f>
        <v>Furniture</v>
      </c>
      <c r="H67" t="str">
        <f>TRIM(Raw_Data_Copy!H67)</f>
        <v>1</v>
      </c>
      <c r="I67" t="str">
        <f>TRIM(Raw_Data_Copy!I67)</f>
        <v>51.23</v>
      </c>
      <c r="J67" t="str">
        <f>TRIM(Raw_Data_Copy!J67)</f>
        <v>0</v>
      </c>
      <c r="K67">
        <f>ROUND(Cleaned_data!$H67*Cleaned_data!$I67*(1-Cleaned_data!$J67),2)</f>
        <v>51.23</v>
      </c>
      <c r="L67" t="str">
        <f>PROPER(TRIM(Raw_Data_Copy!L67))</f>
        <v>Card</v>
      </c>
    </row>
    <row r="68" spans="1:12" x14ac:dyDescent="0.3">
      <c r="A68" t="str">
        <f>TRIM(Raw_Data_Copy!A68)</f>
        <v>ORD-0036</v>
      </c>
      <c r="B68" s="2">
        <v>45703</v>
      </c>
      <c r="C68" t="str">
        <f>TRIM(Raw_Data_Copy!C68)</f>
        <v>CUST-0117</v>
      </c>
      <c r="D68" t="str">
        <f>PROPER(TRIM(Raw_Data_Copy!D68))</f>
        <v>Nigeria</v>
      </c>
      <c r="E68" t="str">
        <f>PROPER(TRIM(Raw_Data_Copy!E68))</f>
        <v>West Africa</v>
      </c>
      <c r="F68" t="str">
        <f>PROPER(TRIM(Raw_Data_Copy!F68))</f>
        <v>Headphones</v>
      </c>
      <c r="G68" t="str">
        <f>PROPER(TRIM(Raw_Data_Copy!G68))</f>
        <v>Electronics</v>
      </c>
      <c r="H68" t="str">
        <f>TRIM(Raw_Data_Copy!H68)</f>
        <v>8</v>
      </c>
      <c r="I68" t="str">
        <f>TRIM(Raw_Data_Copy!I68)</f>
        <v>123.49</v>
      </c>
      <c r="J68" t="str">
        <f>TRIM(Raw_Data_Copy!J68)</f>
        <v>0</v>
      </c>
      <c r="K68">
        <f>ROUND(Cleaned_data!$H68*Cleaned_data!$I68*(1-Cleaned_data!$J68),2)</f>
        <v>987.92</v>
      </c>
      <c r="L68" t="str">
        <f>PROPER(TRIM(Raw_Data_Copy!L68))</f>
        <v>Cash</v>
      </c>
    </row>
    <row r="69" spans="1:12" x14ac:dyDescent="0.3">
      <c r="A69" t="str">
        <f>TRIM(Raw_Data_Copy!A69)</f>
        <v>ORD-0500</v>
      </c>
      <c r="B69" s="2">
        <v>45705</v>
      </c>
      <c r="C69" t="str">
        <f>TRIM(Raw_Data_Copy!C69)</f>
        <v>CUST-0136</v>
      </c>
      <c r="D69" t="str">
        <f>PROPER(TRIM(Raw_Data_Copy!D69))</f>
        <v>United States</v>
      </c>
      <c r="E69" t="str">
        <f>PROPER(TRIM(Raw_Data_Copy!E69))</f>
        <v>North America</v>
      </c>
      <c r="F69" t="str">
        <f>PROPER(TRIM(Raw_Data_Copy!F69))</f>
        <v>Headphones</v>
      </c>
      <c r="G69" t="str">
        <f>PROPER(TRIM(Raw_Data_Copy!G69))</f>
        <v>Electronics</v>
      </c>
      <c r="H69" t="str">
        <f>TRIM(Raw_Data_Copy!H69)</f>
        <v>3</v>
      </c>
      <c r="I69" t="str">
        <f>TRIM(Raw_Data_Copy!I69)</f>
        <v>109.82</v>
      </c>
      <c r="J69" t="str">
        <f>TRIM(Raw_Data_Copy!J69)</f>
        <v>0.1</v>
      </c>
      <c r="K69">
        <f>ROUND(Cleaned_data!$H69*Cleaned_data!$I69*(1-Cleaned_data!$J69),2)</f>
        <v>296.51</v>
      </c>
      <c r="L69" t="str">
        <f>PROPER(TRIM(Raw_Data_Copy!L69))</f>
        <v>Bank Transfer</v>
      </c>
    </row>
    <row r="70" spans="1:12" x14ac:dyDescent="0.3">
      <c r="A70" t="str">
        <f>TRIM(Raw_Data_Copy!A70)</f>
        <v>ORD-0362</v>
      </c>
      <c r="B70" s="2">
        <v>45705</v>
      </c>
      <c r="C70" t="str">
        <f>TRIM(Raw_Data_Copy!C70)</f>
        <v>CUST-0160</v>
      </c>
      <c r="D70" t="str">
        <f>PROPER(TRIM(Raw_Data_Copy!D70))</f>
        <v>United Kingdom</v>
      </c>
      <c r="E70" t="str">
        <f>PROPER(TRIM(Raw_Data_Copy!E70))</f>
        <v>Europe</v>
      </c>
      <c r="F70" t="str">
        <f>PROPER(TRIM(Raw_Data_Copy!F70))</f>
        <v>Desk Lamp</v>
      </c>
      <c r="G70" t="str">
        <f>PROPER(TRIM(Raw_Data_Copy!G70))</f>
        <v>Furniture</v>
      </c>
      <c r="H70" t="str">
        <f>TRIM(Raw_Data_Copy!H70)</f>
        <v>4</v>
      </c>
      <c r="I70" t="str">
        <f>TRIM(Raw_Data_Copy!I70)</f>
        <v>59.58</v>
      </c>
      <c r="J70" t="str">
        <f>TRIM(Raw_Data_Copy!J70)</f>
        <v>0.1</v>
      </c>
      <c r="K70">
        <f>ROUND(Cleaned_data!$H70*Cleaned_data!$I70*(1-Cleaned_data!$J70),2)</f>
        <v>214.49</v>
      </c>
      <c r="L70" t="str">
        <f>PROPER(TRIM(Raw_Data_Copy!L70))</f>
        <v>Card</v>
      </c>
    </row>
    <row r="71" spans="1:12" x14ac:dyDescent="0.3">
      <c r="A71" t="str">
        <f>TRIM(Raw_Data_Copy!A71)</f>
        <v>ORD-0243</v>
      </c>
      <c r="B71" s="2">
        <v>45706</v>
      </c>
      <c r="C71" t="str">
        <f>TRIM(Raw_Data_Copy!C71)</f>
        <v>CUST-0060</v>
      </c>
      <c r="D71" t="str">
        <f>PROPER(TRIM(Raw_Data_Copy!D71))</f>
        <v>Ghana</v>
      </c>
      <c r="E71" t="str">
        <f>PROPER(TRIM(Raw_Data_Copy!E71))</f>
        <v>West Africa</v>
      </c>
      <c r="F71" t="str">
        <f>PROPER(TRIM(Raw_Data_Copy!F71))</f>
        <v>Keyboard</v>
      </c>
      <c r="G71" t="str">
        <f>PROPER(TRIM(Raw_Data_Copy!G71))</f>
        <v>Electronics</v>
      </c>
      <c r="H71" t="str">
        <f>TRIM(Raw_Data_Copy!H71)</f>
        <v>1</v>
      </c>
      <c r="I71" t="str">
        <f>TRIM(Raw_Data_Copy!I71)</f>
        <v>75.63</v>
      </c>
      <c r="J71" t="str">
        <f>TRIM(Raw_Data_Copy!J71)</f>
        <v>0.05</v>
      </c>
      <c r="K71">
        <f>ROUND(Cleaned_data!$H71*Cleaned_data!$I71*(1-Cleaned_data!$J71),2)</f>
        <v>71.849999999999994</v>
      </c>
      <c r="L71" t="str">
        <f>PROPER(TRIM(Raw_Data_Copy!L71))</f>
        <v>Card</v>
      </c>
    </row>
    <row r="72" spans="1:12" x14ac:dyDescent="0.3">
      <c r="A72" t="str">
        <f>TRIM(Raw_Data_Copy!A72)</f>
        <v>ORD-0236</v>
      </c>
      <c r="B72" s="2">
        <v>45706</v>
      </c>
      <c r="C72" t="str">
        <f>TRIM(Raw_Data_Copy!C72)</f>
        <v>CUST-0154</v>
      </c>
      <c r="D72" t="str">
        <f>PROPER(TRIM(Raw_Data_Copy!D72))</f>
        <v>South Africa</v>
      </c>
      <c r="E72" t="str">
        <f>PROPER(TRIM(Raw_Data_Copy!E72))</f>
        <v>Southern Africa</v>
      </c>
      <c r="F72" t="str">
        <f>PROPER(TRIM(Raw_Data_Copy!F72))</f>
        <v>Keyboard</v>
      </c>
      <c r="G72" t="str">
        <f>PROPER(TRIM(Raw_Data_Copy!G72))</f>
        <v>Electronics</v>
      </c>
      <c r="H72" t="str">
        <f>TRIM(Raw_Data_Copy!H72)</f>
        <v>2</v>
      </c>
      <c r="I72" t="str">
        <f>TRIM(Raw_Data_Copy!I72)</f>
        <v>77.77</v>
      </c>
      <c r="J72" t="str">
        <f>TRIM(Raw_Data_Copy!J72)</f>
        <v>0.25</v>
      </c>
      <c r="K72">
        <f>ROUND(Cleaned_data!$H72*Cleaned_data!$I72*(1-Cleaned_data!$J72),2)</f>
        <v>116.66</v>
      </c>
      <c r="L72" t="str">
        <f>PROPER(TRIM(Raw_Data_Copy!L72))</f>
        <v>Bank Transfer</v>
      </c>
    </row>
    <row r="73" spans="1:12" x14ac:dyDescent="0.3">
      <c r="A73" t="str">
        <f>TRIM(Raw_Data_Copy!A73)</f>
        <v>ORD-0300</v>
      </c>
      <c r="B73" s="2">
        <v>45706</v>
      </c>
      <c r="C73" t="str">
        <f>TRIM(Raw_Data_Copy!C73)</f>
        <v>CUST-0149</v>
      </c>
      <c r="D73" t="str">
        <f>PROPER(TRIM(Raw_Data_Copy!D73))</f>
        <v>United States</v>
      </c>
      <c r="E73" t="str">
        <f>PROPER(TRIM(Raw_Data_Copy!E73))</f>
        <v>North America</v>
      </c>
      <c r="F73" t="str">
        <f>PROPER(TRIM(Raw_Data_Copy!F73))</f>
        <v>Printer</v>
      </c>
      <c r="G73" t="str">
        <f>PROPER(TRIM(Raw_Data_Copy!G73))</f>
        <v>Office Supplies</v>
      </c>
      <c r="H73" t="str">
        <f>TRIM(Raw_Data_Copy!H73)</f>
        <v>3</v>
      </c>
      <c r="I73" t="str">
        <f>TRIM(Raw_Data_Copy!I73)</f>
        <v>246.48</v>
      </c>
      <c r="J73" t="str">
        <f>TRIM(Raw_Data_Copy!J73)</f>
        <v>0.2</v>
      </c>
      <c r="K73">
        <f>ROUND(Cleaned_data!$H73*Cleaned_data!$I73*(1-Cleaned_data!$J73),2)</f>
        <v>591.54999999999995</v>
      </c>
      <c r="L73" t="str">
        <f>PROPER(TRIM(Raw_Data_Copy!L73))</f>
        <v>Bank Transfer</v>
      </c>
    </row>
    <row r="74" spans="1:12" x14ac:dyDescent="0.3">
      <c r="A74" t="str">
        <f>TRIM(Raw_Data_Copy!A74)</f>
        <v>ORD-0504</v>
      </c>
      <c r="B74" s="2">
        <v>45706</v>
      </c>
      <c r="C74" t="str">
        <f>TRIM(Raw_Data_Copy!C74)</f>
        <v>CUST-0137</v>
      </c>
      <c r="D74" t="str">
        <f>PROPER(TRIM(Raw_Data_Copy!D74))</f>
        <v>Ghana</v>
      </c>
      <c r="E74" t="str">
        <f>PROPER(TRIM(Raw_Data_Copy!E74))</f>
        <v>West Africa</v>
      </c>
      <c r="F74" t="str">
        <f>PROPER(TRIM(Raw_Data_Copy!F74))</f>
        <v>Notebook</v>
      </c>
      <c r="G74" t="str">
        <f>PROPER(TRIM(Raw_Data_Copy!G74))</f>
        <v>Office Supplies</v>
      </c>
      <c r="H74" t="str">
        <f>TRIM(Raw_Data_Copy!H74)</f>
        <v>8</v>
      </c>
      <c r="I74" t="str">
        <f>TRIM(Raw_Data_Copy!I74)</f>
        <v>13.53</v>
      </c>
      <c r="J74" t="str">
        <f>TRIM(Raw_Data_Copy!J74)</f>
        <v>0.05</v>
      </c>
      <c r="K74">
        <f>ROUND(Cleaned_data!$H74*Cleaned_data!$I74*(1-Cleaned_data!$J74),2)</f>
        <v>102.83</v>
      </c>
      <c r="L74" t="str">
        <f>PROPER(TRIM(Raw_Data_Copy!L74))</f>
        <v>Mobile Money</v>
      </c>
    </row>
    <row r="75" spans="1:12" x14ac:dyDescent="0.3">
      <c r="A75" t="str">
        <f>TRIM(Raw_Data_Copy!A75)</f>
        <v>ORD-0003</v>
      </c>
      <c r="B75" s="2">
        <v>45706</v>
      </c>
      <c r="C75" t="str">
        <f>TRIM(Raw_Data_Copy!C75)</f>
        <v>CUST-0059</v>
      </c>
      <c r="D75" t="str">
        <f>PROPER(TRIM(Raw_Data_Copy!D75))</f>
        <v>Ghana</v>
      </c>
      <c r="E75" t="str">
        <f>PROPER(TRIM(Raw_Data_Copy!E75))</f>
        <v>West Africa</v>
      </c>
      <c r="F75" t="str">
        <f>PROPER(TRIM(Raw_Data_Copy!F75))</f>
        <v>Desk</v>
      </c>
      <c r="G75" t="str">
        <f>PROPER(TRIM(Raw_Data_Copy!G75))</f>
        <v>Furniture</v>
      </c>
      <c r="H75" t="str">
        <f>TRIM(Raw_Data_Copy!H75)</f>
        <v>1</v>
      </c>
      <c r="I75" t="str">
        <f>TRIM(Raw_Data_Copy!I75)</f>
        <v>336.3</v>
      </c>
      <c r="J75" t="str">
        <f>TRIM(Raw_Data_Copy!J75)</f>
        <v>0.1</v>
      </c>
      <c r="K75">
        <f>ROUND(Cleaned_data!$H75*Cleaned_data!$I75*(1-Cleaned_data!$J75),2)</f>
        <v>302.67</v>
      </c>
      <c r="L75" t="str">
        <f>PROPER(TRIM(Raw_Data_Copy!L75))</f>
        <v>Mobile Money</v>
      </c>
    </row>
    <row r="76" spans="1:12" x14ac:dyDescent="0.3">
      <c r="A76" t="str">
        <f>TRIM(Raw_Data_Copy!A76)</f>
        <v>ORD-0244</v>
      </c>
      <c r="B76" s="2">
        <v>45707</v>
      </c>
      <c r="C76" t="str">
        <f>TRIM(Raw_Data_Copy!C76)</f>
        <v>CUST-0067</v>
      </c>
      <c r="D76" t="str">
        <f>PROPER(TRIM(Raw_Data_Copy!D76))</f>
        <v>Ghana</v>
      </c>
      <c r="E76" t="str">
        <f>PROPER(TRIM(Raw_Data_Copy!E76))</f>
        <v>West Africa</v>
      </c>
      <c r="F76" t="str">
        <f>PROPER(TRIM(Raw_Data_Copy!F76))</f>
        <v>Desk</v>
      </c>
      <c r="G76" t="str">
        <f>PROPER(TRIM(Raw_Data_Copy!G76))</f>
        <v>Furniture</v>
      </c>
      <c r="H76" t="str">
        <f>TRIM(Raw_Data_Copy!H76)</f>
        <v>4</v>
      </c>
      <c r="I76" t="str">
        <f>TRIM(Raw_Data_Copy!I76)</f>
        <v>331.36</v>
      </c>
      <c r="J76" t="str">
        <f>TRIM(Raw_Data_Copy!J76)</f>
        <v>0.1</v>
      </c>
      <c r="K76">
        <f>ROUND(Cleaned_data!$H76*Cleaned_data!$I76*(1-Cleaned_data!$J76),2)</f>
        <v>1192.9000000000001</v>
      </c>
      <c r="L76" t="str">
        <f>PROPER(TRIM(Raw_Data_Copy!L76))</f>
        <v>Bank Transfer</v>
      </c>
    </row>
    <row r="77" spans="1:12" x14ac:dyDescent="0.3">
      <c r="A77" t="str">
        <f>TRIM(Raw_Data_Copy!A77)</f>
        <v>ORD-0298</v>
      </c>
      <c r="B77" s="2">
        <v>45707</v>
      </c>
      <c r="C77" t="str">
        <f>TRIM(Raw_Data_Copy!C77)</f>
        <v>CUST-0003</v>
      </c>
      <c r="D77" t="str">
        <f>PROPER(TRIM(Raw_Data_Copy!D77))</f>
        <v>Nigeria</v>
      </c>
      <c r="E77" t="str">
        <f>PROPER(TRIM(Raw_Data_Copy!E77))</f>
        <v>West Africa</v>
      </c>
      <c r="F77" t="str">
        <f>PROPER(TRIM(Raw_Data_Copy!F77))</f>
        <v>Mouse</v>
      </c>
      <c r="G77" t="str">
        <f>PROPER(TRIM(Raw_Data_Copy!G77))</f>
        <v>Electronics</v>
      </c>
      <c r="H77" t="str">
        <f>TRIM(Raw_Data_Copy!H77)</f>
        <v>2</v>
      </c>
      <c r="I77" t="str">
        <f>TRIM(Raw_Data_Copy!I77)</f>
        <v>45.79</v>
      </c>
      <c r="J77" t="str">
        <f>TRIM(Raw_Data_Copy!J77)</f>
        <v>0</v>
      </c>
      <c r="K77">
        <f>ROUND(Cleaned_data!$H77*Cleaned_data!$I77*(1-Cleaned_data!$J77),2)</f>
        <v>91.58</v>
      </c>
      <c r="L77" t="str">
        <f>PROPER(TRIM(Raw_Data_Copy!L77))</f>
        <v>Card</v>
      </c>
    </row>
    <row r="78" spans="1:12" x14ac:dyDescent="0.3">
      <c r="A78" t="str">
        <f>TRIM(Raw_Data_Copy!A78)</f>
        <v>ORD-0273</v>
      </c>
      <c r="B78" s="2">
        <v>45708</v>
      </c>
      <c r="C78" t="str">
        <f>TRIM(Raw_Data_Copy!C78)</f>
        <v>CUST-0005</v>
      </c>
      <c r="D78" t="str">
        <f>PROPER(TRIM(Raw_Data_Copy!D78))</f>
        <v>Kenya</v>
      </c>
      <c r="E78" t="str">
        <f>PROPER(TRIM(Raw_Data_Copy!E78))</f>
        <v>East Africa</v>
      </c>
      <c r="F78" t="str">
        <f>PROPER(TRIM(Raw_Data_Copy!F78))</f>
        <v>Office Chair</v>
      </c>
      <c r="G78" t="str">
        <f>PROPER(TRIM(Raw_Data_Copy!G78))</f>
        <v>Furniture</v>
      </c>
      <c r="H78" t="str">
        <f>TRIM(Raw_Data_Copy!H78)</f>
        <v>3</v>
      </c>
      <c r="I78" t="str">
        <f>TRIM(Raw_Data_Copy!I78)</f>
        <v>240.71</v>
      </c>
      <c r="J78" t="str">
        <f>TRIM(Raw_Data_Copy!J78)</f>
        <v>0.25</v>
      </c>
      <c r="K78">
        <f>ROUND(Cleaned_data!$H78*Cleaned_data!$I78*(1-Cleaned_data!$J78),2)</f>
        <v>541.6</v>
      </c>
      <c r="L78" t="str">
        <f>PROPER(TRIM(Raw_Data_Copy!L78))</f>
        <v>Bank Transfer</v>
      </c>
    </row>
    <row r="79" spans="1:12" x14ac:dyDescent="0.3">
      <c r="A79" t="str">
        <f>TRIM(Raw_Data_Copy!A79)</f>
        <v>ORD-0004</v>
      </c>
      <c r="B79" s="2">
        <v>45708</v>
      </c>
      <c r="C79" t="str">
        <f>TRIM(Raw_Data_Copy!C79)</f>
        <v>CUST-0108</v>
      </c>
      <c r="D79" t="str">
        <f>PROPER(TRIM(Raw_Data_Copy!D79))</f>
        <v>Nigeria</v>
      </c>
      <c r="E79" t="str">
        <f>PROPER(TRIM(Raw_Data_Copy!E79))</f>
        <v>West Africa</v>
      </c>
      <c r="F79" t="str">
        <f>PROPER(TRIM(Raw_Data_Copy!F79))</f>
        <v>Desk Lamp</v>
      </c>
      <c r="G79" t="str">
        <f>PROPER(TRIM(Raw_Data_Copy!G79))</f>
        <v>Furniture</v>
      </c>
      <c r="H79" t="str">
        <f>TRIM(Raw_Data_Copy!H79)</f>
        <v>4</v>
      </c>
      <c r="I79" t="str">
        <f>TRIM(Raw_Data_Copy!I79)</f>
        <v>53.53</v>
      </c>
      <c r="J79" t="str">
        <f>TRIM(Raw_Data_Copy!J79)</f>
        <v>0.1</v>
      </c>
      <c r="K79">
        <f>ROUND(Cleaned_data!$H79*Cleaned_data!$I79*(1-Cleaned_data!$J79),2)</f>
        <v>192.71</v>
      </c>
      <c r="L79" t="str">
        <f>PROPER(TRIM(Raw_Data_Copy!L79))</f>
        <v>Bank Transfer</v>
      </c>
    </row>
    <row r="80" spans="1:12" x14ac:dyDescent="0.3">
      <c r="A80" t="str">
        <f>TRIM(Raw_Data_Copy!A80)</f>
        <v>ORD-0007</v>
      </c>
      <c r="B80" s="2">
        <v>45711</v>
      </c>
      <c r="C80" t="str">
        <f>TRIM(Raw_Data_Copy!C80)</f>
        <v>CUST-0106</v>
      </c>
      <c r="D80" t="str">
        <f>PROPER(TRIM(Raw_Data_Copy!D80))</f>
        <v>Ghana</v>
      </c>
      <c r="E80" t="str">
        <f>PROPER(TRIM(Raw_Data_Copy!E80))</f>
        <v>West Africa</v>
      </c>
      <c r="F80" t="str">
        <f>PROPER(TRIM(Raw_Data_Copy!F80))</f>
        <v>Laptop</v>
      </c>
      <c r="G80" t="str">
        <f>PROPER(TRIM(Raw_Data_Copy!G80))</f>
        <v>Electronics</v>
      </c>
      <c r="H80" t="str">
        <f>TRIM(Raw_Data_Copy!H80)</f>
        <v>4</v>
      </c>
      <c r="I80" t="str">
        <f>TRIM(Raw_Data_Copy!I80)</f>
        <v>842.8</v>
      </c>
      <c r="J80" t="str">
        <f>TRIM(Raw_Data_Copy!J80)</f>
        <v>0.15</v>
      </c>
      <c r="K80">
        <f>ROUND(Cleaned_data!$H80*Cleaned_data!$I80*(1-Cleaned_data!$J80),2)</f>
        <v>2865.52</v>
      </c>
      <c r="L80" t="str">
        <f>PROPER(TRIM(Raw_Data_Copy!L80))</f>
        <v>Mobile Money</v>
      </c>
    </row>
    <row r="81" spans="1:12" x14ac:dyDescent="0.3">
      <c r="A81" t="str">
        <f>TRIM(Raw_Data_Copy!A81)</f>
        <v>ORD-0073</v>
      </c>
      <c r="B81" s="2">
        <v>45711</v>
      </c>
      <c r="C81" t="str">
        <f>TRIM(Raw_Data_Copy!C81)</f>
        <v>CUST-0118</v>
      </c>
      <c r="D81" t="str">
        <f>PROPER(TRIM(Raw_Data_Copy!D81))</f>
        <v>United States</v>
      </c>
      <c r="E81" t="str">
        <f>PROPER(TRIM(Raw_Data_Copy!E81))</f>
        <v>North America</v>
      </c>
      <c r="F81" t="str">
        <f>PROPER(TRIM(Raw_Data_Copy!F81))</f>
        <v>Smartphone</v>
      </c>
      <c r="G81" t="str">
        <f>PROPER(TRIM(Raw_Data_Copy!G81))</f>
        <v>Electronics</v>
      </c>
      <c r="H81" t="str">
        <f>TRIM(Raw_Data_Copy!H81)</f>
        <v>7</v>
      </c>
      <c r="I81" t="str">
        <f>TRIM(Raw_Data_Copy!I81)</f>
        <v>666.82</v>
      </c>
      <c r="J81" t="str">
        <f>TRIM(Raw_Data_Copy!J81)</f>
        <v>0.15</v>
      </c>
      <c r="K81">
        <f>ROUND(Cleaned_data!$H81*Cleaned_data!$I81*(1-Cleaned_data!$J81),2)</f>
        <v>3967.58</v>
      </c>
      <c r="L81" t="str">
        <f>PROPER(TRIM(Raw_Data_Copy!L81))</f>
        <v>Mobile Money</v>
      </c>
    </row>
    <row r="82" spans="1:12" x14ac:dyDescent="0.3">
      <c r="A82" t="str">
        <f>TRIM(Raw_Data_Copy!A82)</f>
        <v>ORD-0399</v>
      </c>
      <c r="B82" s="2">
        <v>45713</v>
      </c>
      <c r="C82" t="str">
        <f>TRIM(Raw_Data_Copy!C82)</f>
        <v>CUST-0179</v>
      </c>
      <c r="D82" t="str">
        <f>PROPER(TRIM(Raw_Data_Copy!D82))</f>
        <v>South Africa</v>
      </c>
      <c r="E82" t="str">
        <f>PROPER(TRIM(Raw_Data_Copy!E82))</f>
        <v>Southern Africa</v>
      </c>
      <c r="F82" t="str">
        <f>PROPER(TRIM(Raw_Data_Copy!F82))</f>
        <v>Smartphone</v>
      </c>
      <c r="G82" t="str">
        <f>PROPER(TRIM(Raw_Data_Copy!G82))</f>
        <v>Electronics</v>
      </c>
      <c r="H82" t="str">
        <f>TRIM(Raw_Data_Copy!H82)</f>
        <v>7</v>
      </c>
      <c r="I82" t="str">
        <f>TRIM(Raw_Data_Copy!I82)</f>
        <v>707.59</v>
      </c>
      <c r="J82" t="str">
        <f>TRIM(Raw_Data_Copy!J82)</f>
        <v>0.1</v>
      </c>
      <c r="K82">
        <f>ROUND(Cleaned_data!$H82*Cleaned_data!$I82*(1-Cleaned_data!$J82),2)</f>
        <v>4457.82</v>
      </c>
      <c r="L82" t="str">
        <f>PROPER(TRIM(Raw_Data_Copy!L82))</f>
        <v>Card</v>
      </c>
    </row>
    <row r="83" spans="1:12" x14ac:dyDescent="0.3">
      <c r="A83" t="str">
        <f>TRIM(Raw_Data_Copy!A83)</f>
        <v>ORD-0459</v>
      </c>
      <c r="B83" s="2">
        <v>45716</v>
      </c>
      <c r="C83" t="str">
        <f>TRIM(Raw_Data_Copy!C83)</f>
        <v>CUST-0033</v>
      </c>
      <c r="D83" t="str">
        <f>PROPER(TRIM(Raw_Data_Copy!D83))</f>
        <v>South Africa</v>
      </c>
      <c r="E83" t="str">
        <f>PROPER(TRIM(Raw_Data_Copy!E83))</f>
        <v>Southern Africa</v>
      </c>
      <c r="F83" t="str">
        <f>PROPER(TRIM(Raw_Data_Copy!F83))</f>
        <v>Laptop</v>
      </c>
      <c r="G83" t="str">
        <f>PROPER(TRIM(Raw_Data_Copy!G83))</f>
        <v>Electronics</v>
      </c>
      <c r="H83" t="str">
        <f>TRIM(Raw_Data_Copy!H83)</f>
        <v>5</v>
      </c>
      <c r="I83" t="str">
        <f>TRIM(Raw_Data_Copy!I83)</f>
        <v>941.89</v>
      </c>
      <c r="J83" t="str">
        <f>TRIM(Raw_Data_Copy!J83)</f>
        <v>0.1</v>
      </c>
      <c r="K83">
        <f>ROUND(Cleaned_data!$H83*Cleaned_data!$I83*(1-Cleaned_data!$J83),2)</f>
        <v>4238.51</v>
      </c>
      <c r="L83" t="str">
        <f>PROPER(TRIM(Raw_Data_Copy!L83))</f>
        <v>Card</v>
      </c>
    </row>
    <row r="84" spans="1:12" x14ac:dyDescent="0.3">
      <c r="A84" t="str">
        <f>TRIM(Raw_Data_Copy!A84)</f>
        <v>ORD-0503</v>
      </c>
      <c r="B84" s="2">
        <v>45717</v>
      </c>
      <c r="C84" t="str">
        <f>TRIM(Raw_Data_Copy!C84)</f>
        <v>CUST-0116</v>
      </c>
      <c r="D84" t="str">
        <f>PROPER(TRIM(Raw_Data_Copy!D84))</f>
        <v>Nigeria</v>
      </c>
      <c r="E84" t="str">
        <f>PROPER(TRIM(Raw_Data_Copy!E84))</f>
        <v>West Africa</v>
      </c>
      <c r="F84" t="str">
        <f>PROPER(TRIM(Raw_Data_Copy!F84))</f>
        <v>Backpack</v>
      </c>
      <c r="G84" t="str">
        <f>PROPER(TRIM(Raw_Data_Copy!G84))</f>
        <v>Accessories</v>
      </c>
      <c r="H84" t="str">
        <f>TRIM(Raw_Data_Copy!H84)</f>
        <v>6</v>
      </c>
      <c r="I84" t="str">
        <f>TRIM(Raw_Data_Copy!I84)</f>
        <v>73.09</v>
      </c>
      <c r="J84" t="str">
        <f>TRIM(Raw_Data_Copy!J84)</f>
        <v>0</v>
      </c>
      <c r="K84">
        <f>ROUND(Cleaned_data!$H84*Cleaned_data!$I84*(1-Cleaned_data!$J84),2)</f>
        <v>438.54</v>
      </c>
      <c r="L84" t="str">
        <f>PROPER(TRIM(Raw_Data_Copy!L84))</f>
        <v>Card</v>
      </c>
    </row>
    <row r="85" spans="1:12" x14ac:dyDescent="0.3">
      <c r="A85" t="str">
        <f>TRIM(Raw_Data_Copy!A85)</f>
        <v>ORD-0421</v>
      </c>
      <c r="B85" s="2">
        <v>45718</v>
      </c>
      <c r="C85" t="str">
        <f>TRIM(Raw_Data_Copy!C85)</f>
        <v>CUST-0122</v>
      </c>
      <c r="D85" t="str">
        <f>PROPER(TRIM(Raw_Data_Copy!D85))</f>
        <v>Kenya</v>
      </c>
      <c r="E85" t="str">
        <f>PROPER(TRIM(Raw_Data_Copy!E85))</f>
        <v>East Africa</v>
      </c>
      <c r="F85" t="str">
        <f>PROPER(TRIM(Raw_Data_Copy!F85))</f>
        <v>Backpack</v>
      </c>
      <c r="G85" t="str">
        <f>PROPER(TRIM(Raw_Data_Copy!G85))</f>
        <v>Accessories</v>
      </c>
      <c r="H85" t="str">
        <f>TRIM(Raw_Data_Copy!H85)</f>
        <v>1</v>
      </c>
      <c r="I85" t="str">
        <f>TRIM(Raw_Data_Copy!I85)</f>
        <v>81.87</v>
      </c>
      <c r="J85" t="str">
        <f>TRIM(Raw_Data_Copy!J85)</f>
        <v>0.1</v>
      </c>
      <c r="K85">
        <f>ROUND(Cleaned_data!$H85*Cleaned_data!$I85*(1-Cleaned_data!$J85),2)</f>
        <v>73.680000000000007</v>
      </c>
      <c r="L85" t="str">
        <f>PROPER(TRIM(Raw_Data_Copy!L85))</f>
        <v>Card</v>
      </c>
    </row>
    <row r="86" spans="1:12" x14ac:dyDescent="0.3">
      <c r="A86" t="str">
        <f>TRIM(Raw_Data_Copy!A86)</f>
        <v>ORD-0388</v>
      </c>
      <c r="B86" s="2">
        <v>45718</v>
      </c>
      <c r="C86" t="str">
        <f>TRIM(Raw_Data_Copy!C86)</f>
        <v>CUST-0083</v>
      </c>
      <c r="D86" t="str">
        <f>PROPER(TRIM(Raw_Data_Copy!D86))</f>
        <v>Nigeria</v>
      </c>
      <c r="E86" t="str">
        <f>PROPER(TRIM(Raw_Data_Copy!E86))</f>
        <v>West Africa</v>
      </c>
      <c r="F86" t="str">
        <f>PROPER(TRIM(Raw_Data_Copy!F86))</f>
        <v>Headphones</v>
      </c>
      <c r="G86" t="str">
        <f>PROPER(TRIM(Raw_Data_Copy!G86))</f>
        <v>Electronics</v>
      </c>
      <c r="H86" t="str">
        <f>TRIM(Raw_Data_Copy!H86)</f>
        <v>6</v>
      </c>
      <c r="I86" t="str">
        <f>TRIM(Raw_Data_Copy!I86)</f>
        <v>127.4</v>
      </c>
      <c r="J86" t="str">
        <f>TRIM(Raw_Data_Copy!J86)</f>
        <v>0.25</v>
      </c>
      <c r="K86">
        <f>ROUND(Cleaned_data!$H86*Cleaned_data!$I86*(1-Cleaned_data!$J86),2)</f>
        <v>573.29999999999995</v>
      </c>
      <c r="L86" t="str">
        <f>PROPER(TRIM(Raw_Data_Copy!L86))</f>
        <v>Card</v>
      </c>
    </row>
    <row r="87" spans="1:12" x14ac:dyDescent="0.3">
      <c r="A87" t="str">
        <f>TRIM(Raw_Data_Copy!A87)</f>
        <v>ORD-0090</v>
      </c>
      <c r="B87" s="2">
        <v>45718</v>
      </c>
      <c r="C87" t="str">
        <f>TRIM(Raw_Data_Copy!C87)</f>
        <v>CUST-0122</v>
      </c>
      <c r="D87" t="str">
        <f>PROPER(TRIM(Raw_Data_Copy!D87))</f>
        <v>Ghana</v>
      </c>
      <c r="E87" t="str">
        <f>PROPER(TRIM(Raw_Data_Copy!E87))</f>
        <v>West Africa</v>
      </c>
      <c r="F87" t="str">
        <f>PROPER(TRIM(Raw_Data_Copy!F87))</f>
        <v>Keyboard</v>
      </c>
      <c r="G87" t="str">
        <f>PROPER(TRIM(Raw_Data_Copy!G87))</f>
        <v>Electronics</v>
      </c>
      <c r="H87" t="str">
        <f>TRIM(Raw_Data_Copy!H87)</f>
        <v>1</v>
      </c>
      <c r="I87" t="str">
        <f>TRIM(Raw_Data_Copy!I87)</f>
        <v>86.35</v>
      </c>
      <c r="J87" t="str">
        <f>TRIM(Raw_Data_Copy!J87)</f>
        <v>0.1</v>
      </c>
      <c r="K87">
        <f>ROUND(Cleaned_data!$H87*Cleaned_data!$I87*(1-Cleaned_data!$J87),2)</f>
        <v>77.72</v>
      </c>
      <c r="L87" t="str">
        <f>PROPER(TRIM(Raw_Data_Copy!L87))</f>
        <v>Mobile Money</v>
      </c>
    </row>
    <row r="88" spans="1:12" x14ac:dyDescent="0.3">
      <c r="A88" t="str">
        <f>TRIM(Raw_Data_Copy!A88)</f>
        <v>ORD-0093</v>
      </c>
      <c r="B88" s="2">
        <v>45718</v>
      </c>
      <c r="C88" t="str">
        <f>TRIM(Raw_Data_Copy!C88)</f>
        <v>CUST-0081</v>
      </c>
      <c r="D88" t="str">
        <f>PROPER(TRIM(Raw_Data_Copy!D88))</f>
        <v>United Kingdom</v>
      </c>
      <c r="E88" t="str">
        <f>PROPER(TRIM(Raw_Data_Copy!E88))</f>
        <v>Europe</v>
      </c>
      <c r="F88" t="str">
        <f>PROPER(TRIM(Raw_Data_Copy!F88))</f>
        <v>Mouse</v>
      </c>
      <c r="G88" t="str">
        <f>PROPER(TRIM(Raw_Data_Copy!G88))</f>
        <v>Electronics</v>
      </c>
      <c r="H88" t="str">
        <f>TRIM(Raw_Data_Copy!H88)</f>
        <v>6</v>
      </c>
      <c r="I88" t="str">
        <f>TRIM(Raw_Data_Copy!I88)</f>
        <v>41.24</v>
      </c>
      <c r="J88" t="str">
        <f>TRIM(Raw_Data_Copy!J88)</f>
        <v>0.2</v>
      </c>
      <c r="K88">
        <f>ROUND(Cleaned_data!$H88*Cleaned_data!$I88*(1-Cleaned_data!$J88),2)</f>
        <v>197.95</v>
      </c>
      <c r="L88" t="str">
        <f>PROPER(TRIM(Raw_Data_Copy!L88))</f>
        <v>Cash</v>
      </c>
    </row>
    <row r="89" spans="1:12" x14ac:dyDescent="0.3">
      <c r="A89" t="str">
        <f>TRIM(Raw_Data_Copy!A89)</f>
        <v>ORD-0167</v>
      </c>
      <c r="B89" s="2">
        <v>45719</v>
      </c>
      <c r="C89" t="str">
        <f>TRIM(Raw_Data_Copy!C89)</f>
        <v>CUST-0145</v>
      </c>
      <c r="D89" t="str">
        <f>PROPER(TRIM(Raw_Data_Copy!D89))</f>
        <v>United States</v>
      </c>
      <c r="E89" t="str">
        <f>PROPER(TRIM(Raw_Data_Copy!E89))</f>
        <v>North America</v>
      </c>
      <c r="F89" t="str">
        <f>PROPER(TRIM(Raw_Data_Copy!F89))</f>
        <v>Printer</v>
      </c>
      <c r="G89" t="str">
        <f>PROPER(TRIM(Raw_Data_Copy!G89))</f>
        <v>Office Supplies</v>
      </c>
      <c r="H89" t="str">
        <f>TRIM(Raw_Data_Copy!H89)</f>
        <v>1</v>
      </c>
      <c r="I89" t="str">
        <f>TRIM(Raw_Data_Copy!I89)</f>
        <v>233.69</v>
      </c>
      <c r="J89" t="str">
        <f>TRIM(Raw_Data_Copy!J89)</f>
        <v>0.1</v>
      </c>
      <c r="K89">
        <f>ROUND(Cleaned_data!$H89*Cleaned_data!$I89*(1-Cleaned_data!$J89),2)</f>
        <v>210.32</v>
      </c>
      <c r="L89" t="str">
        <f>PROPER(TRIM(Raw_Data_Copy!L89))</f>
        <v>Bank Transfer</v>
      </c>
    </row>
    <row r="90" spans="1:12" x14ac:dyDescent="0.3">
      <c r="A90" t="str">
        <f>TRIM(Raw_Data_Copy!A90)</f>
        <v>ORD-0264</v>
      </c>
      <c r="B90" s="2">
        <v>45719</v>
      </c>
      <c r="C90" t="str">
        <f>TRIM(Raw_Data_Copy!C90)</f>
        <v>CUST-0149</v>
      </c>
      <c r="D90" t="str">
        <f>PROPER(TRIM(Raw_Data_Copy!D90))</f>
        <v>Ghana</v>
      </c>
      <c r="E90" t="str">
        <f>PROPER(TRIM(Raw_Data_Copy!E90))</f>
        <v>West Africa</v>
      </c>
      <c r="F90" t="str">
        <f>PROPER(TRIM(Raw_Data_Copy!F90))</f>
        <v>Monitor</v>
      </c>
      <c r="G90" t="str">
        <f>PROPER(TRIM(Raw_Data_Copy!G90))</f>
        <v>Electronics</v>
      </c>
      <c r="H90" t="str">
        <f>TRIM(Raw_Data_Copy!H90)</f>
        <v>5</v>
      </c>
      <c r="I90" t="str">
        <f>TRIM(Raw_Data_Copy!I90)</f>
        <v>293.22</v>
      </c>
      <c r="J90" t="str">
        <f>TRIM(Raw_Data_Copy!J90)</f>
        <v>0.25</v>
      </c>
      <c r="K90">
        <f>ROUND(Cleaned_data!$H90*Cleaned_data!$I90*(1-Cleaned_data!$J90),2)</f>
        <v>1099.58</v>
      </c>
      <c r="L90" t="str">
        <f>PROPER(TRIM(Raw_Data_Copy!L90))</f>
        <v>Card</v>
      </c>
    </row>
    <row r="91" spans="1:12" x14ac:dyDescent="0.3">
      <c r="A91" t="str">
        <f>TRIM(Raw_Data_Copy!A91)</f>
        <v>ORD-0336</v>
      </c>
      <c r="B91" s="2">
        <v>45720</v>
      </c>
      <c r="C91" t="str">
        <f>TRIM(Raw_Data_Copy!C91)</f>
        <v>CUST-0073</v>
      </c>
      <c r="D91" t="str">
        <f>PROPER(TRIM(Raw_Data_Copy!D91))</f>
        <v>United States</v>
      </c>
      <c r="E91" t="str">
        <f>PROPER(TRIM(Raw_Data_Copy!E91))</f>
        <v>North America</v>
      </c>
      <c r="F91" t="str">
        <f>PROPER(TRIM(Raw_Data_Copy!F91))</f>
        <v>Printer</v>
      </c>
      <c r="G91" t="str">
        <f>PROPER(TRIM(Raw_Data_Copy!G91))</f>
        <v>Office Supplies</v>
      </c>
      <c r="H91" t="str">
        <f>TRIM(Raw_Data_Copy!H91)</f>
        <v>3</v>
      </c>
      <c r="I91" t="str">
        <f>TRIM(Raw_Data_Copy!I91)</f>
        <v>265.25</v>
      </c>
      <c r="J91" t="str">
        <f>TRIM(Raw_Data_Copy!J91)</f>
        <v>0</v>
      </c>
      <c r="K91">
        <f>ROUND(Cleaned_data!$H91*Cleaned_data!$I91*(1-Cleaned_data!$J91),2)</f>
        <v>795.75</v>
      </c>
      <c r="L91" t="str">
        <f>PROPER(TRIM(Raw_Data_Copy!L91))</f>
        <v>Cash</v>
      </c>
    </row>
    <row r="92" spans="1:12" x14ac:dyDescent="0.3">
      <c r="A92" t="str">
        <f>TRIM(Raw_Data_Copy!A92)</f>
        <v>ORD-0534</v>
      </c>
      <c r="B92" s="2">
        <v>45721</v>
      </c>
      <c r="C92" t="str">
        <f>TRIM(Raw_Data_Copy!C92)</f>
        <v>CUST-0042</v>
      </c>
      <c r="D92" t="str">
        <f>PROPER(TRIM(Raw_Data_Copy!D92))</f>
        <v>United Kingdom</v>
      </c>
      <c r="E92" t="str">
        <f>PROPER(TRIM(Raw_Data_Copy!E92))</f>
        <v>Europe</v>
      </c>
      <c r="F92" t="str">
        <f>PROPER(TRIM(Raw_Data_Copy!F92))</f>
        <v>Office Chair</v>
      </c>
      <c r="G92" t="str">
        <f>PROPER(TRIM(Raw_Data_Copy!G92))</f>
        <v>Furniture</v>
      </c>
      <c r="H92" t="str">
        <f>TRIM(Raw_Data_Copy!H92)</f>
        <v>4</v>
      </c>
      <c r="I92" t="str">
        <f>TRIM(Raw_Data_Copy!I92)</f>
        <v>200.95</v>
      </c>
      <c r="J92" t="str">
        <f>TRIM(Raw_Data_Copy!J92)</f>
        <v>0.3</v>
      </c>
      <c r="K92">
        <f>ROUND(Cleaned_data!$H92*Cleaned_data!$I92*(1-Cleaned_data!$J92),2)</f>
        <v>562.66</v>
      </c>
      <c r="L92" t="str">
        <f>PROPER(TRIM(Raw_Data_Copy!L92))</f>
        <v>Bank Transfer</v>
      </c>
    </row>
    <row r="93" spans="1:12" x14ac:dyDescent="0.3">
      <c r="A93" t="str">
        <f>TRIM(Raw_Data_Copy!A93)</f>
        <v>ORD-0161</v>
      </c>
      <c r="B93" s="2">
        <v>45722</v>
      </c>
      <c r="C93" t="str">
        <f>TRIM(Raw_Data_Copy!C93)</f>
        <v>CUST-0177</v>
      </c>
      <c r="D93" t="str">
        <f>PROPER(TRIM(Raw_Data_Copy!D93))</f>
        <v>United States</v>
      </c>
      <c r="E93" t="str">
        <f>PROPER(TRIM(Raw_Data_Copy!E93))</f>
        <v>North America</v>
      </c>
      <c r="F93" t="str">
        <f>PROPER(TRIM(Raw_Data_Copy!F93))</f>
        <v>Mouse</v>
      </c>
      <c r="G93" t="str">
        <f>PROPER(TRIM(Raw_Data_Copy!G93))</f>
        <v>Electronics</v>
      </c>
      <c r="H93" t="str">
        <f>TRIM(Raw_Data_Copy!H93)</f>
        <v>2</v>
      </c>
      <c r="I93" t="str">
        <f>TRIM(Raw_Data_Copy!I93)</f>
        <v>41.33</v>
      </c>
      <c r="J93" t="str">
        <f>TRIM(Raw_Data_Copy!J93)</f>
        <v>0.05</v>
      </c>
      <c r="K93">
        <f>ROUND(Cleaned_data!$H93*Cleaned_data!$I93*(1-Cleaned_data!$J93),2)</f>
        <v>78.53</v>
      </c>
      <c r="L93" t="str">
        <f>PROPER(TRIM(Raw_Data_Copy!L93))</f>
        <v>Mobile Money</v>
      </c>
    </row>
    <row r="94" spans="1:12" x14ac:dyDescent="0.3">
      <c r="A94" t="str">
        <f>TRIM(Raw_Data_Copy!A94)</f>
        <v>ORD-0541</v>
      </c>
      <c r="B94" s="2">
        <v>45722</v>
      </c>
      <c r="C94" t="str">
        <f>TRIM(Raw_Data_Copy!C94)</f>
        <v>CUST-0057</v>
      </c>
      <c r="D94" t="str">
        <f>PROPER(TRIM(Raw_Data_Copy!D94))</f>
        <v>Nigeria</v>
      </c>
      <c r="E94" t="str">
        <f>PROPER(TRIM(Raw_Data_Copy!E94))</f>
        <v>West Africa</v>
      </c>
      <c r="F94" t="str">
        <f>PROPER(TRIM(Raw_Data_Copy!F94))</f>
        <v>Keyboard</v>
      </c>
      <c r="G94" t="str">
        <f>PROPER(TRIM(Raw_Data_Copy!G94))</f>
        <v>Electronics</v>
      </c>
      <c r="H94" t="str">
        <f>TRIM(Raw_Data_Copy!H94)</f>
        <v>3</v>
      </c>
      <c r="I94" t="str">
        <f>TRIM(Raw_Data_Copy!I94)</f>
        <v>72.05</v>
      </c>
      <c r="J94" t="str">
        <f>TRIM(Raw_Data_Copy!J94)</f>
        <v>0</v>
      </c>
      <c r="K94">
        <f>ROUND(Cleaned_data!$H94*Cleaned_data!$I94*(1-Cleaned_data!$J94),2)</f>
        <v>216.15</v>
      </c>
      <c r="L94" t="str">
        <f>PROPER(TRIM(Raw_Data_Copy!L94))</f>
        <v>Bank Transfer</v>
      </c>
    </row>
    <row r="95" spans="1:12" x14ac:dyDescent="0.3">
      <c r="A95" t="str">
        <f>TRIM(Raw_Data_Copy!A95)</f>
        <v>ORD-0224</v>
      </c>
      <c r="B95" s="2">
        <v>45722</v>
      </c>
      <c r="C95" t="str">
        <f>TRIM(Raw_Data_Copy!C95)</f>
        <v>CUST-0076</v>
      </c>
      <c r="D95" t="str">
        <f>PROPER(TRIM(Raw_Data_Copy!D95))</f>
        <v>United States</v>
      </c>
      <c r="E95" t="str">
        <f>PROPER(TRIM(Raw_Data_Copy!E95))</f>
        <v>North America</v>
      </c>
      <c r="F95" t="str">
        <f>PROPER(TRIM(Raw_Data_Copy!F95))</f>
        <v>Laptop</v>
      </c>
      <c r="G95" t="str">
        <f>PROPER(TRIM(Raw_Data_Copy!G95))</f>
        <v>Electronics</v>
      </c>
      <c r="H95" t="str">
        <f>TRIM(Raw_Data_Copy!H95)</f>
        <v>8</v>
      </c>
      <c r="I95" t="str">
        <f>TRIM(Raw_Data_Copy!I95)</f>
        <v>863.44</v>
      </c>
      <c r="J95" t="str">
        <f>TRIM(Raw_Data_Copy!J95)</f>
        <v>0.15</v>
      </c>
      <c r="K95">
        <f>ROUND(Cleaned_data!$H95*Cleaned_data!$I95*(1-Cleaned_data!$J95),2)</f>
        <v>5871.39</v>
      </c>
      <c r="L95" t="str">
        <f>PROPER(TRIM(Raw_Data_Copy!L95))</f>
        <v>Card</v>
      </c>
    </row>
    <row r="96" spans="1:12" x14ac:dyDescent="0.3">
      <c r="A96" t="str">
        <f>TRIM(Raw_Data_Copy!A96)</f>
        <v>ORD-0342</v>
      </c>
      <c r="B96" s="2">
        <v>45722</v>
      </c>
      <c r="C96" t="str">
        <f>TRIM(Raw_Data_Copy!C96)</f>
        <v>CUST-0008</v>
      </c>
      <c r="D96" t="str">
        <f>PROPER(TRIM(Raw_Data_Copy!D96))</f>
        <v>United Kingdom</v>
      </c>
      <c r="E96" t="str">
        <f>PROPER(TRIM(Raw_Data_Copy!E96))</f>
        <v>Europe</v>
      </c>
      <c r="F96" t="str">
        <f>PROPER(TRIM(Raw_Data_Copy!F96))</f>
        <v>Mouse</v>
      </c>
      <c r="G96" t="str">
        <f>PROPER(TRIM(Raw_Data_Copy!G96))</f>
        <v>Electronics</v>
      </c>
      <c r="H96" t="str">
        <f>TRIM(Raw_Data_Copy!H96)</f>
        <v>5</v>
      </c>
      <c r="I96" t="str">
        <f>TRIM(Raw_Data_Copy!I96)</f>
        <v>40.79</v>
      </c>
      <c r="J96" t="str">
        <f>TRIM(Raw_Data_Copy!J96)</f>
        <v>0.2</v>
      </c>
      <c r="K96">
        <f>ROUND(Cleaned_data!$H96*Cleaned_data!$I96*(1-Cleaned_data!$J96),2)</f>
        <v>163.16</v>
      </c>
      <c r="L96" t="str">
        <f>PROPER(TRIM(Raw_Data_Copy!L96))</f>
        <v>Card</v>
      </c>
    </row>
    <row r="97" spans="1:12" x14ac:dyDescent="0.3">
      <c r="A97" t="str">
        <f>TRIM(Raw_Data_Copy!A97)</f>
        <v>ORD-0287</v>
      </c>
      <c r="B97" s="2">
        <v>45723</v>
      </c>
      <c r="C97" t="str">
        <f>TRIM(Raw_Data_Copy!C97)</f>
        <v>CUST-0169</v>
      </c>
      <c r="D97" t="str">
        <f>PROPER(TRIM(Raw_Data_Copy!D97))</f>
        <v>South Africa</v>
      </c>
      <c r="E97" t="str">
        <f>PROPER(TRIM(Raw_Data_Copy!E97))</f>
        <v>Southern Africa</v>
      </c>
      <c r="F97" t="str">
        <f>PROPER(TRIM(Raw_Data_Copy!F97))</f>
        <v>Mouse</v>
      </c>
      <c r="G97" t="str">
        <f>PROPER(TRIM(Raw_Data_Copy!G97))</f>
        <v>Electronics</v>
      </c>
      <c r="H97" t="str">
        <f>TRIM(Raw_Data_Copy!H97)</f>
        <v>2</v>
      </c>
      <c r="I97" t="str">
        <f>TRIM(Raw_Data_Copy!I97)</f>
        <v>47.18</v>
      </c>
      <c r="J97" t="str">
        <f>TRIM(Raw_Data_Copy!J97)</f>
        <v>0.2</v>
      </c>
      <c r="K97">
        <f>ROUND(Cleaned_data!$H97*Cleaned_data!$I97*(1-Cleaned_data!$J97),2)</f>
        <v>75.489999999999995</v>
      </c>
      <c r="L97" t="str">
        <f>PROPER(TRIM(Raw_Data_Copy!L97))</f>
        <v>Mobile Money</v>
      </c>
    </row>
    <row r="98" spans="1:12" x14ac:dyDescent="0.3">
      <c r="A98" t="str">
        <f>TRIM(Raw_Data_Copy!A98)</f>
        <v>ORD-0098</v>
      </c>
      <c r="B98" s="2">
        <v>45724</v>
      </c>
      <c r="C98" t="str">
        <f>TRIM(Raw_Data_Copy!C98)</f>
        <v>CUST-0109</v>
      </c>
      <c r="D98" t="str">
        <f>PROPER(TRIM(Raw_Data_Copy!D98))</f>
        <v>Nigeria</v>
      </c>
      <c r="E98" t="str">
        <f>PROPER(TRIM(Raw_Data_Copy!E98))</f>
        <v>West Africa</v>
      </c>
      <c r="F98" t="str">
        <f>PROPER(TRIM(Raw_Data_Copy!F98))</f>
        <v>Desk Lamp</v>
      </c>
      <c r="G98" t="str">
        <f>PROPER(TRIM(Raw_Data_Copy!G98))</f>
        <v>Furniture</v>
      </c>
      <c r="H98" t="str">
        <f>TRIM(Raw_Data_Copy!H98)</f>
        <v>1</v>
      </c>
      <c r="I98" t="str">
        <f>TRIM(Raw_Data_Copy!I98)</f>
        <v>59.3</v>
      </c>
      <c r="J98" t="str">
        <f>TRIM(Raw_Data_Copy!J98)</f>
        <v>0.1</v>
      </c>
      <c r="K98">
        <f>ROUND(Cleaned_data!$H98*Cleaned_data!$I98*(1-Cleaned_data!$J98),2)</f>
        <v>53.37</v>
      </c>
      <c r="L98" t="str">
        <f>PROPER(TRIM(Raw_Data_Copy!L98))</f>
        <v>Mobile Money</v>
      </c>
    </row>
    <row r="99" spans="1:12" x14ac:dyDescent="0.3">
      <c r="A99" t="str">
        <f>TRIM(Raw_Data_Copy!A99)</f>
        <v>ORD-0168</v>
      </c>
      <c r="B99" s="2">
        <v>45725</v>
      </c>
      <c r="C99" t="str">
        <f>TRIM(Raw_Data_Copy!C99)</f>
        <v>CUST-0142</v>
      </c>
      <c r="D99" t="str">
        <f>PROPER(TRIM(Raw_Data_Copy!D99))</f>
        <v>Ghana</v>
      </c>
      <c r="E99" t="str">
        <f>PROPER(TRIM(Raw_Data_Copy!E99))</f>
        <v>West Africa</v>
      </c>
      <c r="F99" t="str">
        <f>PROPER(TRIM(Raw_Data_Copy!F99))</f>
        <v>Headphones</v>
      </c>
      <c r="G99" t="str">
        <f>PROPER(TRIM(Raw_Data_Copy!G99))</f>
        <v>Electronics</v>
      </c>
      <c r="H99" t="str">
        <f>TRIM(Raw_Data_Copy!H99)</f>
        <v>6</v>
      </c>
      <c r="I99" t="str">
        <f>TRIM(Raw_Data_Copy!I99)</f>
        <v>122.95</v>
      </c>
      <c r="J99" t="str">
        <f>TRIM(Raw_Data_Copy!J99)</f>
        <v>0.15</v>
      </c>
      <c r="K99">
        <f>ROUND(Cleaned_data!$H99*Cleaned_data!$I99*(1-Cleaned_data!$J99),2)</f>
        <v>627.04999999999995</v>
      </c>
      <c r="L99" t="str">
        <f>PROPER(TRIM(Raw_Data_Copy!L99))</f>
        <v>Card</v>
      </c>
    </row>
    <row r="100" spans="1:12" x14ac:dyDescent="0.3">
      <c r="A100" t="str">
        <f>TRIM(Raw_Data_Copy!A100)</f>
        <v>ORD-0068</v>
      </c>
      <c r="B100" s="2">
        <v>45727</v>
      </c>
      <c r="C100" t="str">
        <f>TRIM(Raw_Data_Copy!C100)</f>
        <v>CUST-0159</v>
      </c>
      <c r="D100" t="str">
        <f>PROPER(TRIM(Raw_Data_Copy!D100))</f>
        <v>Nigeria</v>
      </c>
      <c r="E100" t="str">
        <f>PROPER(TRIM(Raw_Data_Copy!E100))</f>
        <v>West Africa</v>
      </c>
      <c r="F100" t="str">
        <f>PROPER(TRIM(Raw_Data_Copy!F100))</f>
        <v>Office Chair</v>
      </c>
      <c r="G100" t="str">
        <f>PROPER(TRIM(Raw_Data_Copy!G100))</f>
        <v>Furniture</v>
      </c>
      <c r="H100" t="str">
        <f>TRIM(Raw_Data_Copy!H100)</f>
        <v>1</v>
      </c>
      <c r="I100" t="str">
        <f>TRIM(Raw_Data_Copy!I100)</f>
        <v>239.68</v>
      </c>
      <c r="J100" t="str">
        <f>TRIM(Raw_Data_Copy!J100)</f>
        <v>0.3</v>
      </c>
      <c r="K100">
        <f>ROUND(Cleaned_data!$H100*Cleaned_data!$I100*(1-Cleaned_data!$J100),2)</f>
        <v>167.78</v>
      </c>
      <c r="L100" t="str">
        <f>PROPER(TRIM(Raw_Data_Copy!L100))</f>
        <v>Bank Transfer</v>
      </c>
    </row>
    <row r="101" spans="1:12" x14ac:dyDescent="0.3">
      <c r="A101" t="str">
        <f>TRIM(Raw_Data_Copy!A101)</f>
        <v>ORD-0289</v>
      </c>
      <c r="B101" s="2">
        <v>45727</v>
      </c>
      <c r="C101" t="str">
        <f>TRIM(Raw_Data_Copy!C101)</f>
        <v>CUST-0056</v>
      </c>
      <c r="D101" t="str">
        <f>PROPER(TRIM(Raw_Data_Copy!D101))</f>
        <v>United Kingdom</v>
      </c>
      <c r="E101" t="str">
        <f>PROPER(TRIM(Raw_Data_Copy!E101))</f>
        <v>Europe</v>
      </c>
      <c r="F101" t="str">
        <f>PROPER(TRIM(Raw_Data_Copy!F101))</f>
        <v>Desk</v>
      </c>
      <c r="G101" t="str">
        <f>PROPER(TRIM(Raw_Data_Copy!G101))</f>
        <v>Furniture</v>
      </c>
      <c r="H101" t="str">
        <f>TRIM(Raw_Data_Copy!H101)</f>
        <v>1</v>
      </c>
      <c r="I101" t="str">
        <f>TRIM(Raw_Data_Copy!I101)</f>
        <v>362.49</v>
      </c>
      <c r="J101" t="str">
        <f>TRIM(Raw_Data_Copy!J101)</f>
        <v>0.15</v>
      </c>
      <c r="K101">
        <f>ROUND(Cleaned_data!$H101*Cleaned_data!$I101*(1-Cleaned_data!$J101),2)</f>
        <v>308.12</v>
      </c>
      <c r="L101" t="str">
        <f>PROPER(TRIM(Raw_Data_Copy!L101))</f>
        <v>Bank Transfer</v>
      </c>
    </row>
    <row r="102" spans="1:12" x14ac:dyDescent="0.3">
      <c r="A102" t="str">
        <f>TRIM(Raw_Data_Copy!A102)</f>
        <v>ORD-0558</v>
      </c>
      <c r="B102" s="2">
        <v>45729</v>
      </c>
      <c r="C102" t="str">
        <f>TRIM(Raw_Data_Copy!C102)</f>
        <v>CUST-0155</v>
      </c>
      <c r="D102" t="str">
        <f>PROPER(TRIM(Raw_Data_Copy!D102))</f>
        <v>Ghana</v>
      </c>
      <c r="E102" t="str">
        <f>PROPER(TRIM(Raw_Data_Copy!E102))</f>
        <v>West Africa</v>
      </c>
      <c r="F102" t="str">
        <f>PROPER(TRIM(Raw_Data_Copy!F102))</f>
        <v>Smartphone</v>
      </c>
      <c r="G102" t="str">
        <f>PROPER(TRIM(Raw_Data_Copy!G102))</f>
        <v>Electronics</v>
      </c>
      <c r="H102" t="str">
        <f>TRIM(Raw_Data_Copy!H102)</f>
        <v>8</v>
      </c>
      <c r="I102" t="str">
        <f>TRIM(Raw_Data_Copy!I102)</f>
        <v>615.87</v>
      </c>
      <c r="J102" t="str">
        <f>TRIM(Raw_Data_Copy!J102)</f>
        <v>0</v>
      </c>
      <c r="K102">
        <f>ROUND(Cleaned_data!$H102*Cleaned_data!$I102*(1-Cleaned_data!$J102),2)</f>
        <v>4926.96</v>
      </c>
      <c r="L102" t="str">
        <f>PROPER(TRIM(Raw_Data_Copy!L102))</f>
        <v>Bank Transfer</v>
      </c>
    </row>
    <row r="103" spans="1:12" x14ac:dyDescent="0.3">
      <c r="A103" t="str">
        <f>TRIM(Raw_Data_Copy!A103)</f>
        <v>ORD-0092</v>
      </c>
      <c r="B103" s="2">
        <v>45730</v>
      </c>
      <c r="C103" t="str">
        <f>TRIM(Raw_Data_Copy!C103)</f>
        <v>CUST-0026</v>
      </c>
      <c r="D103" t="str">
        <f>PROPER(TRIM(Raw_Data_Copy!D103))</f>
        <v>Kenya</v>
      </c>
      <c r="E103" t="str">
        <f>PROPER(TRIM(Raw_Data_Copy!E103))</f>
        <v>East Africa</v>
      </c>
      <c r="F103" t="str">
        <f>PROPER(TRIM(Raw_Data_Copy!F103))</f>
        <v>Desk Lamp</v>
      </c>
      <c r="G103" t="str">
        <f>PROPER(TRIM(Raw_Data_Copy!G103))</f>
        <v>Furniture</v>
      </c>
      <c r="H103" t="str">
        <f>TRIM(Raw_Data_Copy!H103)</f>
        <v>2</v>
      </c>
      <c r="I103" t="str">
        <f>TRIM(Raw_Data_Copy!I103)</f>
        <v>59.34</v>
      </c>
      <c r="J103" t="str">
        <f>TRIM(Raw_Data_Copy!J103)</f>
        <v>0</v>
      </c>
      <c r="K103">
        <f>ROUND(Cleaned_data!$H103*Cleaned_data!$I103*(1-Cleaned_data!$J103),2)</f>
        <v>118.68</v>
      </c>
      <c r="L103" t="str">
        <f>PROPER(TRIM(Raw_Data_Copy!L103))</f>
        <v>Card</v>
      </c>
    </row>
    <row r="104" spans="1:12" x14ac:dyDescent="0.3">
      <c r="A104" t="str">
        <f>TRIM(Raw_Data_Copy!A104)</f>
        <v>ORD-0470</v>
      </c>
      <c r="B104" s="2">
        <v>45730</v>
      </c>
      <c r="C104" t="str">
        <f>TRIM(Raw_Data_Copy!C104)</f>
        <v>CUST-0046</v>
      </c>
      <c r="D104" t="str">
        <f>PROPER(TRIM(Raw_Data_Copy!D104))</f>
        <v>South Africa</v>
      </c>
      <c r="E104" t="str">
        <f>PROPER(TRIM(Raw_Data_Copy!E104))</f>
        <v>Southern Africa</v>
      </c>
      <c r="F104" t="str">
        <f>PROPER(TRIM(Raw_Data_Copy!F104))</f>
        <v>Office Chair</v>
      </c>
      <c r="G104" t="str">
        <f>PROPER(TRIM(Raw_Data_Copy!G104))</f>
        <v>Furniture</v>
      </c>
      <c r="H104" t="str">
        <f>TRIM(Raw_Data_Copy!H104)</f>
        <v>7</v>
      </c>
      <c r="I104" t="str">
        <f>TRIM(Raw_Data_Copy!I104)</f>
        <v>209.14</v>
      </c>
      <c r="J104" t="str">
        <f>TRIM(Raw_Data_Copy!J104)</f>
        <v>0.1</v>
      </c>
      <c r="K104">
        <f>ROUND(Cleaned_data!$H104*Cleaned_data!$I104*(1-Cleaned_data!$J104),2)</f>
        <v>1317.58</v>
      </c>
      <c r="L104" t="str">
        <f>PROPER(TRIM(Raw_Data_Copy!L104))</f>
        <v>Cash</v>
      </c>
    </row>
    <row r="105" spans="1:12" x14ac:dyDescent="0.3">
      <c r="A105" t="str">
        <f>TRIM(Raw_Data_Copy!A105)</f>
        <v>ORD-0472</v>
      </c>
      <c r="B105" s="2">
        <v>45730</v>
      </c>
      <c r="C105" t="str">
        <f>TRIM(Raw_Data_Copy!C105)</f>
        <v>CUST-0155</v>
      </c>
      <c r="D105" t="str">
        <f>PROPER(TRIM(Raw_Data_Copy!D105))</f>
        <v>United States</v>
      </c>
      <c r="E105" t="str">
        <f>PROPER(TRIM(Raw_Data_Copy!E105))</f>
        <v>North America</v>
      </c>
      <c r="F105" t="str">
        <f>PROPER(TRIM(Raw_Data_Copy!F105))</f>
        <v>Desk</v>
      </c>
      <c r="G105" t="str">
        <f>PROPER(TRIM(Raw_Data_Copy!G105))</f>
        <v>Furniture</v>
      </c>
      <c r="H105" t="str">
        <f>TRIM(Raw_Data_Copy!H105)</f>
        <v>7</v>
      </c>
      <c r="I105" t="str">
        <f>TRIM(Raw_Data_Copy!I105)</f>
        <v>371.5</v>
      </c>
      <c r="J105" t="str">
        <f>TRIM(Raw_Data_Copy!J105)</f>
        <v>0.2</v>
      </c>
      <c r="K105">
        <f>ROUND(Cleaned_data!$H105*Cleaned_data!$I105*(1-Cleaned_data!$J105),2)</f>
        <v>2080.4</v>
      </c>
      <c r="L105" t="str">
        <f>PROPER(TRIM(Raw_Data_Copy!L105))</f>
        <v>Bank Transfer</v>
      </c>
    </row>
    <row r="106" spans="1:12" x14ac:dyDescent="0.3">
      <c r="A106" t="str">
        <f>TRIM(Raw_Data_Copy!A106)</f>
        <v>ORD-0429</v>
      </c>
      <c r="B106" s="2">
        <v>45731</v>
      </c>
      <c r="C106" t="str">
        <f>TRIM(Raw_Data_Copy!C106)</f>
        <v>CUST-0036</v>
      </c>
      <c r="D106" t="str">
        <f>PROPER(TRIM(Raw_Data_Copy!D106))</f>
        <v>Ghana</v>
      </c>
      <c r="E106" t="str">
        <f>PROPER(TRIM(Raw_Data_Copy!E106))</f>
        <v>West Africa</v>
      </c>
      <c r="F106" t="str">
        <f>PROPER(TRIM(Raw_Data_Copy!F106))</f>
        <v>Keyboard</v>
      </c>
      <c r="G106" t="str">
        <f>PROPER(TRIM(Raw_Data_Copy!G106))</f>
        <v>Electronics</v>
      </c>
      <c r="H106" t="str">
        <f>TRIM(Raw_Data_Copy!H106)</f>
        <v>2</v>
      </c>
      <c r="I106" t="str">
        <f>TRIM(Raw_Data_Copy!I106)</f>
        <v>84.35</v>
      </c>
      <c r="J106" t="str">
        <f>TRIM(Raw_Data_Copy!J106)</f>
        <v>0.1</v>
      </c>
      <c r="K106">
        <f>ROUND(Cleaned_data!$H106*Cleaned_data!$I106*(1-Cleaned_data!$J106),2)</f>
        <v>151.83000000000001</v>
      </c>
      <c r="L106" t="str">
        <f>PROPER(TRIM(Raw_Data_Copy!L106))</f>
        <v>Card</v>
      </c>
    </row>
    <row r="107" spans="1:12" x14ac:dyDescent="0.3">
      <c r="A107" t="str">
        <f>TRIM(Raw_Data_Copy!A107)</f>
        <v>ORD-0178</v>
      </c>
      <c r="B107" s="2">
        <v>45731</v>
      </c>
      <c r="C107" t="str">
        <f>TRIM(Raw_Data_Copy!C107)</f>
        <v>CUST-0063</v>
      </c>
      <c r="D107" t="str">
        <f>PROPER(TRIM(Raw_Data_Copy!D107))</f>
        <v>Ghana</v>
      </c>
      <c r="E107" t="str">
        <f>PROPER(TRIM(Raw_Data_Copy!E107))</f>
        <v>West Africa</v>
      </c>
      <c r="F107" t="str">
        <f>PROPER(TRIM(Raw_Data_Copy!F107))</f>
        <v>Smartphone</v>
      </c>
      <c r="G107" t="str">
        <f>PROPER(TRIM(Raw_Data_Copy!G107))</f>
        <v>Electronics</v>
      </c>
      <c r="H107" t="str">
        <f>TRIM(Raw_Data_Copy!H107)</f>
        <v>4</v>
      </c>
      <c r="I107" t="str">
        <f>TRIM(Raw_Data_Copy!I107)</f>
        <v>586.18</v>
      </c>
      <c r="J107" t="str">
        <f>TRIM(Raw_Data_Copy!J107)</f>
        <v>0.2</v>
      </c>
      <c r="K107">
        <f>ROUND(Cleaned_data!$H107*Cleaned_data!$I107*(1-Cleaned_data!$J107),2)</f>
        <v>1875.78</v>
      </c>
      <c r="L107" t="str">
        <f>PROPER(TRIM(Raw_Data_Copy!L107))</f>
        <v>Card</v>
      </c>
    </row>
    <row r="108" spans="1:12" x14ac:dyDescent="0.3">
      <c r="A108" t="str">
        <f>TRIM(Raw_Data_Copy!A108)</f>
        <v>ORD-0546</v>
      </c>
      <c r="B108" s="2">
        <v>45734</v>
      </c>
      <c r="C108" t="str">
        <f>TRIM(Raw_Data_Copy!C108)</f>
        <v>CUST-0090</v>
      </c>
      <c r="D108" t="str">
        <f>PROPER(TRIM(Raw_Data_Copy!D108))</f>
        <v>Kenya</v>
      </c>
      <c r="E108" t="str">
        <f>PROPER(TRIM(Raw_Data_Copy!E108))</f>
        <v>East Africa</v>
      </c>
      <c r="F108" t="str">
        <f>PROPER(TRIM(Raw_Data_Copy!F108))</f>
        <v>Keyboard</v>
      </c>
      <c r="G108" t="str">
        <f>PROPER(TRIM(Raw_Data_Copy!G108))</f>
        <v>Electronics</v>
      </c>
      <c r="H108" t="str">
        <f>TRIM(Raw_Data_Copy!H108)</f>
        <v>5</v>
      </c>
      <c r="I108" t="str">
        <f>TRIM(Raw_Data_Copy!I108)</f>
        <v>86.24</v>
      </c>
      <c r="J108" t="str">
        <f>TRIM(Raw_Data_Copy!J108)</f>
        <v>0.2</v>
      </c>
      <c r="K108">
        <f>ROUND(Cleaned_data!$H108*Cleaned_data!$I108*(1-Cleaned_data!$J108),2)</f>
        <v>344.96</v>
      </c>
      <c r="L108" t="str">
        <f>PROPER(TRIM(Raw_Data_Copy!L108))</f>
        <v>Mobile Money</v>
      </c>
    </row>
    <row r="109" spans="1:12" x14ac:dyDescent="0.3">
      <c r="A109" t="str">
        <f>TRIM(Raw_Data_Copy!A109)</f>
        <v>ORD-0297</v>
      </c>
      <c r="B109" s="2">
        <v>45735</v>
      </c>
      <c r="C109" t="str">
        <f>TRIM(Raw_Data_Copy!C109)</f>
        <v>CUST-0124</v>
      </c>
      <c r="D109" t="str">
        <f>PROPER(TRIM(Raw_Data_Copy!D109))</f>
        <v>Kenya</v>
      </c>
      <c r="E109" t="str">
        <f>PROPER(TRIM(Raw_Data_Copy!E109))</f>
        <v>East Africa</v>
      </c>
      <c r="F109" t="str">
        <f>PROPER(TRIM(Raw_Data_Copy!F109))</f>
        <v>Office Chair</v>
      </c>
      <c r="G109" t="str">
        <f>PROPER(TRIM(Raw_Data_Copy!G109))</f>
        <v>Furniture</v>
      </c>
      <c r="H109" t="str">
        <f>TRIM(Raw_Data_Copy!H109)</f>
        <v>4</v>
      </c>
      <c r="I109" t="str">
        <f>TRIM(Raw_Data_Copy!I109)</f>
        <v>232.57</v>
      </c>
      <c r="J109" t="str">
        <f>TRIM(Raw_Data_Copy!J109)</f>
        <v>0</v>
      </c>
      <c r="K109">
        <f>ROUND(Cleaned_data!$H109*Cleaned_data!$I109*(1-Cleaned_data!$J109),2)</f>
        <v>930.28</v>
      </c>
      <c r="L109" t="str">
        <f>PROPER(TRIM(Raw_Data_Copy!L109))</f>
        <v>Card</v>
      </c>
    </row>
    <row r="110" spans="1:12" x14ac:dyDescent="0.3">
      <c r="A110" t="str">
        <f>TRIM(Raw_Data_Copy!A110)</f>
        <v>ORD-0111</v>
      </c>
      <c r="B110" s="2">
        <v>45735</v>
      </c>
      <c r="C110" t="str">
        <f>TRIM(Raw_Data_Copy!C110)</f>
        <v>CUST-0154</v>
      </c>
      <c r="D110" t="str">
        <f>PROPER(TRIM(Raw_Data_Copy!D110))</f>
        <v>United Kingdom</v>
      </c>
      <c r="E110" t="str">
        <f>PROPER(TRIM(Raw_Data_Copy!E110))</f>
        <v>Europe</v>
      </c>
      <c r="F110" t="str">
        <f>PROPER(TRIM(Raw_Data_Copy!F110))</f>
        <v>Desk Lamp</v>
      </c>
      <c r="G110" t="str">
        <f>PROPER(TRIM(Raw_Data_Copy!G110))</f>
        <v>Furniture</v>
      </c>
      <c r="H110" t="str">
        <f>TRIM(Raw_Data_Copy!H110)</f>
        <v>6</v>
      </c>
      <c r="I110" t="str">
        <f>TRIM(Raw_Data_Copy!I110)</f>
        <v>58.58</v>
      </c>
      <c r="J110" t="str">
        <f>TRIM(Raw_Data_Copy!J110)</f>
        <v>0</v>
      </c>
      <c r="K110">
        <f>ROUND(Cleaned_data!$H110*Cleaned_data!$I110*(1-Cleaned_data!$J110),2)</f>
        <v>351.48</v>
      </c>
      <c r="L110" t="str">
        <f>PROPER(TRIM(Raw_Data_Copy!L110))</f>
        <v>Card</v>
      </c>
    </row>
    <row r="111" spans="1:12" x14ac:dyDescent="0.3">
      <c r="A111" t="str">
        <f>TRIM(Raw_Data_Copy!A111)</f>
        <v>ORD-0453</v>
      </c>
      <c r="B111" s="2">
        <v>45735</v>
      </c>
      <c r="C111" t="str">
        <f>TRIM(Raw_Data_Copy!C111)</f>
        <v>CUST-0058</v>
      </c>
      <c r="D111" t="str">
        <f>PROPER(TRIM(Raw_Data_Copy!D111))</f>
        <v>Kenya</v>
      </c>
      <c r="E111" t="str">
        <f>PROPER(TRIM(Raw_Data_Copy!E111))</f>
        <v>East Africa</v>
      </c>
      <c r="F111" t="str">
        <f>PROPER(TRIM(Raw_Data_Copy!F111))</f>
        <v>Office Chair</v>
      </c>
      <c r="G111" t="str">
        <f>PROPER(TRIM(Raw_Data_Copy!G111))</f>
        <v>Furniture</v>
      </c>
      <c r="H111" t="str">
        <f>TRIM(Raw_Data_Copy!H111)</f>
        <v>2</v>
      </c>
      <c r="I111" t="str">
        <f>TRIM(Raw_Data_Copy!I111)</f>
        <v>198.71</v>
      </c>
      <c r="J111" t="str">
        <f>TRIM(Raw_Data_Copy!J111)</f>
        <v>0.2</v>
      </c>
      <c r="K111">
        <f>ROUND(Cleaned_data!$H111*Cleaned_data!$I111*(1-Cleaned_data!$J111),2)</f>
        <v>317.94</v>
      </c>
      <c r="L111" t="str">
        <f>PROPER(TRIM(Raw_Data_Copy!L111))</f>
        <v>Card</v>
      </c>
    </row>
    <row r="112" spans="1:12" x14ac:dyDescent="0.3">
      <c r="A112" t="str">
        <f>TRIM(Raw_Data_Copy!A112)</f>
        <v>ORD-0434</v>
      </c>
      <c r="B112" s="2">
        <v>45739</v>
      </c>
      <c r="C112" t="str">
        <f>TRIM(Raw_Data_Copy!C112)</f>
        <v>CUST-0068</v>
      </c>
      <c r="D112" t="str">
        <f>PROPER(TRIM(Raw_Data_Copy!D112))</f>
        <v>South Africa</v>
      </c>
      <c r="E112" t="str">
        <f>PROPER(TRIM(Raw_Data_Copy!E112))</f>
        <v>Southern Africa</v>
      </c>
      <c r="F112" t="str">
        <f>PROPER(TRIM(Raw_Data_Copy!F112))</f>
        <v>Laptop</v>
      </c>
      <c r="G112" t="str">
        <f>PROPER(TRIM(Raw_Data_Copy!G112))</f>
        <v>Electronics</v>
      </c>
      <c r="H112" t="str">
        <f>TRIM(Raw_Data_Copy!H112)</f>
        <v>2</v>
      </c>
      <c r="I112" t="str">
        <f>TRIM(Raw_Data_Copy!I112)</f>
        <v>988.64</v>
      </c>
      <c r="J112" t="str">
        <f>TRIM(Raw_Data_Copy!J112)</f>
        <v>0.1</v>
      </c>
      <c r="K112">
        <f>ROUND(Cleaned_data!$H112*Cleaned_data!$I112*(1-Cleaned_data!$J112),2)</f>
        <v>1779.55</v>
      </c>
      <c r="L112" t="str">
        <f>PROPER(TRIM(Raw_Data_Copy!L112))</f>
        <v>Mobile Money</v>
      </c>
    </row>
    <row r="113" spans="1:12" x14ac:dyDescent="0.3">
      <c r="A113" t="str">
        <f>TRIM(Raw_Data_Copy!A113)</f>
        <v>ORD-0176</v>
      </c>
      <c r="B113" s="2">
        <v>45739</v>
      </c>
      <c r="C113" t="str">
        <f>TRIM(Raw_Data_Copy!C113)</f>
        <v>CUST-0100</v>
      </c>
      <c r="D113" t="str">
        <f>PROPER(TRIM(Raw_Data_Copy!D113))</f>
        <v>Kenya</v>
      </c>
      <c r="E113" t="str">
        <f>PROPER(TRIM(Raw_Data_Copy!E113))</f>
        <v>East Africa</v>
      </c>
      <c r="F113" t="str">
        <f>PROPER(TRIM(Raw_Data_Copy!F113))</f>
        <v>Monitor</v>
      </c>
      <c r="G113" t="str">
        <f>PROPER(TRIM(Raw_Data_Copy!G113))</f>
        <v>Electronics</v>
      </c>
      <c r="H113" t="str">
        <f>TRIM(Raw_Data_Copy!H113)</f>
        <v>2</v>
      </c>
      <c r="I113" t="str">
        <f>TRIM(Raw_Data_Copy!I113)</f>
        <v>277.73</v>
      </c>
      <c r="J113" t="str">
        <f>TRIM(Raw_Data_Copy!J113)</f>
        <v>0.05</v>
      </c>
      <c r="K113">
        <f>ROUND(Cleaned_data!$H113*Cleaned_data!$I113*(1-Cleaned_data!$J113),2)</f>
        <v>527.69000000000005</v>
      </c>
      <c r="L113" t="str">
        <f>PROPER(TRIM(Raw_Data_Copy!L113))</f>
        <v>Bank Transfer</v>
      </c>
    </row>
    <row r="114" spans="1:12" x14ac:dyDescent="0.3">
      <c r="A114" t="str">
        <f>TRIM(Raw_Data_Copy!A114)</f>
        <v>ORD-0457</v>
      </c>
      <c r="B114" s="2">
        <v>45740</v>
      </c>
      <c r="C114" t="str">
        <f>TRIM(Raw_Data_Copy!C114)</f>
        <v>CUST-0179</v>
      </c>
      <c r="D114" t="str">
        <f>PROPER(TRIM(Raw_Data_Copy!D114))</f>
        <v>Kenya</v>
      </c>
      <c r="E114" t="str">
        <f>PROPER(TRIM(Raw_Data_Copy!E114))</f>
        <v>East Africa</v>
      </c>
      <c r="F114" t="str">
        <f>PROPER(TRIM(Raw_Data_Copy!F114))</f>
        <v>Keyboard</v>
      </c>
      <c r="G114" t="str">
        <f>PROPER(TRIM(Raw_Data_Copy!G114))</f>
        <v>Electronics</v>
      </c>
      <c r="H114" t="str">
        <f>TRIM(Raw_Data_Copy!H114)</f>
        <v>7</v>
      </c>
      <c r="I114" t="str">
        <f>TRIM(Raw_Data_Copy!I114)</f>
        <v>77.01</v>
      </c>
      <c r="J114" t="str">
        <f>TRIM(Raw_Data_Copy!J114)</f>
        <v>0.25</v>
      </c>
      <c r="K114">
        <f>ROUND(Cleaned_data!$H114*Cleaned_data!$I114*(1-Cleaned_data!$J114),2)</f>
        <v>404.3</v>
      </c>
      <c r="L114" t="str">
        <f>PROPER(TRIM(Raw_Data_Copy!L114))</f>
        <v>Bank Transfer</v>
      </c>
    </row>
    <row r="115" spans="1:12" x14ac:dyDescent="0.3">
      <c r="A115" t="str">
        <f>TRIM(Raw_Data_Copy!A115)</f>
        <v>ORD-0260</v>
      </c>
      <c r="B115" s="2">
        <v>45740</v>
      </c>
      <c r="C115" t="str">
        <f>TRIM(Raw_Data_Copy!C115)</f>
        <v>CUST-0137</v>
      </c>
      <c r="D115" t="str">
        <f>PROPER(TRIM(Raw_Data_Copy!D115))</f>
        <v>Ghana</v>
      </c>
      <c r="E115" t="str">
        <f>PROPER(TRIM(Raw_Data_Copy!E115))</f>
        <v>West Africa</v>
      </c>
      <c r="F115" t="str">
        <f>PROPER(TRIM(Raw_Data_Copy!F115))</f>
        <v>Notebook</v>
      </c>
      <c r="G115" t="str">
        <f>PROPER(TRIM(Raw_Data_Copy!G115))</f>
        <v>Office Supplies</v>
      </c>
      <c r="H115" t="str">
        <f>TRIM(Raw_Data_Copy!H115)</f>
        <v>2</v>
      </c>
      <c r="I115" t="str">
        <f>TRIM(Raw_Data_Copy!I115)</f>
        <v>13.67</v>
      </c>
      <c r="J115" t="str">
        <f>TRIM(Raw_Data_Copy!J115)</f>
        <v>0.15</v>
      </c>
      <c r="K115">
        <f>ROUND(Cleaned_data!$H115*Cleaned_data!$I115*(1-Cleaned_data!$J115),2)</f>
        <v>23.24</v>
      </c>
      <c r="L115" t="str">
        <f>PROPER(TRIM(Raw_Data_Copy!L115))</f>
        <v>Cash</v>
      </c>
    </row>
    <row r="116" spans="1:12" x14ac:dyDescent="0.3">
      <c r="A116" t="str">
        <f>TRIM(Raw_Data_Copy!A116)</f>
        <v>ORD-0335</v>
      </c>
      <c r="B116" s="2">
        <v>45740</v>
      </c>
      <c r="C116" t="str">
        <f>TRIM(Raw_Data_Copy!C116)</f>
        <v>CUST-0110</v>
      </c>
      <c r="D116" t="str">
        <f>PROPER(TRIM(Raw_Data_Copy!D116))</f>
        <v>Ghana</v>
      </c>
      <c r="E116" t="str">
        <f>PROPER(TRIM(Raw_Data_Copy!E116))</f>
        <v>West Africa</v>
      </c>
      <c r="F116" t="str">
        <f>PROPER(TRIM(Raw_Data_Copy!F116))</f>
        <v>Keyboard</v>
      </c>
      <c r="G116" t="str">
        <f>PROPER(TRIM(Raw_Data_Copy!G116))</f>
        <v>Electronics</v>
      </c>
      <c r="H116" t="str">
        <f>TRIM(Raw_Data_Copy!H116)</f>
        <v>6</v>
      </c>
      <c r="I116" t="str">
        <f>TRIM(Raw_Data_Copy!I116)</f>
        <v>86.69</v>
      </c>
      <c r="J116" t="str">
        <f>TRIM(Raw_Data_Copy!J116)</f>
        <v>0.05</v>
      </c>
      <c r="K116">
        <f>ROUND(Cleaned_data!$H116*Cleaned_data!$I116*(1-Cleaned_data!$J116),2)</f>
        <v>494.13</v>
      </c>
      <c r="L116" t="str">
        <f>PROPER(TRIM(Raw_Data_Copy!L116))</f>
        <v>Bank Transfer</v>
      </c>
    </row>
    <row r="117" spans="1:12" x14ac:dyDescent="0.3">
      <c r="A117" t="str">
        <f>TRIM(Raw_Data_Copy!A117)</f>
        <v>ORD-0208</v>
      </c>
      <c r="B117" s="2">
        <v>45741</v>
      </c>
      <c r="C117" t="str">
        <f>TRIM(Raw_Data_Copy!C117)</f>
        <v>CUST-0130</v>
      </c>
      <c r="D117" t="str">
        <f>PROPER(TRIM(Raw_Data_Copy!D117))</f>
        <v>Kenya</v>
      </c>
      <c r="E117" t="str">
        <f>PROPER(TRIM(Raw_Data_Copy!E117))</f>
        <v>East Africa</v>
      </c>
      <c r="F117" t="str">
        <f>PROPER(TRIM(Raw_Data_Copy!F117))</f>
        <v>Backpack</v>
      </c>
      <c r="G117" t="str">
        <f>PROPER(TRIM(Raw_Data_Copy!G117))</f>
        <v>Accessories</v>
      </c>
      <c r="H117" t="str">
        <f>TRIM(Raw_Data_Copy!H117)</f>
        <v>4</v>
      </c>
      <c r="I117" t="str">
        <f>TRIM(Raw_Data_Copy!I117)</f>
        <v>73.58</v>
      </c>
      <c r="J117" t="str">
        <f>TRIM(Raw_Data_Copy!J117)</f>
        <v>0.1</v>
      </c>
      <c r="K117">
        <f>ROUND(Cleaned_data!$H117*Cleaned_data!$I117*(1-Cleaned_data!$J117),2)</f>
        <v>264.89</v>
      </c>
      <c r="L117" t="str">
        <f>PROPER(TRIM(Raw_Data_Copy!L117))</f>
        <v>Mobile Money</v>
      </c>
    </row>
    <row r="118" spans="1:12" x14ac:dyDescent="0.3">
      <c r="A118" t="str">
        <f>TRIM(Raw_Data_Copy!A118)</f>
        <v>ORD-0355</v>
      </c>
      <c r="B118" s="2">
        <v>45741</v>
      </c>
      <c r="C118" t="str">
        <f>TRIM(Raw_Data_Copy!C118)</f>
        <v>CUST-0113</v>
      </c>
      <c r="D118" t="str">
        <f>PROPER(TRIM(Raw_Data_Copy!D118))</f>
        <v>Ghana</v>
      </c>
      <c r="E118" t="str">
        <f>PROPER(TRIM(Raw_Data_Copy!E118))</f>
        <v>West Africa</v>
      </c>
      <c r="F118" t="str">
        <f>PROPER(TRIM(Raw_Data_Copy!F118))</f>
        <v>Laptop</v>
      </c>
      <c r="G118" t="str">
        <f>PROPER(TRIM(Raw_Data_Copy!G118))</f>
        <v>Electronics</v>
      </c>
      <c r="H118" t="str">
        <f>TRIM(Raw_Data_Copy!H118)</f>
        <v>7</v>
      </c>
      <c r="I118" t="str">
        <f>TRIM(Raw_Data_Copy!I118)</f>
        <v>929.28</v>
      </c>
      <c r="J118" t="str">
        <f>TRIM(Raw_Data_Copy!J118)</f>
        <v>0</v>
      </c>
      <c r="K118">
        <f>ROUND(Cleaned_data!$H118*Cleaned_data!$I118*(1-Cleaned_data!$J118),2)</f>
        <v>6504.96</v>
      </c>
      <c r="L118" t="str">
        <f>PROPER(TRIM(Raw_Data_Copy!L118))</f>
        <v>Mobile Money</v>
      </c>
    </row>
    <row r="119" spans="1:12" x14ac:dyDescent="0.3">
      <c r="A119" t="str">
        <f>TRIM(Raw_Data_Copy!A119)</f>
        <v>ORD-0334</v>
      </c>
      <c r="B119" s="2">
        <v>45741</v>
      </c>
      <c r="C119" t="str">
        <f>TRIM(Raw_Data_Copy!C119)</f>
        <v>CUST-0113</v>
      </c>
      <c r="D119" t="str">
        <f>PROPER(TRIM(Raw_Data_Copy!D119))</f>
        <v>United States</v>
      </c>
      <c r="E119" t="str">
        <f>PROPER(TRIM(Raw_Data_Copy!E119))</f>
        <v>North America</v>
      </c>
      <c r="F119" t="str">
        <f>PROPER(TRIM(Raw_Data_Copy!F119))</f>
        <v>Keyboard</v>
      </c>
      <c r="G119" t="str">
        <f>PROPER(TRIM(Raw_Data_Copy!G119))</f>
        <v>Electronics</v>
      </c>
      <c r="H119" t="str">
        <f>TRIM(Raw_Data_Copy!H119)</f>
        <v>6</v>
      </c>
      <c r="I119" t="str">
        <f>TRIM(Raw_Data_Copy!I119)</f>
        <v>78.09</v>
      </c>
      <c r="J119" t="str">
        <f>TRIM(Raw_Data_Copy!J119)</f>
        <v>0.3</v>
      </c>
      <c r="K119">
        <f>ROUND(Cleaned_data!$H119*Cleaned_data!$I119*(1-Cleaned_data!$J119),2)</f>
        <v>327.98</v>
      </c>
      <c r="L119" t="str">
        <f>PROPER(TRIM(Raw_Data_Copy!L119))</f>
        <v>Card</v>
      </c>
    </row>
    <row r="120" spans="1:12" x14ac:dyDescent="0.3">
      <c r="A120" t="str">
        <f>TRIM(Raw_Data_Copy!A120)</f>
        <v>ORD-0438</v>
      </c>
      <c r="B120" s="2">
        <v>45741</v>
      </c>
      <c r="C120" t="str">
        <f>TRIM(Raw_Data_Copy!C120)</f>
        <v>CUST-0143</v>
      </c>
      <c r="D120" t="str">
        <f>PROPER(TRIM(Raw_Data_Copy!D120))</f>
        <v>United States</v>
      </c>
      <c r="E120" t="str">
        <f>PROPER(TRIM(Raw_Data_Copy!E120))</f>
        <v>North America</v>
      </c>
      <c r="F120" t="str">
        <f>PROPER(TRIM(Raw_Data_Copy!F120))</f>
        <v>Printer</v>
      </c>
      <c r="G120" t="str">
        <f>PROPER(TRIM(Raw_Data_Copy!G120))</f>
        <v>Office Supplies</v>
      </c>
      <c r="H120" t="str">
        <f>TRIM(Raw_Data_Copy!H120)</f>
        <v>8</v>
      </c>
      <c r="I120" t="str">
        <f>TRIM(Raw_Data_Copy!I120)</f>
        <v>245.05</v>
      </c>
      <c r="J120" t="str">
        <f>TRIM(Raw_Data_Copy!J120)</f>
        <v>0.15</v>
      </c>
      <c r="K120">
        <f>ROUND(Cleaned_data!$H120*Cleaned_data!$I120*(1-Cleaned_data!$J120),2)</f>
        <v>1666.34</v>
      </c>
      <c r="L120" t="str">
        <f>PROPER(TRIM(Raw_Data_Copy!L120))</f>
        <v>Bank Transfer</v>
      </c>
    </row>
    <row r="121" spans="1:12" x14ac:dyDescent="0.3">
      <c r="A121" t="str">
        <f>TRIM(Raw_Data_Copy!A121)</f>
        <v>ORD-0318</v>
      </c>
      <c r="B121" s="2">
        <v>45742</v>
      </c>
      <c r="C121" t="str">
        <f>TRIM(Raw_Data_Copy!C121)</f>
        <v>CUST-0072</v>
      </c>
      <c r="D121" t="str">
        <f>PROPER(TRIM(Raw_Data_Copy!D121))</f>
        <v>Ghana</v>
      </c>
      <c r="E121" t="str">
        <f>PROPER(TRIM(Raw_Data_Copy!E121))</f>
        <v>West Africa</v>
      </c>
      <c r="F121" t="str">
        <f>PROPER(TRIM(Raw_Data_Copy!F121))</f>
        <v>Desk Lamp</v>
      </c>
      <c r="G121" t="str">
        <f>PROPER(TRIM(Raw_Data_Copy!G121))</f>
        <v>Furniture</v>
      </c>
      <c r="H121" t="str">
        <f>TRIM(Raw_Data_Copy!H121)</f>
        <v>2</v>
      </c>
      <c r="I121" t="str">
        <f>TRIM(Raw_Data_Copy!I121)</f>
        <v>50.53</v>
      </c>
      <c r="J121" t="str">
        <f>TRIM(Raw_Data_Copy!J121)</f>
        <v>0.05</v>
      </c>
      <c r="K121">
        <f>ROUND(Cleaned_data!$H121*Cleaned_data!$I121*(1-Cleaned_data!$J121),2)</f>
        <v>96.01</v>
      </c>
      <c r="L121" t="str">
        <f>PROPER(TRIM(Raw_Data_Copy!L121))</f>
        <v>Bank Transfer</v>
      </c>
    </row>
    <row r="122" spans="1:12" x14ac:dyDescent="0.3">
      <c r="A122" t="str">
        <f>TRIM(Raw_Data_Copy!A122)</f>
        <v>ORD-0498</v>
      </c>
      <c r="B122" s="2">
        <v>45743</v>
      </c>
      <c r="C122" t="str">
        <f>TRIM(Raw_Data_Copy!C122)</f>
        <v>CUST-0080</v>
      </c>
      <c r="D122" t="str">
        <f>PROPER(TRIM(Raw_Data_Copy!D122))</f>
        <v>United States</v>
      </c>
      <c r="E122" t="str">
        <f>PROPER(TRIM(Raw_Data_Copy!E122))</f>
        <v>North America</v>
      </c>
      <c r="F122" t="str">
        <f>PROPER(TRIM(Raw_Data_Copy!F122))</f>
        <v>Backpack</v>
      </c>
      <c r="G122" t="str">
        <f>PROPER(TRIM(Raw_Data_Copy!G122))</f>
        <v>Accessories</v>
      </c>
      <c r="H122" t="str">
        <f>TRIM(Raw_Data_Copy!H122)</f>
        <v>4</v>
      </c>
      <c r="I122" t="str">
        <f>TRIM(Raw_Data_Copy!I122)</f>
        <v>77.96</v>
      </c>
      <c r="J122" t="str">
        <f>TRIM(Raw_Data_Copy!J122)</f>
        <v>0.15</v>
      </c>
      <c r="K122">
        <f>ROUND(Cleaned_data!$H122*Cleaned_data!$I122*(1-Cleaned_data!$J122),2)</f>
        <v>265.06</v>
      </c>
      <c r="L122" t="str">
        <f>PROPER(TRIM(Raw_Data_Copy!L122))</f>
        <v>Mobile Money</v>
      </c>
    </row>
    <row r="123" spans="1:12" x14ac:dyDescent="0.3">
      <c r="A123" t="str">
        <f>TRIM(Raw_Data_Copy!A123)</f>
        <v>ORD-0017</v>
      </c>
      <c r="B123" s="2">
        <v>45743</v>
      </c>
      <c r="C123" t="str">
        <f>TRIM(Raw_Data_Copy!C123)</f>
        <v>CUST-0028</v>
      </c>
      <c r="D123" t="str">
        <f>PROPER(TRIM(Raw_Data_Copy!D123))</f>
        <v>South Africa</v>
      </c>
      <c r="E123" t="str">
        <f>PROPER(TRIM(Raw_Data_Copy!E123))</f>
        <v>Southern Africa</v>
      </c>
      <c r="F123" t="str">
        <f>PROPER(TRIM(Raw_Data_Copy!F123))</f>
        <v>Notebook</v>
      </c>
      <c r="G123" t="str">
        <f>PROPER(TRIM(Raw_Data_Copy!G123))</f>
        <v>Office Supplies</v>
      </c>
      <c r="H123" t="str">
        <f>TRIM(Raw_Data_Copy!H123)</f>
        <v>5</v>
      </c>
      <c r="I123" t="str">
        <f>TRIM(Raw_Data_Copy!I123)</f>
        <v>14.19</v>
      </c>
      <c r="J123" t="str">
        <f>TRIM(Raw_Data_Copy!J123)</f>
        <v>0</v>
      </c>
      <c r="K123">
        <f>ROUND(Cleaned_data!$H123*Cleaned_data!$I123*(1-Cleaned_data!$J123),2)</f>
        <v>70.95</v>
      </c>
      <c r="L123" t="str">
        <f>PROPER(TRIM(Raw_Data_Copy!L123))</f>
        <v>Card</v>
      </c>
    </row>
    <row r="124" spans="1:12" x14ac:dyDescent="0.3">
      <c r="A124" t="str">
        <f>TRIM(Raw_Data_Copy!A124)</f>
        <v>ORD-0193</v>
      </c>
      <c r="B124" s="2">
        <v>45743</v>
      </c>
      <c r="C124" t="str">
        <f>TRIM(Raw_Data_Copy!C124)</f>
        <v>CUST-0092</v>
      </c>
      <c r="D124" t="str">
        <f>PROPER(TRIM(Raw_Data_Copy!D124))</f>
        <v>Ghana</v>
      </c>
      <c r="E124" t="str">
        <f>PROPER(TRIM(Raw_Data_Copy!E124))</f>
        <v>West Africa</v>
      </c>
      <c r="F124" t="str">
        <f>PROPER(TRIM(Raw_Data_Copy!F124))</f>
        <v>Laptop</v>
      </c>
      <c r="G124" t="str">
        <f>PROPER(TRIM(Raw_Data_Copy!G124))</f>
        <v>Electronics</v>
      </c>
      <c r="H124" t="str">
        <f>TRIM(Raw_Data_Copy!H124)</f>
        <v>4</v>
      </c>
      <c r="I124" t="str">
        <f>TRIM(Raw_Data_Copy!I124)</f>
        <v>987.6</v>
      </c>
      <c r="J124" t="str">
        <f>TRIM(Raw_Data_Copy!J124)</f>
        <v>0</v>
      </c>
      <c r="K124">
        <f>ROUND(Cleaned_data!$H124*Cleaned_data!$I124*(1-Cleaned_data!$J124),2)</f>
        <v>3950.4</v>
      </c>
      <c r="L124" t="str">
        <f>PROPER(TRIM(Raw_Data_Copy!L124))</f>
        <v>Mobile Money</v>
      </c>
    </row>
    <row r="125" spans="1:12" x14ac:dyDescent="0.3">
      <c r="A125" t="str">
        <f>TRIM(Raw_Data_Copy!A125)</f>
        <v>ORD-0570</v>
      </c>
      <c r="B125" s="2">
        <v>45744</v>
      </c>
      <c r="C125" t="str">
        <f>TRIM(Raw_Data_Copy!C125)</f>
        <v>CUST-0176</v>
      </c>
      <c r="D125" t="str">
        <f>PROPER(TRIM(Raw_Data_Copy!D125))</f>
        <v>Nigeria</v>
      </c>
      <c r="E125" t="str">
        <f>PROPER(TRIM(Raw_Data_Copy!E125))</f>
        <v>West Africa</v>
      </c>
      <c r="F125" t="str">
        <f>PROPER(TRIM(Raw_Data_Copy!F125))</f>
        <v>Smartphone</v>
      </c>
      <c r="G125" t="str">
        <f>PROPER(TRIM(Raw_Data_Copy!G125))</f>
        <v>Electronics</v>
      </c>
      <c r="H125" t="str">
        <f>TRIM(Raw_Data_Copy!H125)</f>
        <v>7</v>
      </c>
      <c r="I125" t="str">
        <f>TRIM(Raw_Data_Copy!I125)</f>
        <v>700</v>
      </c>
      <c r="J125" t="str">
        <f>TRIM(Raw_Data_Copy!J125)</f>
        <v>0.2</v>
      </c>
      <c r="K125">
        <f>ROUND(Cleaned_data!$H125*Cleaned_data!$I125*(1-Cleaned_data!$J125),2)</f>
        <v>3920</v>
      </c>
      <c r="L125" t="str">
        <f>PROPER(TRIM(Raw_Data_Copy!L125))</f>
        <v>Cash</v>
      </c>
    </row>
    <row r="126" spans="1:12" x14ac:dyDescent="0.3">
      <c r="A126" t="str">
        <f>TRIM(Raw_Data_Copy!A126)</f>
        <v>ORD-0283</v>
      </c>
      <c r="B126" s="2">
        <v>45745</v>
      </c>
      <c r="C126" t="str">
        <f>TRIM(Raw_Data_Copy!C126)</f>
        <v>CUST-0044</v>
      </c>
      <c r="D126" t="str">
        <f>PROPER(TRIM(Raw_Data_Copy!D126))</f>
        <v>Ghana</v>
      </c>
      <c r="E126" t="str">
        <f>PROPER(TRIM(Raw_Data_Copy!E126))</f>
        <v>West Africa</v>
      </c>
      <c r="F126" t="str">
        <f>PROPER(TRIM(Raw_Data_Copy!F126))</f>
        <v>Desk</v>
      </c>
      <c r="G126" t="str">
        <f>PROPER(TRIM(Raw_Data_Copy!G126))</f>
        <v>Furniture</v>
      </c>
      <c r="H126" t="str">
        <f>TRIM(Raw_Data_Copy!H126)</f>
        <v>7</v>
      </c>
      <c r="I126" t="str">
        <f>TRIM(Raw_Data_Copy!I126)</f>
        <v>321.43</v>
      </c>
      <c r="J126" t="str">
        <f>TRIM(Raw_Data_Copy!J126)</f>
        <v>0.25</v>
      </c>
      <c r="K126">
        <f>ROUND(Cleaned_data!$H126*Cleaned_data!$I126*(1-Cleaned_data!$J126),2)</f>
        <v>1687.51</v>
      </c>
      <c r="L126" t="str">
        <f>PROPER(TRIM(Raw_Data_Copy!L126))</f>
        <v>Mobile Money</v>
      </c>
    </row>
    <row r="127" spans="1:12" x14ac:dyDescent="0.3">
      <c r="A127" t="str">
        <f>TRIM(Raw_Data_Copy!A127)</f>
        <v>ORD-0125</v>
      </c>
      <c r="B127" s="2">
        <v>45747</v>
      </c>
      <c r="C127" t="str">
        <f>TRIM(Raw_Data_Copy!C127)</f>
        <v>CUST-0075</v>
      </c>
      <c r="D127" t="str">
        <f>PROPER(TRIM(Raw_Data_Copy!D127))</f>
        <v>Ghana</v>
      </c>
      <c r="E127" t="str">
        <f>PROPER(TRIM(Raw_Data_Copy!E127))</f>
        <v>West Africa</v>
      </c>
      <c r="F127" t="str">
        <f>PROPER(TRIM(Raw_Data_Copy!F127))</f>
        <v>Mouse</v>
      </c>
      <c r="G127" t="str">
        <f>PROPER(TRIM(Raw_Data_Copy!G127))</f>
        <v>Electronics</v>
      </c>
      <c r="H127" t="str">
        <f>TRIM(Raw_Data_Copy!H127)</f>
        <v>5</v>
      </c>
      <c r="I127" t="str">
        <f>TRIM(Raw_Data_Copy!I127)</f>
        <v>45.93</v>
      </c>
      <c r="J127" t="str">
        <f>TRIM(Raw_Data_Copy!J127)</f>
        <v>0</v>
      </c>
      <c r="K127">
        <f>ROUND(Cleaned_data!$H127*Cleaned_data!$I127*(1-Cleaned_data!$J127),2)</f>
        <v>229.65</v>
      </c>
      <c r="L127" t="str">
        <f>PROPER(TRIM(Raw_Data_Copy!L127))</f>
        <v>Card</v>
      </c>
    </row>
    <row r="128" spans="1:12" x14ac:dyDescent="0.3">
      <c r="A128" t="str">
        <f>TRIM(Raw_Data_Copy!A128)</f>
        <v>ORD-0057</v>
      </c>
      <c r="B128" s="2">
        <v>45747</v>
      </c>
      <c r="C128" t="str">
        <f>TRIM(Raw_Data_Copy!C128)</f>
        <v>CUST-0162</v>
      </c>
      <c r="D128" t="str">
        <f>PROPER(TRIM(Raw_Data_Copy!D128))</f>
        <v>Ghana</v>
      </c>
      <c r="E128" t="str">
        <f>PROPER(TRIM(Raw_Data_Copy!E128))</f>
        <v>West Africa</v>
      </c>
      <c r="F128" t="str">
        <f>PROPER(TRIM(Raw_Data_Copy!F128))</f>
        <v>Headphones</v>
      </c>
      <c r="G128" t="str">
        <f>PROPER(TRIM(Raw_Data_Copy!G128))</f>
        <v>Electronics</v>
      </c>
      <c r="H128" t="str">
        <f>TRIM(Raw_Data_Copy!H128)</f>
        <v>2</v>
      </c>
      <c r="I128" t="str">
        <f>TRIM(Raw_Data_Copy!I128)</f>
        <v>124.39</v>
      </c>
      <c r="J128" t="str">
        <f>TRIM(Raw_Data_Copy!J128)</f>
        <v>0</v>
      </c>
      <c r="K128">
        <f>ROUND(Cleaned_data!$H128*Cleaned_data!$I128*(1-Cleaned_data!$J128),2)</f>
        <v>248.78</v>
      </c>
      <c r="L128" t="str">
        <f>PROPER(TRIM(Raw_Data_Copy!L128))</f>
        <v>Card</v>
      </c>
    </row>
    <row r="129" spans="1:12" x14ac:dyDescent="0.3">
      <c r="A129" t="str">
        <f>TRIM(Raw_Data_Copy!A129)</f>
        <v>ORD-0417</v>
      </c>
      <c r="B129" s="2">
        <v>45747</v>
      </c>
      <c r="C129" t="str">
        <f>TRIM(Raw_Data_Copy!C129)</f>
        <v>CUST-0106</v>
      </c>
      <c r="D129" t="str">
        <f>PROPER(TRIM(Raw_Data_Copy!D129))</f>
        <v>South Africa</v>
      </c>
      <c r="E129" t="str">
        <f>PROPER(TRIM(Raw_Data_Copy!E129))</f>
        <v>Southern Africa</v>
      </c>
      <c r="F129" t="str">
        <f>PROPER(TRIM(Raw_Data_Copy!F129))</f>
        <v>Notebook</v>
      </c>
      <c r="G129" t="str">
        <f>PROPER(TRIM(Raw_Data_Copy!G129))</f>
        <v>Office Supplies</v>
      </c>
      <c r="H129" t="str">
        <f>TRIM(Raw_Data_Copy!H129)</f>
        <v>7</v>
      </c>
      <c r="I129" t="str">
        <f>TRIM(Raw_Data_Copy!I129)</f>
        <v>15.18</v>
      </c>
      <c r="J129" t="str">
        <f>TRIM(Raw_Data_Copy!J129)</f>
        <v>0.15</v>
      </c>
      <c r="K129">
        <f>ROUND(Cleaned_data!$H129*Cleaned_data!$I129*(1-Cleaned_data!$J129),2)</f>
        <v>90.32</v>
      </c>
      <c r="L129" t="str">
        <f>PROPER(TRIM(Raw_Data_Copy!L129))</f>
        <v>Card</v>
      </c>
    </row>
    <row r="130" spans="1:12" x14ac:dyDescent="0.3">
      <c r="A130" t="str">
        <f>TRIM(Raw_Data_Copy!A130)</f>
        <v>ORD-0232</v>
      </c>
      <c r="B130" s="2">
        <v>45747</v>
      </c>
      <c r="C130" t="str">
        <f>TRIM(Raw_Data_Copy!C130)</f>
        <v>CUST-0089</v>
      </c>
      <c r="D130" t="str">
        <f>PROPER(TRIM(Raw_Data_Copy!D130))</f>
        <v>South Africa</v>
      </c>
      <c r="E130" t="str">
        <f>PROPER(TRIM(Raw_Data_Copy!E130))</f>
        <v>Southern Africa</v>
      </c>
      <c r="F130" t="str">
        <f>PROPER(TRIM(Raw_Data_Copy!F130))</f>
        <v>Printer</v>
      </c>
      <c r="G130" t="str">
        <f>PROPER(TRIM(Raw_Data_Copy!G130))</f>
        <v>Office Supplies</v>
      </c>
      <c r="H130" t="str">
        <f>TRIM(Raw_Data_Copy!H130)</f>
        <v>4</v>
      </c>
      <c r="I130" t="str">
        <f>TRIM(Raw_Data_Copy!I130)</f>
        <v>260.88</v>
      </c>
      <c r="J130" t="str">
        <f>TRIM(Raw_Data_Copy!J130)</f>
        <v>0.1</v>
      </c>
      <c r="K130">
        <f>ROUND(Cleaned_data!$H130*Cleaned_data!$I130*(1-Cleaned_data!$J130),2)</f>
        <v>939.17</v>
      </c>
      <c r="L130" t="str">
        <f>PROPER(TRIM(Raw_Data_Copy!L130))</f>
        <v>Cash</v>
      </c>
    </row>
    <row r="131" spans="1:12" x14ac:dyDescent="0.3">
      <c r="A131" t="str">
        <f>TRIM(Raw_Data_Copy!A131)</f>
        <v>ORD-0184</v>
      </c>
      <c r="B131" s="2">
        <v>45749</v>
      </c>
      <c r="C131" t="str">
        <f>TRIM(Raw_Data_Copy!C131)</f>
        <v>CUST-0021</v>
      </c>
      <c r="D131" t="str">
        <f>PROPER(TRIM(Raw_Data_Copy!D131))</f>
        <v>United Kingdom</v>
      </c>
      <c r="E131" t="str">
        <f>PROPER(TRIM(Raw_Data_Copy!E131))</f>
        <v>Europe</v>
      </c>
      <c r="F131" t="str">
        <f>PROPER(TRIM(Raw_Data_Copy!F131))</f>
        <v>Office Chair</v>
      </c>
      <c r="G131" t="str">
        <f>PROPER(TRIM(Raw_Data_Copy!G131))</f>
        <v>Furniture</v>
      </c>
      <c r="H131" t="str">
        <f>TRIM(Raw_Data_Copy!H131)</f>
        <v>6</v>
      </c>
      <c r="I131" t="str">
        <f>TRIM(Raw_Data_Copy!I131)</f>
        <v>203.78</v>
      </c>
      <c r="J131" t="str">
        <f>TRIM(Raw_Data_Copy!J131)</f>
        <v>0.2</v>
      </c>
      <c r="K131">
        <f>ROUND(Cleaned_data!$H131*Cleaned_data!$I131*(1-Cleaned_data!$J131),2)</f>
        <v>978.14</v>
      </c>
      <c r="L131" t="str">
        <f>PROPER(TRIM(Raw_Data_Copy!L131))</f>
        <v>Cash</v>
      </c>
    </row>
    <row r="132" spans="1:12" x14ac:dyDescent="0.3">
      <c r="A132" t="str">
        <f>TRIM(Raw_Data_Copy!A132)</f>
        <v>ORD-0480</v>
      </c>
      <c r="B132" s="2">
        <v>45749</v>
      </c>
      <c r="C132" t="str">
        <f>TRIM(Raw_Data_Copy!C132)</f>
        <v>CUST-0018</v>
      </c>
      <c r="D132" t="str">
        <f>PROPER(TRIM(Raw_Data_Copy!D132))</f>
        <v>South Africa</v>
      </c>
      <c r="E132" t="str">
        <f>PROPER(TRIM(Raw_Data_Copy!E132))</f>
        <v>Southern Africa</v>
      </c>
      <c r="F132" t="str">
        <f>PROPER(TRIM(Raw_Data_Copy!F132))</f>
        <v>Printer</v>
      </c>
      <c r="G132" t="str">
        <f>PROPER(TRIM(Raw_Data_Copy!G132))</f>
        <v>Office Supplies</v>
      </c>
      <c r="H132" t="str">
        <f>TRIM(Raw_Data_Copy!H132)</f>
        <v>8</v>
      </c>
      <c r="I132" t="str">
        <f>TRIM(Raw_Data_Copy!I132)</f>
        <v>247.13</v>
      </c>
      <c r="J132" t="str">
        <f>TRIM(Raw_Data_Copy!J132)</f>
        <v>0.15</v>
      </c>
      <c r="K132">
        <f>ROUND(Cleaned_data!$H132*Cleaned_data!$I132*(1-Cleaned_data!$J132),2)</f>
        <v>1680.48</v>
      </c>
      <c r="L132" t="str">
        <f>PROPER(TRIM(Raw_Data_Copy!L132))</f>
        <v>Cash</v>
      </c>
    </row>
    <row r="133" spans="1:12" x14ac:dyDescent="0.3">
      <c r="A133" t="str">
        <f>TRIM(Raw_Data_Copy!A133)</f>
        <v>ORD-0202</v>
      </c>
      <c r="B133" s="2">
        <v>45750</v>
      </c>
      <c r="C133" t="str">
        <f>TRIM(Raw_Data_Copy!C133)</f>
        <v>CUST-0097</v>
      </c>
      <c r="D133" t="str">
        <f>PROPER(TRIM(Raw_Data_Copy!D133))</f>
        <v>Nigeria</v>
      </c>
      <c r="E133" t="str">
        <f>PROPER(TRIM(Raw_Data_Copy!E133))</f>
        <v>West Africa</v>
      </c>
      <c r="F133" t="str">
        <f>PROPER(TRIM(Raw_Data_Copy!F133))</f>
        <v>Keyboard</v>
      </c>
      <c r="G133" t="str">
        <f>PROPER(TRIM(Raw_Data_Copy!G133))</f>
        <v>Electronics</v>
      </c>
      <c r="H133" t="str">
        <f>TRIM(Raw_Data_Copy!H133)</f>
        <v>1</v>
      </c>
      <c r="I133" t="str">
        <f>TRIM(Raw_Data_Copy!I133)</f>
        <v>79.89</v>
      </c>
      <c r="J133" t="str">
        <f>TRIM(Raw_Data_Copy!J133)</f>
        <v>0</v>
      </c>
      <c r="K133">
        <f>ROUND(Cleaned_data!$H133*Cleaned_data!$I133*(1-Cleaned_data!$J133),2)</f>
        <v>79.89</v>
      </c>
      <c r="L133" t="str">
        <f>PROPER(TRIM(Raw_Data_Copy!L133))</f>
        <v>Card</v>
      </c>
    </row>
    <row r="134" spans="1:12" x14ac:dyDescent="0.3">
      <c r="A134" t="str">
        <f>TRIM(Raw_Data_Copy!A134)</f>
        <v>ORD-0494</v>
      </c>
      <c r="B134" s="2">
        <v>45750</v>
      </c>
      <c r="C134" t="str">
        <f>TRIM(Raw_Data_Copy!C134)</f>
        <v>CUST-0176</v>
      </c>
      <c r="D134" t="str">
        <f>PROPER(TRIM(Raw_Data_Copy!D134))</f>
        <v>Nigeria</v>
      </c>
      <c r="E134" t="str">
        <f>PROPER(TRIM(Raw_Data_Copy!E134))</f>
        <v>West Africa</v>
      </c>
      <c r="F134" t="str">
        <f>PROPER(TRIM(Raw_Data_Copy!F134))</f>
        <v>Printer</v>
      </c>
      <c r="G134" t="str">
        <f>PROPER(TRIM(Raw_Data_Copy!G134))</f>
        <v>Office Supplies</v>
      </c>
      <c r="H134" t="str">
        <f>TRIM(Raw_Data_Copy!H134)</f>
        <v>1</v>
      </c>
      <c r="I134" t="str">
        <f>TRIM(Raw_Data_Copy!I134)</f>
        <v>235.18</v>
      </c>
      <c r="J134" t="str">
        <f>TRIM(Raw_Data_Copy!J134)</f>
        <v>0.05</v>
      </c>
      <c r="K134">
        <f>ROUND(Cleaned_data!$H134*Cleaned_data!$I134*(1-Cleaned_data!$J134),2)</f>
        <v>223.42</v>
      </c>
      <c r="L134" t="str">
        <f>PROPER(TRIM(Raw_Data_Copy!L134))</f>
        <v>Mobile Money</v>
      </c>
    </row>
    <row r="135" spans="1:12" x14ac:dyDescent="0.3">
      <c r="A135" t="str">
        <f>TRIM(Raw_Data_Copy!A135)</f>
        <v>ORD-0347</v>
      </c>
      <c r="B135" s="2">
        <v>45750</v>
      </c>
      <c r="C135" t="str">
        <f>TRIM(Raw_Data_Copy!C135)</f>
        <v>CUST-0109</v>
      </c>
      <c r="D135" t="str">
        <f>PROPER(TRIM(Raw_Data_Copy!D135))</f>
        <v>Ghana</v>
      </c>
      <c r="E135" t="str">
        <f>PROPER(TRIM(Raw_Data_Copy!E135))</f>
        <v>West Africa</v>
      </c>
      <c r="F135" t="str">
        <f>PROPER(TRIM(Raw_Data_Copy!F135))</f>
        <v>Backpack</v>
      </c>
      <c r="G135" t="str">
        <f>PROPER(TRIM(Raw_Data_Copy!G135))</f>
        <v>Accessories</v>
      </c>
      <c r="H135" t="str">
        <f>TRIM(Raw_Data_Copy!H135)</f>
        <v>2</v>
      </c>
      <c r="I135" t="str">
        <f>TRIM(Raw_Data_Copy!I135)</f>
        <v>81.11</v>
      </c>
      <c r="J135" t="str">
        <f>TRIM(Raw_Data_Copy!J135)</f>
        <v>0.05</v>
      </c>
      <c r="K135">
        <f>ROUND(Cleaned_data!$H135*Cleaned_data!$I135*(1-Cleaned_data!$J135),2)</f>
        <v>154.11000000000001</v>
      </c>
      <c r="L135" t="str">
        <f>PROPER(TRIM(Raw_Data_Copy!L135))</f>
        <v>Mobile Money</v>
      </c>
    </row>
    <row r="136" spans="1:12" x14ac:dyDescent="0.3">
      <c r="A136" t="str">
        <f>TRIM(Raw_Data_Copy!A136)</f>
        <v>ORD-0555</v>
      </c>
      <c r="B136" s="2">
        <v>45751</v>
      </c>
      <c r="C136" t="str">
        <f>TRIM(Raw_Data_Copy!C136)</f>
        <v>CUST-0149</v>
      </c>
      <c r="D136" t="str">
        <f>PROPER(TRIM(Raw_Data_Copy!D136))</f>
        <v>South Africa</v>
      </c>
      <c r="E136" t="str">
        <f>PROPER(TRIM(Raw_Data_Copy!E136))</f>
        <v>Southern Africa</v>
      </c>
      <c r="F136" t="str">
        <f>PROPER(TRIM(Raw_Data_Copy!F136))</f>
        <v>Smartphone</v>
      </c>
      <c r="G136" t="str">
        <f>PROPER(TRIM(Raw_Data_Copy!G136))</f>
        <v>Electronics</v>
      </c>
      <c r="H136" t="str">
        <f>TRIM(Raw_Data_Copy!H136)</f>
        <v>5</v>
      </c>
      <c r="I136" t="str">
        <f>TRIM(Raw_Data_Copy!I136)</f>
        <v>677.06</v>
      </c>
      <c r="J136" t="str">
        <f>TRIM(Raw_Data_Copy!J136)</f>
        <v>0.1</v>
      </c>
      <c r="K136">
        <f>ROUND(Cleaned_data!$H136*Cleaned_data!$I136*(1-Cleaned_data!$J136),2)</f>
        <v>3046.77</v>
      </c>
      <c r="L136" t="str">
        <f>PROPER(TRIM(Raw_Data_Copy!L136))</f>
        <v>Mobile Money</v>
      </c>
    </row>
    <row r="137" spans="1:12" x14ac:dyDescent="0.3">
      <c r="A137" t="str">
        <f>TRIM(Raw_Data_Copy!A137)</f>
        <v>ORD-0037</v>
      </c>
      <c r="B137" s="2">
        <v>45752</v>
      </c>
      <c r="C137" t="str">
        <f>TRIM(Raw_Data_Copy!C137)</f>
        <v>CUST-0099</v>
      </c>
      <c r="D137" t="str">
        <f>PROPER(TRIM(Raw_Data_Copy!D137))</f>
        <v>United States</v>
      </c>
      <c r="E137" t="str">
        <f>PROPER(TRIM(Raw_Data_Copy!E137))</f>
        <v>North America</v>
      </c>
      <c r="F137" t="str">
        <f>PROPER(TRIM(Raw_Data_Copy!F137))</f>
        <v>Desk Lamp</v>
      </c>
      <c r="G137" t="str">
        <f>PROPER(TRIM(Raw_Data_Copy!G137))</f>
        <v>Furniture</v>
      </c>
      <c r="H137" t="str">
        <f>TRIM(Raw_Data_Copy!H137)</f>
        <v>1</v>
      </c>
      <c r="I137" t="str">
        <f>TRIM(Raw_Data_Copy!I137)</f>
        <v>59.98</v>
      </c>
      <c r="J137" t="str">
        <f>TRIM(Raw_Data_Copy!J137)</f>
        <v>0.05</v>
      </c>
      <c r="K137">
        <f>ROUND(Cleaned_data!$H137*Cleaned_data!$I137*(1-Cleaned_data!$J137),2)</f>
        <v>56.98</v>
      </c>
      <c r="L137" t="str">
        <f>PROPER(TRIM(Raw_Data_Copy!L137))</f>
        <v>Mobile Money</v>
      </c>
    </row>
    <row r="138" spans="1:12" x14ac:dyDescent="0.3">
      <c r="A138" t="str">
        <f>TRIM(Raw_Data_Copy!A138)</f>
        <v>ORD-0056</v>
      </c>
      <c r="B138" s="2">
        <v>45752</v>
      </c>
      <c r="C138" t="str">
        <f>TRIM(Raw_Data_Copy!C138)</f>
        <v>CUST-0046</v>
      </c>
      <c r="D138" t="str">
        <f>PROPER(TRIM(Raw_Data_Copy!D138))</f>
        <v>Nigeria</v>
      </c>
      <c r="E138" t="str">
        <f>PROPER(TRIM(Raw_Data_Copy!E138))</f>
        <v>West Africa</v>
      </c>
      <c r="F138" t="str">
        <f>PROPER(TRIM(Raw_Data_Copy!F138))</f>
        <v>Laptop</v>
      </c>
      <c r="G138" t="str">
        <f>PROPER(TRIM(Raw_Data_Copy!G138))</f>
        <v>Electronics</v>
      </c>
      <c r="H138" t="str">
        <f>TRIM(Raw_Data_Copy!H138)</f>
        <v>8</v>
      </c>
      <c r="I138" t="str">
        <f>TRIM(Raw_Data_Copy!I138)</f>
        <v>972.96</v>
      </c>
      <c r="J138" t="str">
        <f>TRIM(Raw_Data_Copy!J138)</f>
        <v>0</v>
      </c>
      <c r="K138">
        <f>ROUND(Cleaned_data!$H138*Cleaned_data!$I138*(1-Cleaned_data!$J138),2)</f>
        <v>7783.68</v>
      </c>
      <c r="L138" t="str">
        <f>PROPER(TRIM(Raw_Data_Copy!L138))</f>
        <v>Card</v>
      </c>
    </row>
    <row r="139" spans="1:12" x14ac:dyDescent="0.3">
      <c r="A139" t="str">
        <f>TRIM(Raw_Data_Copy!A139)</f>
        <v>ORD-0053</v>
      </c>
      <c r="B139" s="2">
        <v>45753</v>
      </c>
      <c r="C139" t="str">
        <f>TRIM(Raw_Data_Copy!C139)</f>
        <v>CUST-0001</v>
      </c>
      <c r="D139" t="str">
        <f>PROPER(TRIM(Raw_Data_Copy!D139))</f>
        <v>United States</v>
      </c>
      <c r="E139" t="str">
        <f>PROPER(TRIM(Raw_Data_Copy!E139))</f>
        <v>North America</v>
      </c>
      <c r="F139" t="str">
        <f>PROPER(TRIM(Raw_Data_Copy!F139))</f>
        <v>Office Chair</v>
      </c>
      <c r="G139" t="str">
        <f>PROPER(TRIM(Raw_Data_Copy!G139))</f>
        <v>Furniture</v>
      </c>
      <c r="H139" t="str">
        <f>TRIM(Raw_Data_Copy!H139)</f>
        <v>2</v>
      </c>
      <c r="I139" t="str">
        <f>TRIM(Raw_Data_Copy!I139)</f>
        <v>209.48</v>
      </c>
      <c r="J139" t="str">
        <f>TRIM(Raw_Data_Copy!J139)</f>
        <v>0</v>
      </c>
      <c r="K139">
        <f>ROUND(Cleaned_data!$H139*Cleaned_data!$I139*(1-Cleaned_data!$J139),2)</f>
        <v>418.96</v>
      </c>
      <c r="L139" t="str">
        <f>PROPER(TRIM(Raw_Data_Copy!L139))</f>
        <v>Cash</v>
      </c>
    </row>
    <row r="140" spans="1:12" x14ac:dyDescent="0.3">
      <c r="A140" t="str">
        <f>TRIM(Raw_Data_Copy!A140)</f>
        <v>ORD-0594</v>
      </c>
      <c r="B140" s="2">
        <v>45753</v>
      </c>
      <c r="C140" t="str">
        <f>TRIM(Raw_Data_Copy!C140)</f>
        <v>CUST-0006</v>
      </c>
      <c r="D140" t="str">
        <f>PROPER(TRIM(Raw_Data_Copy!D140))</f>
        <v>Nigeria</v>
      </c>
      <c r="E140" t="str">
        <f>PROPER(TRIM(Raw_Data_Copy!E140))</f>
        <v>West Africa</v>
      </c>
      <c r="F140" t="str">
        <f>PROPER(TRIM(Raw_Data_Copy!F140))</f>
        <v>Monitor</v>
      </c>
      <c r="G140" t="str">
        <f>PROPER(TRIM(Raw_Data_Copy!G140))</f>
        <v>Electronics</v>
      </c>
      <c r="H140" t="str">
        <f>TRIM(Raw_Data_Copy!H140)</f>
        <v>6</v>
      </c>
      <c r="I140" t="str">
        <f>TRIM(Raw_Data_Copy!I140)</f>
        <v>285.07</v>
      </c>
      <c r="J140" t="str">
        <f>TRIM(Raw_Data_Copy!J140)</f>
        <v>0.2</v>
      </c>
      <c r="K140">
        <f>ROUND(Cleaned_data!$H140*Cleaned_data!$I140*(1-Cleaned_data!$J140),2)</f>
        <v>1368.34</v>
      </c>
      <c r="L140" t="str">
        <f>PROPER(TRIM(Raw_Data_Copy!L140))</f>
        <v>Mobile Money</v>
      </c>
    </row>
    <row r="141" spans="1:12" x14ac:dyDescent="0.3">
      <c r="A141" t="str">
        <f>TRIM(Raw_Data_Copy!A141)</f>
        <v>ORD-0115</v>
      </c>
      <c r="B141" s="2">
        <v>45754</v>
      </c>
      <c r="C141" t="str">
        <f>TRIM(Raw_Data_Copy!C141)</f>
        <v>CUST-0155</v>
      </c>
      <c r="D141" t="str">
        <f>PROPER(TRIM(Raw_Data_Copy!D141))</f>
        <v>United States</v>
      </c>
      <c r="E141" t="str">
        <f>PROPER(TRIM(Raw_Data_Copy!E141))</f>
        <v>North America</v>
      </c>
      <c r="F141" t="str">
        <f>PROPER(TRIM(Raw_Data_Copy!F141))</f>
        <v>Laptop</v>
      </c>
      <c r="G141" t="str">
        <f>PROPER(TRIM(Raw_Data_Copy!G141))</f>
        <v>Electronics</v>
      </c>
      <c r="H141" t="str">
        <f>TRIM(Raw_Data_Copy!H141)</f>
        <v>4</v>
      </c>
      <c r="I141" t="str">
        <f>TRIM(Raw_Data_Copy!I141)</f>
        <v>943.46</v>
      </c>
      <c r="J141" t="str">
        <f>TRIM(Raw_Data_Copy!J141)</f>
        <v>0.1</v>
      </c>
      <c r="K141">
        <f>ROUND(Cleaned_data!$H141*Cleaned_data!$I141*(1-Cleaned_data!$J141),2)</f>
        <v>3396.46</v>
      </c>
      <c r="L141" t="str">
        <f>PROPER(TRIM(Raw_Data_Copy!L141))</f>
        <v>Cash</v>
      </c>
    </row>
    <row r="142" spans="1:12" x14ac:dyDescent="0.3">
      <c r="A142" t="str">
        <f>TRIM(Raw_Data_Copy!A142)</f>
        <v>ORD-0079</v>
      </c>
      <c r="B142" s="2">
        <v>45755</v>
      </c>
      <c r="C142" t="str">
        <f>TRIM(Raw_Data_Copy!C142)</f>
        <v>CUST-0105</v>
      </c>
      <c r="D142" t="str">
        <f>PROPER(TRIM(Raw_Data_Copy!D142))</f>
        <v>Nigeria</v>
      </c>
      <c r="E142" t="str">
        <f>PROPER(TRIM(Raw_Data_Copy!E142))</f>
        <v>West Africa</v>
      </c>
      <c r="F142" t="str">
        <f>PROPER(TRIM(Raw_Data_Copy!F142))</f>
        <v>Printer</v>
      </c>
      <c r="G142" t="str">
        <f>PROPER(TRIM(Raw_Data_Copy!G142))</f>
        <v>Office Supplies</v>
      </c>
      <c r="H142" t="str">
        <f>TRIM(Raw_Data_Copy!H142)</f>
        <v>7</v>
      </c>
      <c r="I142" t="str">
        <f>TRIM(Raw_Data_Copy!I142)</f>
        <v>244.65</v>
      </c>
      <c r="J142" t="str">
        <f>TRIM(Raw_Data_Copy!J142)</f>
        <v>0.2</v>
      </c>
      <c r="K142">
        <f>ROUND(Cleaned_data!$H142*Cleaned_data!$I142*(1-Cleaned_data!$J142),2)</f>
        <v>1370.04</v>
      </c>
      <c r="L142" t="str">
        <f>PROPER(TRIM(Raw_Data_Copy!L142))</f>
        <v>Mobile Money</v>
      </c>
    </row>
    <row r="143" spans="1:12" x14ac:dyDescent="0.3">
      <c r="A143" t="str">
        <f>TRIM(Raw_Data_Copy!A143)</f>
        <v>ORD-0600</v>
      </c>
      <c r="B143" s="2">
        <v>45756</v>
      </c>
      <c r="C143" t="str">
        <f>TRIM(Raw_Data_Copy!C143)</f>
        <v>CUST-0011</v>
      </c>
      <c r="D143" t="str">
        <f>PROPER(TRIM(Raw_Data_Copy!D143))</f>
        <v>Ghana</v>
      </c>
      <c r="E143" t="str">
        <f>PROPER(TRIM(Raw_Data_Copy!E143))</f>
        <v>West Africa</v>
      </c>
      <c r="F143" t="str">
        <f>PROPER(TRIM(Raw_Data_Copy!F143))</f>
        <v>Mouse</v>
      </c>
      <c r="G143" t="str">
        <f>PROPER(TRIM(Raw_Data_Copy!G143))</f>
        <v>Electronics</v>
      </c>
      <c r="H143" t="str">
        <f>TRIM(Raw_Data_Copy!H143)</f>
        <v>0</v>
      </c>
      <c r="I143" t="str">
        <f>TRIM(Raw_Data_Copy!I143)</f>
        <v>46.46</v>
      </c>
      <c r="J143" t="str">
        <f>TRIM(Raw_Data_Copy!J143)</f>
        <v>0.15</v>
      </c>
      <c r="K143">
        <f>ROUND(Cleaned_data!$H143*Cleaned_data!$I143*(1-Cleaned_data!$J143),2)</f>
        <v>0</v>
      </c>
      <c r="L143" t="str">
        <f>PROPER(TRIM(Raw_Data_Copy!L143))</f>
        <v>Card</v>
      </c>
    </row>
    <row r="144" spans="1:12" x14ac:dyDescent="0.3">
      <c r="A144" t="str">
        <f>TRIM(Raw_Data_Copy!A144)</f>
        <v>ORD-0059</v>
      </c>
      <c r="B144" s="2">
        <v>45756</v>
      </c>
      <c r="C144" t="str">
        <f>TRIM(Raw_Data_Copy!C144)</f>
        <v>CUST-0036</v>
      </c>
      <c r="D144" t="str">
        <f>PROPER(TRIM(Raw_Data_Copy!D144))</f>
        <v>United States</v>
      </c>
      <c r="E144" t="str">
        <f>PROPER(TRIM(Raw_Data_Copy!E144))</f>
        <v>North America</v>
      </c>
      <c r="F144" t="str">
        <f>PROPER(TRIM(Raw_Data_Copy!F144))</f>
        <v>Office Chair</v>
      </c>
      <c r="G144" t="str">
        <f>PROPER(TRIM(Raw_Data_Copy!G144))</f>
        <v>Furniture</v>
      </c>
      <c r="H144" t="str">
        <f>TRIM(Raw_Data_Copy!H144)</f>
        <v>2</v>
      </c>
      <c r="I144" t="str">
        <f>TRIM(Raw_Data_Copy!I144)</f>
        <v>216.63</v>
      </c>
      <c r="J144" t="str">
        <f>TRIM(Raw_Data_Copy!J144)</f>
        <v>0.1</v>
      </c>
      <c r="K144">
        <f>ROUND(Cleaned_data!$H144*Cleaned_data!$I144*(1-Cleaned_data!$J144),2)</f>
        <v>389.93</v>
      </c>
      <c r="L144" t="str">
        <f>PROPER(TRIM(Raw_Data_Copy!L144))</f>
        <v>Mobile Money</v>
      </c>
    </row>
    <row r="145" spans="1:12" x14ac:dyDescent="0.3">
      <c r="A145" t="str">
        <f>TRIM(Raw_Data_Copy!A145)</f>
        <v>ORD-0022</v>
      </c>
      <c r="B145" s="2">
        <v>45758</v>
      </c>
      <c r="C145" t="str">
        <f>TRIM(Raw_Data_Copy!C145)</f>
        <v>CUST-0113</v>
      </c>
      <c r="D145" t="str">
        <f>PROPER(TRIM(Raw_Data_Copy!D145))</f>
        <v>Ghana</v>
      </c>
      <c r="E145" t="str">
        <f>PROPER(TRIM(Raw_Data_Copy!E145))</f>
        <v>West Africa</v>
      </c>
      <c r="F145" t="str">
        <f>PROPER(TRIM(Raw_Data_Copy!F145))</f>
        <v>Printer</v>
      </c>
      <c r="G145" t="str">
        <f>PROPER(TRIM(Raw_Data_Copy!G145))</f>
        <v>Office Supplies</v>
      </c>
      <c r="H145" t="str">
        <f>TRIM(Raw_Data_Copy!H145)</f>
        <v>4</v>
      </c>
      <c r="I145" t="str">
        <f>TRIM(Raw_Data_Copy!I145)</f>
        <v>237.34</v>
      </c>
      <c r="J145" t="str">
        <f>TRIM(Raw_Data_Copy!J145)</f>
        <v>0.15</v>
      </c>
      <c r="K145">
        <f>ROUND(Cleaned_data!$H145*Cleaned_data!$I145*(1-Cleaned_data!$J145),2)</f>
        <v>806.96</v>
      </c>
      <c r="L145" t="str">
        <f>PROPER(TRIM(Raw_Data_Copy!L145))</f>
        <v>Bank Transfer</v>
      </c>
    </row>
    <row r="146" spans="1:12" x14ac:dyDescent="0.3">
      <c r="A146" t="str">
        <f>TRIM(Raw_Data_Copy!A146)</f>
        <v>ORD-0055</v>
      </c>
      <c r="B146" s="2">
        <v>45758</v>
      </c>
      <c r="C146" t="str">
        <f>TRIM(Raw_Data_Copy!C146)</f>
        <v>CUST-0012</v>
      </c>
      <c r="D146" t="str">
        <f>PROPER(TRIM(Raw_Data_Copy!D146))</f>
        <v>South Africa</v>
      </c>
      <c r="E146" t="str">
        <f>PROPER(TRIM(Raw_Data_Copy!E146))</f>
        <v>Southern Africa</v>
      </c>
      <c r="F146" t="str">
        <f>PROPER(TRIM(Raw_Data_Copy!F146))</f>
        <v>Smartphone</v>
      </c>
      <c r="G146" t="str">
        <f>PROPER(TRIM(Raw_Data_Copy!G146))</f>
        <v>Electronics</v>
      </c>
      <c r="H146" t="str">
        <f>TRIM(Raw_Data_Copy!H146)</f>
        <v>3</v>
      </c>
      <c r="I146" t="str">
        <f>TRIM(Raw_Data_Copy!I146)</f>
        <v>668.63</v>
      </c>
      <c r="J146" t="str">
        <f>TRIM(Raw_Data_Copy!J146)</f>
        <v>0.1</v>
      </c>
      <c r="K146">
        <f>ROUND(Cleaned_data!$H146*Cleaned_data!$I146*(1-Cleaned_data!$J146),2)</f>
        <v>1805.3</v>
      </c>
      <c r="L146" t="str">
        <f>PROPER(TRIM(Raw_Data_Copy!L146))</f>
        <v>Mobile Money</v>
      </c>
    </row>
    <row r="147" spans="1:12" x14ac:dyDescent="0.3">
      <c r="A147" t="str">
        <f>TRIM(Raw_Data_Copy!A147)</f>
        <v>ORD-0245</v>
      </c>
      <c r="B147" s="2">
        <v>45759</v>
      </c>
      <c r="C147" t="str">
        <f>TRIM(Raw_Data_Copy!C147)</f>
        <v>CUST-0035</v>
      </c>
      <c r="D147" t="str">
        <f>PROPER(TRIM(Raw_Data_Copy!D147))</f>
        <v>Kenya</v>
      </c>
      <c r="E147" t="str">
        <f>PROPER(TRIM(Raw_Data_Copy!E147))</f>
        <v>East Africa</v>
      </c>
      <c r="F147" t="str">
        <f>PROPER(TRIM(Raw_Data_Copy!F147))</f>
        <v>Printer</v>
      </c>
      <c r="G147" t="str">
        <f>PROPER(TRIM(Raw_Data_Copy!G147))</f>
        <v>Office Supplies</v>
      </c>
      <c r="H147" t="str">
        <f>TRIM(Raw_Data_Copy!H147)</f>
        <v>3</v>
      </c>
      <c r="I147" t="str">
        <f>TRIM(Raw_Data_Copy!I147)</f>
        <v>234.52</v>
      </c>
      <c r="J147" t="str">
        <f>TRIM(Raw_Data_Copy!J147)</f>
        <v>0</v>
      </c>
      <c r="K147">
        <f>ROUND(Cleaned_data!$H147*Cleaned_data!$I147*(1-Cleaned_data!$J147),2)</f>
        <v>703.56</v>
      </c>
      <c r="L147" t="str">
        <f>PROPER(TRIM(Raw_Data_Copy!L147))</f>
        <v>Card</v>
      </c>
    </row>
    <row r="148" spans="1:12" x14ac:dyDescent="0.3">
      <c r="A148" t="str">
        <f>TRIM(Raw_Data_Copy!A148)</f>
        <v>ORD-0591</v>
      </c>
      <c r="B148" s="2">
        <v>45760</v>
      </c>
      <c r="C148" t="str">
        <f>TRIM(Raw_Data_Copy!C148)</f>
        <v>CUST-0125</v>
      </c>
      <c r="D148" t="str">
        <f>PROPER(TRIM(Raw_Data_Copy!D148))</f>
        <v>United States</v>
      </c>
      <c r="E148" t="str">
        <f>PROPER(TRIM(Raw_Data_Copy!E148))</f>
        <v>North America</v>
      </c>
      <c r="F148" t="str">
        <f>PROPER(TRIM(Raw_Data_Copy!F148))</f>
        <v>Mouse</v>
      </c>
      <c r="G148" t="str">
        <f>PROPER(TRIM(Raw_Data_Copy!G148))</f>
        <v>Electronics</v>
      </c>
      <c r="H148" t="str">
        <f>TRIM(Raw_Data_Copy!H148)</f>
        <v>7</v>
      </c>
      <c r="I148" t="str">
        <f>TRIM(Raw_Data_Copy!I148)</f>
        <v>42.48</v>
      </c>
      <c r="J148" t="str">
        <f>TRIM(Raw_Data_Copy!J148)</f>
        <v>0.2</v>
      </c>
      <c r="K148">
        <f>ROUND(Cleaned_data!$H148*Cleaned_data!$I148*(1-Cleaned_data!$J148),2)</f>
        <v>237.89</v>
      </c>
      <c r="L148" t="str">
        <f>PROPER(TRIM(Raw_Data_Copy!L148))</f>
        <v>Cash</v>
      </c>
    </row>
    <row r="149" spans="1:12" x14ac:dyDescent="0.3">
      <c r="A149" t="str">
        <f>TRIM(Raw_Data_Copy!A149)</f>
        <v>ORD-0045</v>
      </c>
      <c r="B149" s="2">
        <v>45760</v>
      </c>
      <c r="C149" t="str">
        <f>TRIM(Raw_Data_Copy!C149)</f>
        <v>CUST-0006</v>
      </c>
      <c r="D149" t="str">
        <f>PROPER(TRIM(Raw_Data_Copy!D149))</f>
        <v>Kenya</v>
      </c>
      <c r="E149" t="str">
        <f>PROPER(TRIM(Raw_Data_Copy!E149))</f>
        <v>East Africa</v>
      </c>
      <c r="F149" t="str">
        <f>PROPER(TRIM(Raw_Data_Copy!F149))</f>
        <v>Desk</v>
      </c>
      <c r="G149" t="str">
        <f>PROPER(TRIM(Raw_Data_Copy!G149))</f>
        <v>Furniture</v>
      </c>
      <c r="H149" t="str">
        <f>TRIM(Raw_Data_Copy!H149)</f>
        <v>1</v>
      </c>
      <c r="I149" t="str">
        <f>TRIM(Raw_Data_Copy!I149)</f>
        <v>372.95</v>
      </c>
      <c r="J149" t="str">
        <f>TRIM(Raw_Data_Copy!J149)</f>
        <v>0.05</v>
      </c>
      <c r="K149">
        <f>ROUND(Cleaned_data!$H149*Cleaned_data!$I149*(1-Cleaned_data!$J149),2)</f>
        <v>354.3</v>
      </c>
      <c r="L149" t="str">
        <f>PROPER(TRIM(Raw_Data_Copy!L149))</f>
        <v>Cash</v>
      </c>
    </row>
    <row r="150" spans="1:12" x14ac:dyDescent="0.3">
      <c r="A150" t="str">
        <f>TRIM(Raw_Data_Copy!A150)</f>
        <v>ORD-0353</v>
      </c>
      <c r="B150" s="2">
        <v>45760</v>
      </c>
      <c r="C150" t="str">
        <f>TRIM(Raw_Data_Copy!C150)</f>
        <v>CUST-0008</v>
      </c>
      <c r="D150" t="str">
        <f>PROPER(TRIM(Raw_Data_Copy!D150))</f>
        <v>United States</v>
      </c>
      <c r="E150" t="str">
        <f>PROPER(TRIM(Raw_Data_Copy!E150))</f>
        <v>North America</v>
      </c>
      <c r="F150" t="str">
        <f>PROPER(TRIM(Raw_Data_Copy!F150))</f>
        <v>Desk</v>
      </c>
      <c r="G150" t="str">
        <f>PROPER(TRIM(Raw_Data_Copy!G150))</f>
        <v>Furniture</v>
      </c>
      <c r="H150" t="str">
        <f>TRIM(Raw_Data_Copy!H150)</f>
        <v>5</v>
      </c>
      <c r="I150" t="str">
        <f>TRIM(Raw_Data_Copy!I150)</f>
        <v>357.55</v>
      </c>
      <c r="J150" t="str">
        <f>TRIM(Raw_Data_Copy!J150)</f>
        <v>0.05</v>
      </c>
      <c r="K150">
        <f>ROUND(Cleaned_data!$H150*Cleaned_data!$I150*(1-Cleaned_data!$J150),2)</f>
        <v>1698.36</v>
      </c>
      <c r="L150" t="str">
        <f>PROPER(TRIM(Raw_Data_Copy!L150))</f>
        <v>Bank Transfer</v>
      </c>
    </row>
    <row r="151" spans="1:12" x14ac:dyDescent="0.3">
      <c r="A151" t="str">
        <f>TRIM(Raw_Data_Copy!A151)</f>
        <v>ORD-0112</v>
      </c>
      <c r="B151" s="2">
        <v>45761</v>
      </c>
      <c r="C151" t="str">
        <f>TRIM(Raw_Data_Copy!C151)</f>
        <v>CUST-0014</v>
      </c>
      <c r="D151" t="str">
        <f>PROPER(TRIM(Raw_Data_Copy!D151))</f>
        <v>United States</v>
      </c>
      <c r="E151" t="str">
        <f>PROPER(TRIM(Raw_Data_Copy!E151))</f>
        <v>North America</v>
      </c>
      <c r="F151" t="str">
        <f>PROPER(TRIM(Raw_Data_Copy!F151))</f>
        <v>Mouse</v>
      </c>
      <c r="G151" t="str">
        <f>PROPER(TRIM(Raw_Data_Copy!G151))</f>
        <v>Electronics</v>
      </c>
      <c r="H151" t="str">
        <f>TRIM(Raw_Data_Copy!H151)</f>
        <v>5</v>
      </c>
      <c r="I151" t="str">
        <f>TRIM(Raw_Data_Copy!I151)</f>
        <v>45.79</v>
      </c>
      <c r="J151" t="str">
        <f>TRIM(Raw_Data_Copy!J151)</f>
        <v>0.15</v>
      </c>
      <c r="K151">
        <f>ROUND(Cleaned_data!$H151*Cleaned_data!$I151*(1-Cleaned_data!$J151),2)</f>
        <v>194.61</v>
      </c>
      <c r="L151" t="str">
        <f>PROPER(TRIM(Raw_Data_Copy!L151))</f>
        <v>Mobile Money</v>
      </c>
    </row>
    <row r="152" spans="1:12" x14ac:dyDescent="0.3">
      <c r="A152" t="str">
        <f>TRIM(Raw_Data_Copy!A152)</f>
        <v>ORD-0449</v>
      </c>
      <c r="B152" s="2">
        <v>45761</v>
      </c>
      <c r="C152" t="str">
        <f>TRIM(Raw_Data_Copy!C152)</f>
        <v>CUST-0015</v>
      </c>
      <c r="D152" t="str">
        <f>PROPER(TRIM(Raw_Data_Copy!D152))</f>
        <v>United Kingdom</v>
      </c>
      <c r="E152" t="str">
        <f>PROPER(TRIM(Raw_Data_Copy!E152))</f>
        <v>Europe</v>
      </c>
      <c r="F152" t="str">
        <f>PROPER(TRIM(Raw_Data_Copy!F152))</f>
        <v>Mouse</v>
      </c>
      <c r="G152" t="str">
        <f>PROPER(TRIM(Raw_Data_Copy!G152))</f>
        <v>Electronics</v>
      </c>
      <c r="H152" t="str">
        <f>TRIM(Raw_Data_Copy!H152)</f>
        <v>3</v>
      </c>
      <c r="I152" t="str">
        <f>TRIM(Raw_Data_Copy!I152)</f>
        <v>43.82</v>
      </c>
      <c r="J152" t="str">
        <f>TRIM(Raw_Data_Copy!J152)</f>
        <v>0.25</v>
      </c>
      <c r="K152">
        <f>ROUND(Cleaned_data!$H152*Cleaned_data!$I152*(1-Cleaned_data!$J152),2)</f>
        <v>98.6</v>
      </c>
      <c r="L152" t="str">
        <f>PROPER(TRIM(Raw_Data_Copy!L152))</f>
        <v>Bank Transfer</v>
      </c>
    </row>
    <row r="153" spans="1:12" x14ac:dyDescent="0.3">
      <c r="A153" t="str">
        <f>TRIM(Raw_Data_Copy!A153)</f>
        <v>ORD-0516</v>
      </c>
      <c r="B153" s="2">
        <v>45761</v>
      </c>
      <c r="C153" t="str">
        <f>TRIM(Raw_Data_Copy!C153)</f>
        <v>CUST-0077</v>
      </c>
      <c r="D153" t="str">
        <f>PROPER(TRIM(Raw_Data_Copy!D153))</f>
        <v>South Africa</v>
      </c>
      <c r="E153" t="str">
        <f>PROPER(TRIM(Raw_Data_Copy!E153))</f>
        <v>Southern Africa</v>
      </c>
      <c r="F153" t="str">
        <f>PROPER(TRIM(Raw_Data_Copy!F153))</f>
        <v>Backpack</v>
      </c>
      <c r="G153" t="str">
        <f>PROPER(TRIM(Raw_Data_Copy!G153))</f>
        <v>Accessories</v>
      </c>
      <c r="H153" t="str">
        <f>TRIM(Raw_Data_Copy!H153)</f>
        <v>1</v>
      </c>
      <c r="I153" t="str">
        <f>TRIM(Raw_Data_Copy!I153)</f>
        <v>80.97</v>
      </c>
      <c r="J153" t="str">
        <f>TRIM(Raw_Data_Copy!J153)</f>
        <v>0.2</v>
      </c>
      <c r="K153">
        <f>ROUND(Cleaned_data!$H153*Cleaned_data!$I153*(1-Cleaned_data!$J153),2)</f>
        <v>64.78</v>
      </c>
      <c r="L153" t="str">
        <f>PROPER(TRIM(Raw_Data_Copy!L153))</f>
        <v>Card</v>
      </c>
    </row>
    <row r="154" spans="1:12" x14ac:dyDescent="0.3">
      <c r="A154" t="str">
        <f>TRIM(Raw_Data_Copy!A154)</f>
        <v>ORD-0040</v>
      </c>
      <c r="B154" s="2">
        <v>45761</v>
      </c>
      <c r="C154" t="str">
        <f>TRIM(Raw_Data_Copy!C154)</f>
        <v>CUST-0161</v>
      </c>
      <c r="D154" t="str">
        <f>PROPER(TRIM(Raw_Data_Copy!D154))</f>
        <v>South Africa</v>
      </c>
      <c r="E154" t="str">
        <f>PROPER(TRIM(Raw_Data_Copy!E154))</f>
        <v>Southern Africa</v>
      </c>
      <c r="F154" t="str">
        <f>PROPER(TRIM(Raw_Data_Copy!F154))</f>
        <v>Monitor</v>
      </c>
      <c r="G154" t="str">
        <f>PROPER(TRIM(Raw_Data_Copy!G154))</f>
        <v>Electronics</v>
      </c>
      <c r="H154" t="str">
        <f>TRIM(Raw_Data_Copy!H154)</f>
        <v>2</v>
      </c>
      <c r="I154" t="str">
        <f>TRIM(Raw_Data_Copy!I154)</f>
        <v>285.25</v>
      </c>
      <c r="J154" t="str">
        <f>TRIM(Raw_Data_Copy!J154)</f>
        <v>0.05</v>
      </c>
      <c r="K154">
        <f>ROUND(Cleaned_data!$H154*Cleaned_data!$I154*(1-Cleaned_data!$J154),2)</f>
        <v>541.98</v>
      </c>
      <c r="L154" t="str">
        <f>PROPER(TRIM(Raw_Data_Copy!L154))</f>
        <v>Card</v>
      </c>
    </row>
    <row r="155" spans="1:12" x14ac:dyDescent="0.3">
      <c r="A155" t="str">
        <f>TRIM(Raw_Data_Copy!A155)</f>
        <v>ORD-0356</v>
      </c>
      <c r="B155" s="2">
        <v>45762</v>
      </c>
      <c r="C155" t="str">
        <f>TRIM(Raw_Data_Copy!C155)</f>
        <v>CUST-0051</v>
      </c>
      <c r="D155" t="str">
        <f>PROPER(TRIM(Raw_Data_Copy!D155))</f>
        <v>Ghana</v>
      </c>
      <c r="E155" t="str">
        <f>PROPER(TRIM(Raw_Data_Copy!E155))</f>
        <v>West Africa</v>
      </c>
      <c r="F155" t="str">
        <f>PROPER(TRIM(Raw_Data_Copy!F155))</f>
        <v>Printer</v>
      </c>
      <c r="G155" t="str">
        <f>PROPER(TRIM(Raw_Data_Copy!G155))</f>
        <v>Office Supplies</v>
      </c>
      <c r="H155" t="str">
        <f>TRIM(Raw_Data_Copy!H155)</f>
        <v>3</v>
      </c>
      <c r="I155" t="str">
        <f>TRIM(Raw_Data_Copy!I155)</f>
        <v>242.74</v>
      </c>
      <c r="J155" t="str">
        <f>TRIM(Raw_Data_Copy!J155)</f>
        <v>0.25</v>
      </c>
      <c r="K155">
        <f>ROUND(Cleaned_data!$H155*Cleaned_data!$I155*(1-Cleaned_data!$J155),2)</f>
        <v>546.16999999999996</v>
      </c>
      <c r="L155" t="str">
        <f>PROPER(TRIM(Raw_Data_Copy!L155))</f>
        <v>Mobile Money</v>
      </c>
    </row>
    <row r="156" spans="1:12" x14ac:dyDescent="0.3">
      <c r="A156" t="str">
        <f>TRIM(Raw_Data_Copy!A156)</f>
        <v>ORD-0569</v>
      </c>
      <c r="B156" s="2">
        <v>45762</v>
      </c>
      <c r="C156" t="str">
        <f>TRIM(Raw_Data_Copy!C156)</f>
        <v>CUST-0044</v>
      </c>
      <c r="D156" t="str">
        <f>PROPER(TRIM(Raw_Data_Copy!D156))</f>
        <v>Nigeria</v>
      </c>
      <c r="E156" t="str">
        <f>PROPER(TRIM(Raw_Data_Copy!E156))</f>
        <v>West Africa</v>
      </c>
      <c r="F156" t="str">
        <f>PROPER(TRIM(Raw_Data_Copy!F156))</f>
        <v>Headphones</v>
      </c>
      <c r="G156" t="str">
        <f>PROPER(TRIM(Raw_Data_Copy!G156))</f>
        <v>Electronics</v>
      </c>
      <c r="H156" t="str">
        <f>TRIM(Raw_Data_Copy!H156)</f>
        <v>2</v>
      </c>
      <c r="I156" t="str">
        <f>TRIM(Raw_Data_Copy!I156)</f>
        <v>130.6</v>
      </c>
      <c r="J156" t="str">
        <f>TRIM(Raw_Data_Copy!J156)</f>
        <v>0.2</v>
      </c>
      <c r="K156">
        <f>ROUND(Cleaned_data!$H156*Cleaned_data!$I156*(1-Cleaned_data!$J156),2)</f>
        <v>208.96</v>
      </c>
      <c r="L156" t="str">
        <f>PROPER(TRIM(Raw_Data_Copy!L156))</f>
        <v>Mobile Money</v>
      </c>
    </row>
    <row r="157" spans="1:12" x14ac:dyDescent="0.3">
      <c r="A157" t="str">
        <f>TRIM(Raw_Data_Copy!A157)</f>
        <v>ORD-0304</v>
      </c>
      <c r="B157" s="2">
        <v>45763</v>
      </c>
      <c r="C157" t="str">
        <f>TRIM(Raw_Data_Copy!C157)</f>
        <v>CUST-0070</v>
      </c>
      <c r="D157" t="str">
        <f>PROPER(TRIM(Raw_Data_Copy!D157))</f>
        <v>Nigeria</v>
      </c>
      <c r="E157" t="str">
        <f>PROPER(TRIM(Raw_Data_Copy!E157))</f>
        <v>West Africa</v>
      </c>
      <c r="F157" t="str">
        <f>PROPER(TRIM(Raw_Data_Copy!F157))</f>
        <v>Desk Lamp</v>
      </c>
      <c r="G157" t="str">
        <f>PROPER(TRIM(Raw_Data_Copy!G157))</f>
        <v>Furniture</v>
      </c>
      <c r="H157" t="str">
        <f>TRIM(Raw_Data_Copy!H157)</f>
        <v>6</v>
      </c>
      <c r="I157" t="str">
        <f>TRIM(Raw_Data_Copy!I157)</f>
        <v>52.25</v>
      </c>
      <c r="J157" t="str">
        <f>TRIM(Raw_Data_Copy!J157)</f>
        <v>0.05</v>
      </c>
      <c r="K157">
        <f>ROUND(Cleaned_data!$H157*Cleaned_data!$I157*(1-Cleaned_data!$J157),2)</f>
        <v>297.83</v>
      </c>
      <c r="L157" t="str">
        <f>PROPER(TRIM(Raw_Data_Copy!L157))</f>
        <v>Bank Transfer</v>
      </c>
    </row>
    <row r="158" spans="1:12" x14ac:dyDescent="0.3">
      <c r="A158" t="str">
        <f>TRIM(Raw_Data_Copy!A158)</f>
        <v>ORD-0360</v>
      </c>
      <c r="B158" s="2">
        <v>45764</v>
      </c>
      <c r="C158" t="str">
        <f>TRIM(Raw_Data_Copy!C158)</f>
        <v>CUST-0146</v>
      </c>
      <c r="D158" t="str">
        <f>PROPER(TRIM(Raw_Data_Copy!D158))</f>
        <v>Kenya</v>
      </c>
      <c r="E158" t="str">
        <f>PROPER(TRIM(Raw_Data_Copy!E158))</f>
        <v>East Africa</v>
      </c>
      <c r="F158" t="str">
        <f>PROPER(TRIM(Raw_Data_Copy!F158))</f>
        <v>Mouse</v>
      </c>
      <c r="G158" t="str">
        <f>PROPER(TRIM(Raw_Data_Copy!G158))</f>
        <v>Electronics</v>
      </c>
      <c r="H158" t="str">
        <f>TRIM(Raw_Data_Copy!H158)</f>
        <v>7</v>
      </c>
      <c r="I158" t="str">
        <f>TRIM(Raw_Data_Copy!I158)</f>
        <v>47.85</v>
      </c>
      <c r="J158" t="str">
        <f>TRIM(Raw_Data_Copy!J158)</f>
        <v>0</v>
      </c>
      <c r="K158">
        <f>ROUND(Cleaned_data!$H158*Cleaned_data!$I158*(1-Cleaned_data!$J158),2)</f>
        <v>334.95</v>
      </c>
      <c r="L158" t="str">
        <f>PROPER(TRIM(Raw_Data_Copy!L158))</f>
        <v>Card</v>
      </c>
    </row>
    <row r="159" spans="1:12" x14ac:dyDescent="0.3">
      <c r="A159" t="str">
        <f>TRIM(Raw_Data_Copy!A159)</f>
        <v>ORD-0423</v>
      </c>
      <c r="B159" s="2">
        <v>45765</v>
      </c>
      <c r="C159" t="str">
        <f>TRIM(Raw_Data_Copy!C159)</f>
        <v>CUST-0161</v>
      </c>
      <c r="D159" t="str">
        <f>PROPER(TRIM(Raw_Data_Copy!D159))</f>
        <v>Kenya</v>
      </c>
      <c r="E159" t="str">
        <f>PROPER(TRIM(Raw_Data_Copy!E159))</f>
        <v>East Africa</v>
      </c>
      <c r="F159" t="str">
        <f>PROPER(TRIM(Raw_Data_Copy!F159))</f>
        <v>Headphones</v>
      </c>
      <c r="G159" t="str">
        <f>PROPER(TRIM(Raw_Data_Copy!G159))</f>
        <v>Electronics</v>
      </c>
      <c r="H159" t="str">
        <f>TRIM(Raw_Data_Copy!H159)</f>
        <v>6</v>
      </c>
      <c r="I159" t="str">
        <f>TRIM(Raw_Data_Copy!I159)</f>
        <v>128.74</v>
      </c>
      <c r="J159" t="str">
        <f>TRIM(Raw_Data_Copy!J159)</f>
        <v>0.1</v>
      </c>
      <c r="K159">
        <f>ROUND(Cleaned_data!$H159*Cleaned_data!$I159*(1-Cleaned_data!$J159),2)</f>
        <v>695.2</v>
      </c>
      <c r="L159" t="str">
        <f>PROPER(TRIM(Raw_Data_Copy!L159))</f>
        <v>Bank Transfer</v>
      </c>
    </row>
    <row r="160" spans="1:12" x14ac:dyDescent="0.3">
      <c r="A160" t="str">
        <f>TRIM(Raw_Data_Copy!A160)</f>
        <v>ORD-0238</v>
      </c>
      <c r="B160" s="2">
        <v>45765</v>
      </c>
      <c r="C160" t="str">
        <f>TRIM(Raw_Data_Copy!C160)</f>
        <v>CUST-0161</v>
      </c>
      <c r="D160" t="str">
        <f>PROPER(TRIM(Raw_Data_Copy!D160))</f>
        <v>United Kingdom</v>
      </c>
      <c r="E160" t="str">
        <f>PROPER(TRIM(Raw_Data_Copy!E160))</f>
        <v>Europe</v>
      </c>
      <c r="F160" t="str">
        <f>PROPER(TRIM(Raw_Data_Copy!F160))</f>
        <v>Printer</v>
      </c>
      <c r="G160" t="str">
        <f>PROPER(TRIM(Raw_Data_Copy!G160))</f>
        <v>Office Supplies</v>
      </c>
      <c r="H160" t="str">
        <f>TRIM(Raw_Data_Copy!H160)</f>
        <v>1</v>
      </c>
      <c r="I160" t="str">
        <f>TRIM(Raw_Data_Copy!I160)</f>
        <v>246.2</v>
      </c>
      <c r="J160" t="str">
        <f>TRIM(Raw_Data_Copy!J160)</f>
        <v>0</v>
      </c>
      <c r="K160">
        <f>ROUND(Cleaned_data!$H160*Cleaned_data!$I160*(1-Cleaned_data!$J160),2)</f>
        <v>246.2</v>
      </c>
      <c r="L160" t="str">
        <f>PROPER(TRIM(Raw_Data_Copy!L160))</f>
        <v>Card</v>
      </c>
    </row>
    <row r="161" spans="1:12" x14ac:dyDescent="0.3">
      <c r="A161" t="str">
        <f>TRIM(Raw_Data_Copy!A161)</f>
        <v>ORD-0370</v>
      </c>
      <c r="B161" s="2">
        <v>45766</v>
      </c>
      <c r="C161" t="str">
        <f>TRIM(Raw_Data_Copy!C161)</f>
        <v>CUST-0022</v>
      </c>
      <c r="D161" t="str">
        <f>PROPER(TRIM(Raw_Data_Copy!D161))</f>
        <v>United Kingdom</v>
      </c>
      <c r="E161" t="str">
        <f>PROPER(TRIM(Raw_Data_Copy!E161))</f>
        <v>Europe</v>
      </c>
      <c r="F161" t="str">
        <f>PROPER(TRIM(Raw_Data_Copy!F161))</f>
        <v>Laptop</v>
      </c>
      <c r="G161" t="str">
        <f>PROPER(TRIM(Raw_Data_Copy!G161))</f>
        <v>Electronics</v>
      </c>
      <c r="H161" t="str">
        <f>TRIM(Raw_Data_Copy!H161)</f>
        <v>5</v>
      </c>
      <c r="I161" t="str">
        <f>TRIM(Raw_Data_Copy!I161)</f>
        <v>861.91</v>
      </c>
      <c r="J161" t="str">
        <f>TRIM(Raw_Data_Copy!J161)</f>
        <v>0.25</v>
      </c>
      <c r="K161">
        <f>ROUND(Cleaned_data!$H161*Cleaned_data!$I161*(1-Cleaned_data!$J161),2)</f>
        <v>3232.16</v>
      </c>
      <c r="L161" t="str">
        <f>PROPER(TRIM(Raw_Data_Copy!L161))</f>
        <v>Card</v>
      </c>
    </row>
    <row r="162" spans="1:12" x14ac:dyDescent="0.3">
      <c r="A162" t="str">
        <f>TRIM(Raw_Data_Copy!A162)</f>
        <v>ORD-0437</v>
      </c>
      <c r="B162" s="2">
        <v>45766</v>
      </c>
      <c r="C162" t="str">
        <f>TRIM(Raw_Data_Copy!C162)</f>
        <v>CUST-0047</v>
      </c>
      <c r="D162" t="str">
        <f>PROPER(TRIM(Raw_Data_Copy!D162))</f>
        <v>South Africa</v>
      </c>
      <c r="E162" t="str">
        <f>PROPER(TRIM(Raw_Data_Copy!E162))</f>
        <v>Southern Africa</v>
      </c>
      <c r="F162" t="str">
        <f>PROPER(TRIM(Raw_Data_Copy!F162))</f>
        <v>Notebook</v>
      </c>
      <c r="G162" t="str">
        <f>PROPER(TRIM(Raw_Data_Copy!G162))</f>
        <v>Office Supplies</v>
      </c>
      <c r="H162" t="str">
        <f>TRIM(Raw_Data_Copy!H162)</f>
        <v>8</v>
      </c>
      <c r="I162" t="str">
        <f>TRIM(Raw_Data_Copy!I162)</f>
        <v>15.24</v>
      </c>
      <c r="J162" t="str">
        <f>TRIM(Raw_Data_Copy!J162)</f>
        <v>0.1</v>
      </c>
      <c r="K162">
        <f>ROUND(Cleaned_data!$H162*Cleaned_data!$I162*(1-Cleaned_data!$J162),2)</f>
        <v>109.73</v>
      </c>
      <c r="L162" t="str">
        <f>PROPER(TRIM(Raw_Data_Copy!L162))</f>
        <v>Bank Transfer</v>
      </c>
    </row>
    <row r="163" spans="1:12" x14ac:dyDescent="0.3">
      <c r="A163" t="str">
        <f>TRIM(Raw_Data_Copy!A163)</f>
        <v>ORD-0339</v>
      </c>
      <c r="B163" s="2">
        <v>45767</v>
      </c>
      <c r="C163" t="str">
        <f>TRIM(Raw_Data_Copy!C163)</f>
        <v>CUST-0086</v>
      </c>
      <c r="D163" t="str">
        <f>PROPER(TRIM(Raw_Data_Copy!D163))</f>
        <v>United Kingdom</v>
      </c>
      <c r="E163" t="str">
        <f>PROPER(TRIM(Raw_Data_Copy!E163))</f>
        <v>Europe</v>
      </c>
      <c r="F163" t="str">
        <f>PROPER(TRIM(Raw_Data_Copy!F163))</f>
        <v>Office Chair</v>
      </c>
      <c r="G163" t="str">
        <f>PROPER(TRIM(Raw_Data_Copy!G163))</f>
        <v>Furniture</v>
      </c>
      <c r="H163" t="str">
        <f>TRIM(Raw_Data_Copy!H163)</f>
        <v>3</v>
      </c>
      <c r="I163" t="str">
        <f>TRIM(Raw_Data_Copy!I163)</f>
        <v>237.73</v>
      </c>
      <c r="J163" t="str">
        <f>TRIM(Raw_Data_Copy!J163)</f>
        <v>0.2</v>
      </c>
      <c r="K163">
        <f>ROUND(Cleaned_data!$H163*Cleaned_data!$I163*(1-Cleaned_data!$J163),2)</f>
        <v>570.54999999999995</v>
      </c>
      <c r="L163" t="str">
        <f>PROPER(TRIM(Raw_Data_Copy!L163))</f>
        <v>Mobile Money</v>
      </c>
    </row>
    <row r="164" spans="1:12" x14ac:dyDescent="0.3">
      <c r="A164" t="str">
        <f>TRIM(Raw_Data_Copy!A164)</f>
        <v>ORD-0120</v>
      </c>
      <c r="B164" s="2">
        <v>45768</v>
      </c>
      <c r="C164" t="str">
        <f>TRIM(Raw_Data_Copy!C164)</f>
        <v>CUST-0104</v>
      </c>
      <c r="D164" t="str">
        <f>PROPER(TRIM(Raw_Data_Copy!D164))</f>
        <v>Kenya</v>
      </c>
      <c r="E164" t="str">
        <f>PROPER(TRIM(Raw_Data_Copy!E164))</f>
        <v>East Africa</v>
      </c>
      <c r="F164" t="str">
        <f>PROPER(TRIM(Raw_Data_Copy!F164))</f>
        <v>Notebook</v>
      </c>
      <c r="G164" t="str">
        <f>PROPER(TRIM(Raw_Data_Copy!G164))</f>
        <v>Office Supplies</v>
      </c>
      <c r="H164" t="str">
        <f>TRIM(Raw_Data_Copy!H164)</f>
        <v>4</v>
      </c>
      <c r="I164" t="str">
        <f>TRIM(Raw_Data_Copy!I164)</f>
        <v>16.24</v>
      </c>
      <c r="J164" t="str">
        <f>TRIM(Raw_Data_Copy!J164)</f>
        <v>0</v>
      </c>
      <c r="K164">
        <f>ROUND(Cleaned_data!$H164*Cleaned_data!$I164*(1-Cleaned_data!$J164),2)</f>
        <v>64.959999999999994</v>
      </c>
      <c r="L164" t="str">
        <f>PROPER(TRIM(Raw_Data_Copy!L164))</f>
        <v>Card</v>
      </c>
    </row>
    <row r="165" spans="1:12" x14ac:dyDescent="0.3">
      <c r="A165" t="str">
        <f>TRIM(Raw_Data_Copy!A165)</f>
        <v>ORD-0553</v>
      </c>
      <c r="B165" s="2">
        <v>45768</v>
      </c>
      <c r="C165" t="str">
        <f>TRIM(Raw_Data_Copy!C165)</f>
        <v>CUST-0013</v>
      </c>
      <c r="D165" t="str">
        <f>PROPER(TRIM(Raw_Data_Copy!D165))</f>
        <v>Kenya</v>
      </c>
      <c r="E165" t="str">
        <f>PROPER(TRIM(Raw_Data_Copy!E165))</f>
        <v>East Africa</v>
      </c>
      <c r="F165" t="str">
        <f>PROPER(TRIM(Raw_Data_Copy!F165))</f>
        <v>Smartphone</v>
      </c>
      <c r="G165" t="str">
        <f>PROPER(TRIM(Raw_Data_Copy!G165))</f>
        <v>Electronics</v>
      </c>
      <c r="H165" t="str">
        <f>TRIM(Raw_Data_Copy!H165)</f>
        <v>3</v>
      </c>
      <c r="I165" t="str">
        <f>TRIM(Raw_Data_Copy!I165)</f>
        <v>590.21</v>
      </c>
      <c r="J165" t="str">
        <f>TRIM(Raw_Data_Copy!J165)</f>
        <v>0.05</v>
      </c>
      <c r="K165">
        <f>ROUND(Cleaned_data!$H165*Cleaned_data!$I165*(1-Cleaned_data!$J165),2)</f>
        <v>1682.1</v>
      </c>
      <c r="L165" t="str">
        <f>PROPER(TRIM(Raw_Data_Copy!L165))</f>
        <v>Card</v>
      </c>
    </row>
    <row r="166" spans="1:12" x14ac:dyDescent="0.3">
      <c r="A166" t="str">
        <f>TRIM(Raw_Data_Copy!A166)</f>
        <v>ORD-0147</v>
      </c>
      <c r="B166" s="2">
        <v>45768</v>
      </c>
      <c r="C166" t="str">
        <f>TRIM(Raw_Data_Copy!C166)</f>
        <v>CUST-0152</v>
      </c>
      <c r="D166" t="str">
        <f>PROPER(TRIM(Raw_Data_Copy!D166))</f>
        <v>Nigeria</v>
      </c>
      <c r="E166" t="str">
        <f>PROPER(TRIM(Raw_Data_Copy!E166))</f>
        <v>West Africa</v>
      </c>
      <c r="F166" t="str">
        <f>PROPER(TRIM(Raw_Data_Copy!F166))</f>
        <v>Laptop</v>
      </c>
      <c r="G166" t="str">
        <f>PROPER(TRIM(Raw_Data_Copy!G166))</f>
        <v>Electronics</v>
      </c>
      <c r="H166" t="str">
        <f>TRIM(Raw_Data_Copy!H166)</f>
        <v>3</v>
      </c>
      <c r="I166" t="str">
        <f>TRIM(Raw_Data_Copy!I166)</f>
        <v>863.48</v>
      </c>
      <c r="J166" t="str">
        <f>TRIM(Raw_Data_Copy!J166)</f>
        <v>0.1</v>
      </c>
      <c r="K166">
        <f>ROUND(Cleaned_data!$H166*Cleaned_data!$I166*(1-Cleaned_data!$J166),2)</f>
        <v>2331.4</v>
      </c>
      <c r="L166" t="str">
        <f>PROPER(TRIM(Raw_Data_Copy!L166))</f>
        <v>Mobile Money</v>
      </c>
    </row>
    <row r="167" spans="1:12" x14ac:dyDescent="0.3">
      <c r="A167" t="str">
        <f>TRIM(Raw_Data_Copy!A167)</f>
        <v>ORD-0409</v>
      </c>
      <c r="B167" s="2">
        <v>45768</v>
      </c>
      <c r="C167" t="str">
        <f>TRIM(Raw_Data_Copy!C167)</f>
        <v>CUST-0102</v>
      </c>
      <c r="D167" t="str">
        <f>PROPER(TRIM(Raw_Data_Copy!D167))</f>
        <v>Nigeria</v>
      </c>
      <c r="E167" t="str">
        <f>PROPER(TRIM(Raw_Data_Copy!E167))</f>
        <v>West Africa</v>
      </c>
      <c r="F167" t="str">
        <f>PROPER(TRIM(Raw_Data_Copy!F167))</f>
        <v>Backpack</v>
      </c>
      <c r="G167" t="str">
        <f>PROPER(TRIM(Raw_Data_Copy!G167))</f>
        <v>Accessories</v>
      </c>
      <c r="H167" t="str">
        <f>TRIM(Raw_Data_Copy!H167)</f>
        <v>1</v>
      </c>
      <c r="I167" t="str">
        <f>TRIM(Raw_Data_Copy!I167)</f>
        <v>69.37</v>
      </c>
      <c r="J167" t="str">
        <f>TRIM(Raw_Data_Copy!J167)</f>
        <v>0.1</v>
      </c>
      <c r="K167">
        <f>ROUND(Cleaned_data!$H167*Cleaned_data!$I167*(1-Cleaned_data!$J167),2)</f>
        <v>62.43</v>
      </c>
      <c r="L167" t="str">
        <f>PROPER(TRIM(Raw_Data_Copy!L167))</f>
        <v>Mobile Money</v>
      </c>
    </row>
    <row r="168" spans="1:12" x14ac:dyDescent="0.3">
      <c r="A168" t="str">
        <f>TRIM(Raw_Data_Copy!A168)</f>
        <v>ORD-0373</v>
      </c>
      <c r="B168" s="2">
        <v>45768</v>
      </c>
      <c r="C168" t="str">
        <f>TRIM(Raw_Data_Copy!C168)</f>
        <v>CUST-0098</v>
      </c>
      <c r="D168" t="str">
        <f>PROPER(TRIM(Raw_Data_Copy!D168))</f>
        <v>United Kingdom</v>
      </c>
      <c r="E168" t="str">
        <f>PROPER(TRIM(Raw_Data_Copy!E168))</f>
        <v>Europe</v>
      </c>
      <c r="F168" t="str">
        <f>PROPER(TRIM(Raw_Data_Copy!F168))</f>
        <v>Office Chair</v>
      </c>
      <c r="G168" t="str">
        <f>PROPER(TRIM(Raw_Data_Copy!G168))</f>
        <v>Furniture</v>
      </c>
      <c r="H168" t="str">
        <f>TRIM(Raw_Data_Copy!H168)</f>
        <v>3</v>
      </c>
      <c r="I168" t="str">
        <f>TRIM(Raw_Data_Copy!I168)</f>
        <v>205.27</v>
      </c>
      <c r="J168" t="str">
        <f>TRIM(Raw_Data_Copy!J168)</f>
        <v>0.1</v>
      </c>
      <c r="K168">
        <f>ROUND(Cleaned_data!$H168*Cleaned_data!$I168*(1-Cleaned_data!$J168),2)</f>
        <v>554.23</v>
      </c>
      <c r="L168" t="str">
        <f>PROPER(TRIM(Raw_Data_Copy!L168))</f>
        <v>Cash</v>
      </c>
    </row>
    <row r="169" spans="1:12" x14ac:dyDescent="0.3">
      <c r="A169" t="str">
        <f>TRIM(Raw_Data_Copy!A169)</f>
        <v>ORD-0101</v>
      </c>
      <c r="B169" s="2">
        <v>45769</v>
      </c>
      <c r="C169" t="str">
        <f>TRIM(Raw_Data_Copy!C169)</f>
        <v>CUST-0004</v>
      </c>
      <c r="D169" t="str">
        <f>PROPER(TRIM(Raw_Data_Copy!D169))</f>
        <v>Nigeria</v>
      </c>
      <c r="E169" t="str">
        <f>PROPER(TRIM(Raw_Data_Copy!E169))</f>
        <v>West Africa</v>
      </c>
      <c r="F169" t="str">
        <f>PROPER(TRIM(Raw_Data_Copy!F169))</f>
        <v>Mouse</v>
      </c>
      <c r="G169" t="str">
        <f>PROPER(TRIM(Raw_Data_Copy!G169))</f>
        <v>Electronics</v>
      </c>
      <c r="H169" t="str">
        <f>TRIM(Raw_Data_Copy!H169)</f>
        <v>1</v>
      </c>
      <c r="I169" t="str">
        <f>TRIM(Raw_Data_Copy!I169)</f>
        <v>40.57</v>
      </c>
      <c r="J169" t="str">
        <f>TRIM(Raw_Data_Copy!J169)</f>
        <v>0.05</v>
      </c>
      <c r="K169">
        <f>ROUND(Cleaned_data!$H169*Cleaned_data!$I169*(1-Cleaned_data!$J169),2)</f>
        <v>38.54</v>
      </c>
      <c r="L169" t="str">
        <f>PROPER(TRIM(Raw_Data_Copy!L169))</f>
        <v>Card</v>
      </c>
    </row>
    <row r="170" spans="1:12" x14ac:dyDescent="0.3">
      <c r="A170" t="str">
        <f>TRIM(Raw_Data_Copy!A170)</f>
        <v>ORD-0366</v>
      </c>
      <c r="B170" s="2">
        <v>45770</v>
      </c>
      <c r="C170" t="str">
        <f>TRIM(Raw_Data_Copy!C170)</f>
        <v>CUST-0109</v>
      </c>
      <c r="D170" t="str">
        <f>PROPER(TRIM(Raw_Data_Copy!D170))</f>
        <v>South Africa</v>
      </c>
      <c r="E170" t="str">
        <f>PROPER(TRIM(Raw_Data_Copy!E170))</f>
        <v>Southern Africa</v>
      </c>
      <c r="F170" t="str">
        <f>PROPER(TRIM(Raw_Data_Copy!F170))</f>
        <v>Smartphone</v>
      </c>
      <c r="G170" t="str">
        <f>PROPER(TRIM(Raw_Data_Copy!G170))</f>
        <v>Electronics</v>
      </c>
      <c r="H170" t="str">
        <f>TRIM(Raw_Data_Copy!H170)</f>
        <v>8</v>
      </c>
      <c r="I170" t="str">
        <f>TRIM(Raw_Data_Copy!I170)</f>
        <v>613.33</v>
      </c>
      <c r="J170" t="str">
        <f>TRIM(Raw_Data_Copy!J170)</f>
        <v>0.3</v>
      </c>
      <c r="K170">
        <f>ROUND(Cleaned_data!$H170*Cleaned_data!$I170*(1-Cleaned_data!$J170),2)</f>
        <v>3434.65</v>
      </c>
      <c r="L170" t="str">
        <f>PROPER(TRIM(Raw_Data_Copy!L170))</f>
        <v>Mobile Money</v>
      </c>
    </row>
    <row r="171" spans="1:12" x14ac:dyDescent="0.3">
      <c r="A171" t="str">
        <f>TRIM(Raw_Data_Copy!A171)</f>
        <v>ORD-0433</v>
      </c>
      <c r="B171" s="2">
        <v>45770</v>
      </c>
      <c r="C171" t="str">
        <f>TRIM(Raw_Data_Copy!C171)</f>
        <v>CUST-0103</v>
      </c>
      <c r="D171" t="str">
        <f>PROPER(TRIM(Raw_Data_Copy!D171))</f>
        <v>United Kingdom</v>
      </c>
      <c r="E171" t="str">
        <f>PROPER(TRIM(Raw_Data_Copy!E171))</f>
        <v>Europe</v>
      </c>
      <c r="F171" t="str">
        <f>PROPER(TRIM(Raw_Data_Copy!F171))</f>
        <v>Laptop</v>
      </c>
      <c r="G171" t="str">
        <f>PROPER(TRIM(Raw_Data_Copy!G171))</f>
        <v>Electronics</v>
      </c>
      <c r="H171" t="str">
        <f>TRIM(Raw_Data_Copy!H171)</f>
        <v>3</v>
      </c>
      <c r="I171" t="str">
        <f>TRIM(Raw_Data_Copy!I171)</f>
        <v>880.64</v>
      </c>
      <c r="J171" t="str">
        <f>TRIM(Raw_Data_Copy!J171)</f>
        <v>0.15</v>
      </c>
      <c r="K171">
        <f>ROUND(Cleaned_data!$H171*Cleaned_data!$I171*(1-Cleaned_data!$J171),2)</f>
        <v>2245.63</v>
      </c>
      <c r="L171" t="str">
        <f>PROPER(TRIM(Raw_Data_Copy!L171))</f>
        <v>Cash</v>
      </c>
    </row>
    <row r="172" spans="1:12" x14ac:dyDescent="0.3">
      <c r="A172" t="str">
        <f>TRIM(Raw_Data_Copy!A172)</f>
        <v>ORD-0039</v>
      </c>
      <c r="B172" s="2">
        <v>45771</v>
      </c>
      <c r="C172" t="str">
        <f>TRIM(Raw_Data_Copy!C172)</f>
        <v>CUST-0032</v>
      </c>
      <c r="D172" t="str">
        <f>PROPER(TRIM(Raw_Data_Copy!D172))</f>
        <v>Nigeria</v>
      </c>
      <c r="E172" t="str">
        <f>PROPER(TRIM(Raw_Data_Copy!E172))</f>
        <v>West Africa</v>
      </c>
      <c r="F172" t="str">
        <f>PROPER(TRIM(Raw_Data_Copy!F172))</f>
        <v>Printer</v>
      </c>
      <c r="G172" t="str">
        <f>PROPER(TRIM(Raw_Data_Copy!G172))</f>
        <v>Office Supplies</v>
      </c>
      <c r="H172" t="str">
        <f>TRIM(Raw_Data_Copy!H172)</f>
        <v>7</v>
      </c>
      <c r="I172" t="str">
        <f>TRIM(Raw_Data_Copy!I172)</f>
        <v>267.21</v>
      </c>
      <c r="J172" t="str">
        <f>TRIM(Raw_Data_Copy!J172)</f>
        <v>0.25</v>
      </c>
      <c r="K172">
        <f>ROUND(Cleaned_data!$H172*Cleaned_data!$I172*(1-Cleaned_data!$J172),2)</f>
        <v>1402.85</v>
      </c>
      <c r="L172" t="str">
        <f>PROPER(TRIM(Raw_Data_Copy!L172))</f>
        <v>Card</v>
      </c>
    </row>
    <row r="173" spans="1:12" x14ac:dyDescent="0.3">
      <c r="A173" t="str">
        <f>TRIM(Raw_Data_Copy!A173)</f>
        <v>ORD-0491</v>
      </c>
      <c r="B173" s="2">
        <v>45772</v>
      </c>
      <c r="C173" t="str">
        <f>TRIM(Raw_Data_Copy!C173)</f>
        <v>CUST-0164</v>
      </c>
      <c r="D173" t="str">
        <f>PROPER(TRIM(Raw_Data_Copy!D173))</f>
        <v>Nigeria</v>
      </c>
      <c r="E173" t="str">
        <f>PROPER(TRIM(Raw_Data_Copy!E173))</f>
        <v>West Africa</v>
      </c>
      <c r="F173" t="str">
        <f>PROPER(TRIM(Raw_Data_Copy!F173))</f>
        <v>Notebook</v>
      </c>
      <c r="G173" t="str">
        <f>PROPER(TRIM(Raw_Data_Copy!G173))</f>
        <v>Office Supplies</v>
      </c>
      <c r="H173" t="str">
        <f>TRIM(Raw_Data_Copy!H173)</f>
        <v>8</v>
      </c>
      <c r="I173" t="str">
        <f>TRIM(Raw_Data_Copy!I173)</f>
        <v>16.17</v>
      </c>
      <c r="J173" t="str">
        <f>TRIM(Raw_Data_Copy!J173)</f>
        <v>0.05</v>
      </c>
      <c r="K173">
        <f>ROUND(Cleaned_data!$H173*Cleaned_data!$I173*(1-Cleaned_data!$J173),2)</f>
        <v>122.89</v>
      </c>
      <c r="L173" t="str">
        <f>PROPER(TRIM(Raw_Data_Copy!L173))</f>
        <v>Card</v>
      </c>
    </row>
    <row r="174" spans="1:12" x14ac:dyDescent="0.3">
      <c r="A174" t="str">
        <f>TRIM(Raw_Data_Copy!A174)</f>
        <v>ORD-0294</v>
      </c>
      <c r="B174" s="2">
        <v>45774</v>
      </c>
      <c r="C174" t="str">
        <f>TRIM(Raw_Data_Copy!C174)</f>
        <v>CUST-0159</v>
      </c>
      <c r="D174" t="str">
        <f>PROPER(TRIM(Raw_Data_Copy!D174))</f>
        <v>Nigeria</v>
      </c>
      <c r="E174" t="str">
        <f>PROPER(TRIM(Raw_Data_Copy!E174))</f>
        <v>West Africa</v>
      </c>
      <c r="F174" t="str">
        <f>PROPER(TRIM(Raw_Data_Copy!F174))</f>
        <v>Headphones</v>
      </c>
      <c r="G174" t="str">
        <f>PROPER(TRIM(Raw_Data_Copy!G174))</f>
        <v>Electronics</v>
      </c>
      <c r="H174" t="str">
        <f>TRIM(Raw_Data_Copy!H174)</f>
        <v>6</v>
      </c>
      <c r="I174" t="str">
        <f>TRIM(Raw_Data_Copy!I174)</f>
        <v>124.69</v>
      </c>
      <c r="J174" t="str">
        <f>TRIM(Raw_Data_Copy!J174)</f>
        <v>0.15</v>
      </c>
      <c r="K174">
        <f>ROUND(Cleaned_data!$H174*Cleaned_data!$I174*(1-Cleaned_data!$J174),2)</f>
        <v>635.91999999999996</v>
      </c>
      <c r="L174" t="str">
        <f>PROPER(TRIM(Raw_Data_Copy!L174))</f>
        <v>Cash</v>
      </c>
    </row>
    <row r="175" spans="1:12" x14ac:dyDescent="0.3">
      <c r="A175" t="str">
        <f>TRIM(Raw_Data_Copy!A175)</f>
        <v>ORD-0071</v>
      </c>
      <c r="B175" s="2">
        <v>45774</v>
      </c>
      <c r="C175" t="str">
        <f>TRIM(Raw_Data_Copy!C175)</f>
        <v>CUST-0134</v>
      </c>
      <c r="D175" t="str">
        <f>PROPER(TRIM(Raw_Data_Copy!D175))</f>
        <v>United Kingdom</v>
      </c>
      <c r="E175" t="str">
        <f>PROPER(TRIM(Raw_Data_Copy!E175))</f>
        <v>Europe</v>
      </c>
      <c r="F175" t="str">
        <f>PROPER(TRIM(Raw_Data_Copy!F175))</f>
        <v>Desk Lamp</v>
      </c>
      <c r="G175" t="str">
        <f>PROPER(TRIM(Raw_Data_Copy!G175))</f>
        <v>Furniture</v>
      </c>
      <c r="H175" t="str">
        <f>TRIM(Raw_Data_Copy!H175)</f>
        <v>6</v>
      </c>
      <c r="I175" t="str">
        <f>TRIM(Raw_Data_Copy!I175)</f>
        <v>53.9</v>
      </c>
      <c r="J175" t="str">
        <f>TRIM(Raw_Data_Copy!J175)</f>
        <v>0.1</v>
      </c>
      <c r="K175">
        <f>ROUND(Cleaned_data!$H175*Cleaned_data!$I175*(1-Cleaned_data!$J175),2)</f>
        <v>291.06</v>
      </c>
      <c r="L175" t="str">
        <f>PROPER(TRIM(Raw_Data_Copy!L175))</f>
        <v>Card</v>
      </c>
    </row>
    <row r="176" spans="1:12" x14ac:dyDescent="0.3">
      <c r="A176" t="str">
        <f>TRIM(Raw_Data_Copy!A176)</f>
        <v>ORD-0190</v>
      </c>
      <c r="B176" s="2">
        <v>45774</v>
      </c>
      <c r="C176" t="str">
        <f>TRIM(Raw_Data_Copy!C176)</f>
        <v>CUST-0130</v>
      </c>
      <c r="D176" t="str">
        <f>PROPER(TRIM(Raw_Data_Copy!D176))</f>
        <v>Kenya</v>
      </c>
      <c r="E176" t="str">
        <f>PROPER(TRIM(Raw_Data_Copy!E176))</f>
        <v>East Africa</v>
      </c>
      <c r="F176" t="str">
        <f>PROPER(TRIM(Raw_Data_Copy!F176))</f>
        <v>Backpack</v>
      </c>
      <c r="G176" t="str">
        <f>PROPER(TRIM(Raw_Data_Copy!G176))</f>
        <v>Accessories</v>
      </c>
      <c r="H176" t="str">
        <f>TRIM(Raw_Data_Copy!H176)</f>
        <v>8</v>
      </c>
      <c r="I176" t="str">
        <f>TRIM(Raw_Data_Copy!I176)</f>
        <v>74.87</v>
      </c>
      <c r="J176" t="str">
        <f>TRIM(Raw_Data_Copy!J176)</f>
        <v>0</v>
      </c>
      <c r="K176">
        <f>ROUND(Cleaned_data!$H176*Cleaned_data!$I176*(1-Cleaned_data!$J176),2)</f>
        <v>598.96</v>
      </c>
      <c r="L176" t="str">
        <f>PROPER(TRIM(Raw_Data_Copy!L176))</f>
        <v>Mobile Money</v>
      </c>
    </row>
    <row r="177" spans="1:12" x14ac:dyDescent="0.3">
      <c r="A177" t="str">
        <f>TRIM(Raw_Data_Copy!A177)</f>
        <v>ORD-0331</v>
      </c>
      <c r="B177" s="2">
        <v>45774</v>
      </c>
      <c r="C177" t="str">
        <f>TRIM(Raw_Data_Copy!C177)</f>
        <v>CUST-0046</v>
      </c>
      <c r="D177" t="str">
        <f>PROPER(TRIM(Raw_Data_Copy!D177))</f>
        <v>South Africa</v>
      </c>
      <c r="E177" t="str">
        <f>PROPER(TRIM(Raw_Data_Copy!E177))</f>
        <v>Southern Africa</v>
      </c>
      <c r="F177" t="str">
        <f>PROPER(TRIM(Raw_Data_Copy!F177))</f>
        <v>Mouse</v>
      </c>
      <c r="G177" t="str">
        <f>PROPER(TRIM(Raw_Data_Copy!G177))</f>
        <v>Electronics</v>
      </c>
      <c r="H177" t="str">
        <f>TRIM(Raw_Data_Copy!H177)</f>
        <v>7</v>
      </c>
      <c r="I177" t="str">
        <f>TRIM(Raw_Data_Copy!I177)</f>
        <v>43.25</v>
      </c>
      <c r="J177" t="str">
        <f>TRIM(Raw_Data_Copy!J177)</f>
        <v>0.05</v>
      </c>
      <c r="K177">
        <f>ROUND(Cleaned_data!$H177*Cleaned_data!$I177*(1-Cleaned_data!$J177),2)</f>
        <v>287.61</v>
      </c>
      <c r="L177" t="str">
        <f>PROPER(TRIM(Raw_Data_Copy!L177))</f>
        <v>Card</v>
      </c>
    </row>
    <row r="178" spans="1:12" x14ac:dyDescent="0.3">
      <c r="A178" t="str">
        <f>TRIM(Raw_Data_Copy!A178)</f>
        <v>ORD-0143</v>
      </c>
      <c r="B178" s="2">
        <v>45774</v>
      </c>
      <c r="C178" t="str">
        <f>TRIM(Raw_Data_Copy!C178)</f>
        <v>CUST-0106</v>
      </c>
      <c r="D178" t="str">
        <f>PROPER(TRIM(Raw_Data_Copy!D178))</f>
        <v>Kenya</v>
      </c>
      <c r="E178" t="str">
        <f>PROPER(TRIM(Raw_Data_Copy!E178))</f>
        <v>East Africa</v>
      </c>
      <c r="F178" t="str">
        <f>PROPER(TRIM(Raw_Data_Copy!F178))</f>
        <v>Smartphone</v>
      </c>
      <c r="G178" t="str">
        <f>PROPER(TRIM(Raw_Data_Copy!G178))</f>
        <v>Electronics</v>
      </c>
      <c r="H178" t="str">
        <f>TRIM(Raw_Data_Copy!H178)</f>
        <v>1</v>
      </c>
      <c r="I178" t="str">
        <f>TRIM(Raw_Data_Copy!I178)</f>
        <v>637.68</v>
      </c>
      <c r="J178" t="str">
        <f>TRIM(Raw_Data_Copy!J178)</f>
        <v>0.1</v>
      </c>
      <c r="K178">
        <f>ROUND(Cleaned_data!$H178*Cleaned_data!$I178*(1-Cleaned_data!$J178),2)</f>
        <v>573.91</v>
      </c>
      <c r="L178" t="str">
        <f>PROPER(TRIM(Raw_Data_Copy!L178))</f>
        <v>Bank Transfer</v>
      </c>
    </row>
    <row r="179" spans="1:12" x14ac:dyDescent="0.3">
      <c r="A179" t="str">
        <f>TRIM(Raw_Data_Copy!A179)</f>
        <v>ORD-0210</v>
      </c>
      <c r="B179" s="2">
        <v>45775</v>
      </c>
      <c r="C179" t="str">
        <f>TRIM(Raw_Data_Copy!C179)</f>
        <v>CUST-0014</v>
      </c>
      <c r="D179" t="str">
        <f>PROPER(TRIM(Raw_Data_Copy!D179))</f>
        <v>South Africa</v>
      </c>
      <c r="E179" t="str">
        <f>PROPER(TRIM(Raw_Data_Copy!E179))</f>
        <v>Southern Africa</v>
      </c>
      <c r="F179" t="str">
        <f>PROPER(TRIM(Raw_Data_Copy!F179))</f>
        <v>Office Chair</v>
      </c>
      <c r="G179" t="str">
        <f>PROPER(TRIM(Raw_Data_Copy!G179))</f>
        <v>Furniture</v>
      </c>
      <c r="H179" t="str">
        <f>TRIM(Raw_Data_Copy!H179)</f>
        <v>5</v>
      </c>
      <c r="I179" t="str">
        <f>TRIM(Raw_Data_Copy!I179)</f>
        <v>208.43</v>
      </c>
      <c r="J179" t="str">
        <f>TRIM(Raw_Data_Copy!J179)</f>
        <v>0.05</v>
      </c>
      <c r="K179">
        <f>ROUND(Cleaned_data!$H179*Cleaned_data!$I179*(1-Cleaned_data!$J179),2)</f>
        <v>990.04</v>
      </c>
      <c r="L179" t="str">
        <f>PROPER(TRIM(Raw_Data_Copy!L179))</f>
        <v>Bank Transfer</v>
      </c>
    </row>
    <row r="180" spans="1:12" x14ac:dyDescent="0.3">
      <c r="A180" t="str">
        <f>TRIM(Raw_Data_Copy!A180)</f>
        <v>ORD-0103</v>
      </c>
      <c r="B180" s="2">
        <v>45775</v>
      </c>
      <c r="C180" t="str">
        <f>TRIM(Raw_Data_Copy!C180)</f>
        <v>CUST-0113</v>
      </c>
      <c r="D180" t="str">
        <f>PROPER(TRIM(Raw_Data_Copy!D180))</f>
        <v>United States</v>
      </c>
      <c r="E180" t="str">
        <f>PROPER(TRIM(Raw_Data_Copy!E180))</f>
        <v>North America</v>
      </c>
      <c r="F180" t="str">
        <f>PROPER(TRIM(Raw_Data_Copy!F180))</f>
        <v>Backpack</v>
      </c>
      <c r="G180" t="str">
        <f>PROPER(TRIM(Raw_Data_Copy!G180))</f>
        <v>Accessories</v>
      </c>
      <c r="H180" t="str">
        <f>TRIM(Raw_Data_Copy!H180)</f>
        <v>2</v>
      </c>
      <c r="I180" t="str">
        <f>TRIM(Raw_Data_Copy!I180)</f>
        <v>76.14</v>
      </c>
      <c r="J180" t="str">
        <f>TRIM(Raw_Data_Copy!J180)</f>
        <v>0.25</v>
      </c>
      <c r="K180">
        <f>ROUND(Cleaned_data!$H180*Cleaned_data!$I180*(1-Cleaned_data!$J180),2)</f>
        <v>114.21</v>
      </c>
      <c r="L180" t="str">
        <f>PROPER(TRIM(Raw_Data_Copy!L180))</f>
        <v>Card</v>
      </c>
    </row>
    <row r="181" spans="1:12" x14ac:dyDescent="0.3">
      <c r="A181" t="str">
        <f>TRIM(Raw_Data_Copy!A181)</f>
        <v>ORD-0116</v>
      </c>
      <c r="B181" s="2">
        <v>45775</v>
      </c>
      <c r="C181" t="str">
        <f>TRIM(Raw_Data_Copy!C181)</f>
        <v>CUST-0038</v>
      </c>
      <c r="D181" t="str">
        <f>PROPER(TRIM(Raw_Data_Copy!D181))</f>
        <v>United Kingdom</v>
      </c>
      <c r="E181" t="str">
        <f>PROPER(TRIM(Raw_Data_Copy!E181))</f>
        <v>Europe</v>
      </c>
      <c r="F181" t="str">
        <f>PROPER(TRIM(Raw_Data_Copy!F181))</f>
        <v>Office Chair</v>
      </c>
      <c r="G181" t="str">
        <f>PROPER(TRIM(Raw_Data_Copy!G181))</f>
        <v>Furniture</v>
      </c>
      <c r="H181" t="str">
        <f>TRIM(Raw_Data_Copy!H181)</f>
        <v>6</v>
      </c>
      <c r="I181" t="str">
        <f>TRIM(Raw_Data_Copy!I181)</f>
        <v>229.42</v>
      </c>
      <c r="J181" t="str">
        <f>TRIM(Raw_Data_Copy!J181)</f>
        <v>0.1</v>
      </c>
      <c r="K181">
        <f>ROUND(Cleaned_data!$H181*Cleaned_data!$I181*(1-Cleaned_data!$J181),2)</f>
        <v>1238.8699999999999</v>
      </c>
      <c r="L181" t="str">
        <f>PROPER(TRIM(Raw_Data_Copy!L181))</f>
        <v>Bank Transfer</v>
      </c>
    </row>
    <row r="182" spans="1:12" x14ac:dyDescent="0.3">
      <c r="A182" t="str">
        <f>TRIM(Raw_Data_Copy!A182)</f>
        <v>ORD-0214</v>
      </c>
      <c r="B182" s="2">
        <v>45776</v>
      </c>
      <c r="C182" t="str">
        <f>TRIM(Raw_Data_Copy!C182)</f>
        <v>CUST-0035</v>
      </c>
      <c r="D182" t="str">
        <f>PROPER(TRIM(Raw_Data_Copy!D182))</f>
        <v>Nigeria</v>
      </c>
      <c r="E182" t="str">
        <f>PROPER(TRIM(Raw_Data_Copy!E182))</f>
        <v>West Africa</v>
      </c>
      <c r="F182" t="str">
        <f>PROPER(TRIM(Raw_Data_Copy!F182))</f>
        <v>Smartphone</v>
      </c>
      <c r="G182" t="str">
        <f>PROPER(TRIM(Raw_Data_Copy!G182))</f>
        <v>Electronics</v>
      </c>
      <c r="H182" t="str">
        <f>TRIM(Raw_Data_Copy!H182)</f>
        <v>1</v>
      </c>
      <c r="I182" t="str">
        <f>TRIM(Raw_Data_Copy!I182)</f>
        <v>654.05</v>
      </c>
      <c r="J182" t="str">
        <f>TRIM(Raw_Data_Copy!J182)</f>
        <v>0.25</v>
      </c>
      <c r="K182">
        <f>ROUND(Cleaned_data!$H182*Cleaned_data!$I182*(1-Cleaned_data!$J182),2)</f>
        <v>490.54</v>
      </c>
      <c r="L182" t="str">
        <f>PROPER(TRIM(Raw_Data_Copy!L182))</f>
        <v>Card</v>
      </c>
    </row>
    <row r="183" spans="1:12" x14ac:dyDescent="0.3">
      <c r="A183" t="str">
        <f>TRIM(Raw_Data_Copy!A183)</f>
        <v>ORD-0515</v>
      </c>
      <c r="B183" s="2">
        <v>45777</v>
      </c>
      <c r="C183" t="str">
        <f>TRIM(Raw_Data_Copy!C183)</f>
        <v>CUST-0046</v>
      </c>
      <c r="D183" t="str">
        <f>PROPER(TRIM(Raw_Data_Copy!D183))</f>
        <v>Nigeria</v>
      </c>
      <c r="E183" t="str">
        <f>PROPER(TRIM(Raw_Data_Copy!E183))</f>
        <v>West Africa</v>
      </c>
      <c r="F183" t="str">
        <f>PROPER(TRIM(Raw_Data_Copy!F183))</f>
        <v>Backpack</v>
      </c>
      <c r="G183" t="str">
        <f>PROPER(TRIM(Raw_Data_Copy!G183))</f>
        <v>Accessories</v>
      </c>
      <c r="H183" t="str">
        <f>TRIM(Raw_Data_Copy!H183)</f>
        <v>5</v>
      </c>
      <c r="I183" t="str">
        <f>TRIM(Raw_Data_Copy!I183)</f>
        <v>80.69</v>
      </c>
      <c r="J183" t="str">
        <f>TRIM(Raw_Data_Copy!J183)</f>
        <v>0.05</v>
      </c>
      <c r="K183">
        <f>ROUND(Cleaned_data!$H183*Cleaned_data!$I183*(1-Cleaned_data!$J183),2)</f>
        <v>383.28</v>
      </c>
      <c r="L183" t="str">
        <f>PROPER(TRIM(Raw_Data_Copy!L183))</f>
        <v>Mobile Money</v>
      </c>
    </row>
    <row r="184" spans="1:12" x14ac:dyDescent="0.3">
      <c r="A184" t="str">
        <f>TRIM(Raw_Data_Copy!A184)</f>
        <v>ORD-0268</v>
      </c>
      <c r="B184" s="2">
        <v>45777</v>
      </c>
      <c r="C184" t="str">
        <f>TRIM(Raw_Data_Copy!C184)</f>
        <v>CUST-0137</v>
      </c>
      <c r="D184" t="str">
        <f>PROPER(TRIM(Raw_Data_Copy!D184))</f>
        <v>United States</v>
      </c>
      <c r="E184" t="str">
        <f>PROPER(TRIM(Raw_Data_Copy!E184))</f>
        <v>North America</v>
      </c>
      <c r="F184" t="str">
        <f>PROPER(TRIM(Raw_Data_Copy!F184))</f>
        <v>Printer</v>
      </c>
      <c r="G184" t="str">
        <f>PROPER(TRIM(Raw_Data_Copy!G184))</f>
        <v>Office Supplies</v>
      </c>
      <c r="H184" t="str">
        <f>TRIM(Raw_Data_Copy!H184)</f>
        <v>5</v>
      </c>
      <c r="I184" t="str">
        <f>TRIM(Raw_Data_Copy!I184)</f>
        <v>272.81</v>
      </c>
      <c r="J184" t="str">
        <f>TRIM(Raw_Data_Copy!J184)</f>
        <v>0</v>
      </c>
      <c r="K184">
        <f>ROUND(Cleaned_data!$H184*Cleaned_data!$I184*(1-Cleaned_data!$J184),2)</f>
        <v>1364.05</v>
      </c>
      <c r="L184" t="str">
        <f>PROPER(TRIM(Raw_Data_Copy!L184))</f>
        <v>Card</v>
      </c>
    </row>
    <row r="185" spans="1:12" x14ac:dyDescent="0.3">
      <c r="A185" t="str">
        <f>TRIM(Raw_Data_Copy!A185)</f>
        <v>ORD-0400</v>
      </c>
      <c r="B185" s="2">
        <v>45777</v>
      </c>
      <c r="C185" t="str">
        <f>TRIM(Raw_Data_Copy!C185)</f>
        <v>CUST-0138</v>
      </c>
      <c r="D185" t="str">
        <f>PROPER(TRIM(Raw_Data_Copy!D185))</f>
        <v>Ghana</v>
      </c>
      <c r="E185" t="str">
        <f>PROPER(TRIM(Raw_Data_Copy!E185))</f>
        <v>West Africa</v>
      </c>
      <c r="F185" t="str">
        <f>PROPER(TRIM(Raw_Data_Copy!F185))</f>
        <v>Printer</v>
      </c>
      <c r="G185" t="str">
        <f>PROPER(TRIM(Raw_Data_Copy!G185))</f>
        <v>Office Supplies</v>
      </c>
      <c r="H185" t="str">
        <f>TRIM(Raw_Data_Copy!H185)</f>
        <v>7</v>
      </c>
      <c r="I185" t="str">
        <f>TRIM(Raw_Data_Copy!I185)</f>
        <v>249.69</v>
      </c>
      <c r="J185" t="str">
        <f>TRIM(Raw_Data_Copy!J185)</f>
        <v>0.1</v>
      </c>
      <c r="K185">
        <f>ROUND(Cleaned_data!$H185*Cleaned_data!$I185*(1-Cleaned_data!$J185),2)</f>
        <v>1573.05</v>
      </c>
      <c r="L185" t="str">
        <f>PROPER(TRIM(Raw_Data_Copy!L185))</f>
        <v>Mobile Money</v>
      </c>
    </row>
    <row r="186" spans="1:12" x14ac:dyDescent="0.3">
      <c r="A186" t="str">
        <f>TRIM(Raw_Data_Copy!A186)</f>
        <v>ORD-0593</v>
      </c>
      <c r="B186" s="2">
        <v>45779</v>
      </c>
      <c r="C186" t="str">
        <f>TRIM(Raw_Data_Copy!C186)</f>
        <v>CUST-0108</v>
      </c>
      <c r="D186" t="str">
        <f>PROPER(TRIM(Raw_Data_Copy!D186))</f>
        <v>United Kingdom</v>
      </c>
      <c r="E186" t="str">
        <f>PROPER(TRIM(Raw_Data_Copy!E186))</f>
        <v>Europe</v>
      </c>
      <c r="F186" t="str">
        <f>PROPER(TRIM(Raw_Data_Copy!F186))</f>
        <v>Notebook</v>
      </c>
      <c r="G186" t="str">
        <f>PROPER(TRIM(Raw_Data_Copy!G186))</f>
        <v>Office Supplies</v>
      </c>
      <c r="H186" t="str">
        <f>TRIM(Raw_Data_Copy!H186)</f>
        <v>6</v>
      </c>
      <c r="I186" t="str">
        <f>TRIM(Raw_Data_Copy!I186)</f>
        <v>13.94</v>
      </c>
      <c r="J186" t="str">
        <f>TRIM(Raw_Data_Copy!J186)</f>
        <v>0.2</v>
      </c>
      <c r="K186">
        <f>ROUND(Cleaned_data!$H186*Cleaned_data!$I186*(1-Cleaned_data!$J186),2)</f>
        <v>66.91</v>
      </c>
      <c r="L186" t="str">
        <f>PROPER(TRIM(Raw_Data_Copy!L186))</f>
        <v>Mobile Money</v>
      </c>
    </row>
    <row r="187" spans="1:12" x14ac:dyDescent="0.3">
      <c r="A187" t="str">
        <f>TRIM(Raw_Data_Copy!A187)</f>
        <v>ORD-0502</v>
      </c>
      <c r="B187" s="2">
        <v>45780</v>
      </c>
      <c r="C187" t="str">
        <f>TRIM(Raw_Data_Copy!C187)</f>
        <v>CUST-0067</v>
      </c>
      <c r="D187" t="str">
        <f>PROPER(TRIM(Raw_Data_Copy!D187))</f>
        <v>Ghana</v>
      </c>
      <c r="E187" t="str">
        <f>PROPER(TRIM(Raw_Data_Copy!E187))</f>
        <v>West Africa</v>
      </c>
      <c r="F187" t="str">
        <f>PROPER(TRIM(Raw_Data_Copy!F187))</f>
        <v>Smartphone</v>
      </c>
      <c r="G187" t="str">
        <f>PROPER(TRIM(Raw_Data_Copy!G187))</f>
        <v>Electronics</v>
      </c>
      <c r="H187" t="str">
        <f>TRIM(Raw_Data_Copy!H187)</f>
        <v>5</v>
      </c>
      <c r="I187" t="str">
        <f>TRIM(Raw_Data_Copy!I187)</f>
        <v>689.5</v>
      </c>
      <c r="J187" t="str">
        <f>TRIM(Raw_Data_Copy!J187)</f>
        <v>0.1</v>
      </c>
      <c r="K187">
        <f>ROUND(Cleaned_data!$H187*Cleaned_data!$I187*(1-Cleaned_data!$J187),2)</f>
        <v>3102.75</v>
      </c>
      <c r="L187" t="str">
        <f>PROPER(TRIM(Raw_Data_Copy!L187))</f>
        <v>Cash</v>
      </c>
    </row>
    <row r="188" spans="1:12" x14ac:dyDescent="0.3">
      <c r="A188" t="str">
        <f>TRIM(Raw_Data_Copy!A188)</f>
        <v>ORD-0196</v>
      </c>
      <c r="B188" s="2">
        <v>45780</v>
      </c>
      <c r="C188" t="str">
        <f>TRIM(Raw_Data_Copy!C188)</f>
        <v>CUST-0134</v>
      </c>
      <c r="D188" t="str">
        <f>PROPER(TRIM(Raw_Data_Copy!D188))</f>
        <v>United Kingdom</v>
      </c>
      <c r="E188" t="str">
        <f>PROPER(TRIM(Raw_Data_Copy!E188))</f>
        <v>Europe</v>
      </c>
      <c r="F188" t="str">
        <f>PROPER(TRIM(Raw_Data_Copy!F188))</f>
        <v>Smartphone</v>
      </c>
      <c r="G188" t="str">
        <f>PROPER(TRIM(Raw_Data_Copy!G188))</f>
        <v>Electronics</v>
      </c>
      <c r="H188" t="str">
        <f>TRIM(Raw_Data_Copy!H188)</f>
        <v>2</v>
      </c>
      <c r="I188" t="str">
        <f>TRIM(Raw_Data_Copy!I188)</f>
        <v>606.77</v>
      </c>
      <c r="J188" t="str">
        <f>TRIM(Raw_Data_Copy!J188)</f>
        <v>0</v>
      </c>
      <c r="K188">
        <f>ROUND(Cleaned_data!$H188*Cleaned_data!$I188*(1-Cleaned_data!$J188),2)</f>
        <v>1213.54</v>
      </c>
      <c r="L188" t="str">
        <f>PROPER(TRIM(Raw_Data_Copy!L188))</f>
        <v>Mobile Money</v>
      </c>
    </row>
    <row r="189" spans="1:12" x14ac:dyDescent="0.3">
      <c r="A189" t="str">
        <f>TRIM(Raw_Data_Copy!A189)</f>
        <v>ORD-0464</v>
      </c>
      <c r="B189" s="2">
        <v>45781</v>
      </c>
      <c r="C189" t="str">
        <f>TRIM(Raw_Data_Copy!C189)</f>
        <v>CUST-0024</v>
      </c>
      <c r="D189" t="str">
        <f>PROPER(TRIM(Raw_Data_Copy!D189))</f>
        <v>Nigeria</v>
      </c>
      <c r="E189" t="str">
        <f>PROPER(TRIM(Raw_Data_Copy!E189))</f>
        <v>West Africa</v>
      </c>
      <c r="F189" t="str">
        <f>PROPER(TRIM(Raw_Data_Copy!F189))</f>
        <v>Notebook</v>
      </c>
      <c r="G189" t="str">
        <f>PROPER(TRIM(Raw_Data_Copy!G189))</f>
        <v>Office Supplies</v>
      </c>
      <c r="H189" t="str">
        <f>TRIM(Raw_Data_Copy!H189)</f>
        <v>3</v>
      </c>
      <c r="I189" t="str">
        <f>TRIM(Raw_Data_Copy!I189)</f>
        <v>14.12</v>
      </c>
      <c r="J189" t="str">
        <f>TRIM(Raw_Data_Copy!J189)</f>
        <v>0.1</v>
      </c>
      <c r="K189">
        <f>ROUND(Cleaned_data!$H189*Cleaned_data!$I189*(1-Cleaned_data!$J189),2)</f>
        <v>38.119999999999997</v>
      </c>
      <c r="L189" t="str">
        <f>PROPER(TRIM(Raw_Data_Copy!L189))</f>
        <v>Card</v>
      </c>
    </row>
    <row r="190" spans="1:12" x14ac:dyDescent="0.3">
      <c r="A190" t="str">
        <f>TRIM(Raw_Data_Copy!A190)</f>
        <v>ORD-0069</v>
      </c>
      <c r="B190" s="2">
        <v>45783</v>
      </c>
      <c r="C190" t="str">
        <f>TRIM(Raw_Data_Copy!C190)</f>
        <v>CUST-0173</v>
      </c>
      <c r="D190" t="str">
        <f>PROPER(TRIM(Raw_Data_Copy!D190))</f>
        <v>Kenya</v>
      </c>
      <c r="E190" t="str">
        <f>PROPER(TRIM(Raw_Data_Copy!E190))</f>
        <v>East Africa</v>
      </c>
      <c r="F190" t="str">
        <f>PROPER(TRIM(Raw_Data_Copy!F190))</f>
        <v>Desk Lamp</v>
      </c>
      <c r="G190" t="str">
        <f>PROPER(TRIM(Raw_Data_Copy!G190))</f>
        <v>Furniture</v>
      </c>
      <c r="H190" t="str">
        <f>TRIM(Raw_Data_Copy!H190)</f>
        <v>6</v>
      </c>
      <c r="I190" t="str">
        <f>TRIM(Raw_Data_Copy!I190)</f>
        <v>57.26</v>
      </c>
      <c r="J190" t="str">
        <f>TRIM(Raw_Data_Copy!J190)</f>
        <v>0.05</v>
      </c>
      <c r="K190">
        <f>ROUND(Cleaned_data!$H190*Cleaned_data!$I190*(1-Cleaned_data!$J190),2)</f>
        <v>326.38</v>
      </c>
      <c r="L190" t="str">
        <f>PROPER(TRIM(Raw_Data_Copy!L190))</f>
        <v>Card</v>
      </c>
    </row>
    <row r="191" spans="1:12" x14ac:dyDescent="0.3">
      <c r="A191" t="str">
        <f>TRIM(Raw_Data_Copy!A191)</f>
        <v>ORD-0450</v>
      </c>
      <c r="B191" s="2">
        <v>45783</v>
      </c>
      <c r="C191" t="str">
        <f>TRIM(Raw_Data_Copy!C191)</f>
        <v>CUST-0057</v>
      </c>
      <c r="D191" t="str">
        <f>PROPER(TRIM(Raw_Data_Copy!D191))</f>
        <v>South Africa</v>
      </c>
      <c r="E191" t="str">
        <f>PROPER(TRIM(Raw_Data_Copy!E191))</f>
        <v>Southern Africa</v>
      </c>
      <c r="F191" t="str">
        <f>PROPER(TRIM(Raw_Data_Copy!F191))</f>
        <v>Notebook</v>
      </c>
      <c r="G191" t="str">
        <f>PROPER(TRIM(Raw_Data_Copy!G191))</f>
        <v>Office Supplies</v>
      </c>
      <c r="H191" t="str">
        <f>TRIM(Raw_Data_Copy!H191)</f>
        <v>6</v>
      </c>
      <c r="I191" t="str">
        <f>TRIM(Raw_Data_Copy!I191)</f>
        <v>16.26</v>
      </c>
      <c r="J191" t="str">
        <f>TRIM(Raw_Data_Copy!J191)</f>
        <v>0.15</v>
      </c>
      <c r="K191">
        <f>ROUND(Cleaned_data!$H191*Cleaned_data!$I191*(1-Cleaned_data!$J191),2)</f>
        <v>82.93</v>
      </c>
      <c r="L191" t="str">
        <f>PROPER(TRIM(Raw_Data_Copy!L191))</f>
        <v>Bank Transfer</v>
      </c>
    </row>
    <row r="192" spans="1:12" x14ac:dyDescent="0.3">
      <c r="A192" t="str">
        <f>TRIM(Raw_Data_Copy!A192)</f>
        <v>ORD-0492</v>
      </c>
      <c r="B192" s="2">
        <v>45784</v>
      </c>
      <c r="C192" t="str">
        <f>TRIM(Raw_Data_Copy!C192)</f>
        <v>CUST-0147</v>
      </c>
      <c r="D192" t="str">
        <f>PROPER(TRIM(Raw_Data_Copy!D192))</f>
        <v>Ghana</v>
      </c>
      <c r="E192" t="str">
        <f>PROPER(TRIM(Raw_Data_Copy!E192))</f>
        <v>West Africa</v>
      </c>
      <c r="F192" t="str">
        <f>PROPER(TRIM(Raw_Data_Copy!F192))</f>
        <v>Printer</v>
      </c>
      <c r="G192" t="str">
        <f>PROPER(TRIM(Raw_Data_Copy!G192))</f>
        <v>Office Supplies</v>
      </c>
      <c r="H192" t="str">
        <f>TRIM(Raw_Data_Copy!H192)</f>
        <v>4</v>
      </c>
      <c r="I192" t="str">
        <f>TRIM(Raw_Data_Copy!I192)</f>
        <v>240.55</v>
      </c>
      <c r="J192" t="str">
        <f>TRIM(Raw_Data_Copy!J192)</f>
        <v>0</v>
      </c>
      <c r="K192">
        <f>ROUND(Cleaned_data!$H192*Cleaned_data!$I192*(1-Cleaned_data!$J192),2)</f>
        <v>962.2</v>
      </c>
      <c r="L192" t="str">
        <f>PROPER(TRIM(Raw_Data_Copy!L192))</f>
        <v>Card</v>
      </c>
    </row>
    <row r="193" spans="1:12" x14ac:dyDescent="0.3">
      <c r="A193" t="str">
        <f>TRIM(Raw_Data_Copy!A193)</f>
        <v>ORD-0094</v>
      </c>
      <c r="B193" s="2">
        <v>45784</v>
      </c>
      <c r="C193" t="str">
        <f>TRIM(Raw_Data_Copy!C193)</f>
        <v>CUST-0056</v>
      </c>
      <c r="D193" t="str">
        <f>PROPER(TRIM(Raw_Data_Copy!D193))</f>
        <v>Nigeria</v>
      </c>
      <c r="E193" t="str">
        <f>PROPER(TRIM(Raw_Data_Copy!E193))</f>
        <v>West Africa</v>
      </c>
      <c r="F193" t="str">
        <f>PROPER(TRIM(Raw_Data_Copy!F193))</f>
        <v>Laptop</v>
      </c>
      <c r="G193" t="str">
        <f>PROPER(TRIM(Raw_Data_Copy!G193))</f>
        <v>Electronics</v>
      </c>
      <c r="H193" t="str">
        <f>TRIM(Raw_Data_Copy!H193)</f>
        <v>8</v>
      </c>
      <c r="I193" t="str">
        <f>TRIM(Raw_Data_Copy!I193)</f>
        <v>944.69</v>
      </c>
      <c r="J193" t="str">
        <f>TRIM(Raw_Data_Copy!J193)</f>
        <v>0</v>
      </c>
      <c r="K193">
        <f>ROUND(Cleaned_data!$H193*Cleaned_data!$I193*(1-Cleaned_data!$J193),2)</f>
        <v>7557.52</v>
      </c>
      <c r="L193" t="str">
        <f>PROPER(TRIM(Raw_Data_Copy!L193))</f>
        <v>Card</v>
      </c>
    </row>
    <row r="194" spans="1:12" x14ac:dyDescent="0.3">
      <c r="A194" t="str">
        <f>TRIM(Raw_Data_Copy!A194)</f>
        <v>ORD-0330</v>
      </c>
      <c r="B194" s="2">
        <v>45785</v>
      </c>
      <c r="C194" t="str">
        <f>TRIM(Raw_Data_Copy!C194)</f>
        <v>CUST-0067</v>
      </c>
      <c r="D194" t="str">
        <f>PROPER(TRIM(Raw_Data_Copy!D194))</f>
        <v>South Africa</v>
      </c>
      <c r="E194" t="str">
        <f>PROPER(TRIM(Raw_Data_Copy!E194))</f>
        <v>Southern Africa</v>
      </c>
      <c r="F194" t="str">
        <f>PROPER(TRIM(Raw_Data_Copy!F194))</f>
        <v>Backpack</v>
      </c>
      <c r="G194" t="str">
        <f>PROPER(TRIM(Raw_Data_Copy!G194))</f>
        <v>Accessories</v>
      </c>
      <c r="H194" t="str">
        <f>TRIM(Raw_Data_Copy!H194)</f>
        <v>1</v>
      </c>
      <c r="I194" t="str">
        <f>TRIM(Raw_Data_Copy!I194)</f>
        <v>77.33</v>
      </c>
      <c r="J194" t="str">
        <f>TRIM(Raw_Data_Copy!J194)</f>
        <v>0.3</v>
      </c>
      <c r="K194">
        <f>ROUND(Cleaned_data!$H194*Cleaned_data!$I194*(1-Cleaned_data!$J194),2)</f>
        <v>54.13</v>
      </c>
      <c r="L194" t="str">
        <f>PROPER(TRIM(Raw_Data_Copy!L194))</f>
        <v>Card</v>
      </c>
    </row>
    <row r="195" spans="1:12" x14ac:dyDescent="0.3">
      <c r="A195" t="str">
        <f>TRIM(Raw_Data_Copy!A195)</f>
        <v>ORD-0320</v>
      </c>
      <c r="B195" s="2">
        <v>45786</v>
      </c>
      <c r="C195" t="str">
        <f>TRIM(Raw_Data_Copy!C195)</f>
        <v>CUST-0008</v>
      </c>
      <c r="D195" t="str">
        <f>PROPER(TRIM(Raw_Data_Copy!D195))</f>
        <v>United States</v>
      </c>
      <c r="E195" t="str">
        <f>PROPER(TRIM(Raw_Data_Copy!E195))</f>
        <v>North America</v>
      </c>
      <c r="F195" t="str">
        <f>PROPER(TRIM(Raw_Data_Copy!F195))</f>
        <v>Headphones</v>
      </c>
      <c r="G195" t="str">
        <f>PROPER(TRIM(Raw_Data_Copy!G195))</f>
        <v>Electronics</v>
      </c>
      <c r="H195" t="str">
        <f>TRIM(Raw_Data_Copy!H195)</f>
        <v>3</v>
      </c>
      <c r="I195" t="str">
        <f>TRIM(Raw_Data_Copy!I195)</f>
        <v>114.65</v>
      </c>
      <c r="J195" t="str">
        <f>TRIM(Raw_Data_Copy!J195)</f>
        <v>0.3</v>
      </c>
      <c r="K195">
        <f>ROUND(Cleaned_data!$H195*Cleaned_data!$I195*(1-Cleaned_data!$J195),2)</f>
        <v>240.77</v>
      </c>
      <c r="L195" t="str">
        <f>PROPER(TRIM(Raw_Data_Copy!L195))</f>
        <v>Card</v>
      </c>
    </row>
    <row r="196" spans="1:12" x14ac:dyDescent="0.3">
      <c r="A196" t="str">
        <f>TRIM(Raw_Data_Copy!A196)</f>
        <v>ORD-0301</v>
      </c>
      <c r="B196" s="2">
        <v>45786</v>
      </c>
      <c r="C196" t="str">
        <f>TRIM(Raw_Data_Copy!C196)</f>
        <v>CUST-0024</v>
      </c>
      <c r="D196" t="str">
        <f>PROPER(TRIM(Raw_Data_Copy!D196))</f>
        <v>Kenya</v>
      </c>
      <c r="E196" t="str">
        <f>PROPER(TRIM(Raw_Data_Copy!E196))</f>
        <v>East Africa</v>
      </c>
      <c r="F196" t="str">
        <f>PROPER(TRIM(Raw_Data_Copy!F196))</f>
        <v>Desk</v>
      </c>
      <c r="G196" t="str">
        <f>PROPER(TRIM(Raw_Data_Copy!G196))</f>
        <v>Furniture</v>
      </c>
      <c r="H196" t="str">
        <f>TRIM(Raw_Data_Copy!H196)</f>
        <v>4</v>
      </c>
      <c r="I196" t="str">
        <f>TRIM(Raw_Data_Copy!I196)</f>
        <v>324.34</v>
      </c>
      <c r="J196" t="str">
        <f>TRIM(Raw_Data_Copy!J196)</f>
        <v>0</v>
      </c>
      <c r="K196">
        <f>ROUND(Cleaned_data!$H196*Cleaned_data!$I196*(1-Cleaned_data!$J196),2)</f>
        <v>1297.3599999999999</v>
      </c>
      <c r="L196" t="str">
        <f>PROPER(TRIM(Raw_Data_Copy!L196))</f>
        <v>Bank Transfer</v>
      </c>
    </row>
    <row r="197" spans="1:12" x14ac:dyDescent="0.3">
      <c r="A197" t="str">
        <f>TRIM(Raw_Data_Copy!A197)</f>
        <v>ORD-0145</v>
      </c>
      <c r="B197" s="2">
        <v>45787</v>
      </c>
      <c r="C197" t="str">
        <f>TRIM(Raw_Data_Copy!C197)</f>
        <v>CUST-0054</v>
      </c>
      <c r="D197" t="str">
        <f>PROPER(TRIM(Raw_Data_Copy!D197))</f>
        <v>Ghana</v>
      </c>
      <c r="E197" t="str">
        <f>PROPER(TRIM(Raw_Data_Copy!E197))</f>
        <v>West Africa</v>
      </c>
      <c r="F197" t="str">
        <f>PROPER(TRIM(Raw_Data_Copy!F197))</f>
        <v>Laptop</v>
      </c>
      <c r="G197" t="str">
        <f>PROPER(TRIM(Raw_Data_Copy!G197))</f>
        <v>Electronics</v>
      </c>
      <c r="H197" t="str">
        <f>TRIM(Raw_Data_Copy!H197)</f>
        <v>2</v>
      </c>
      <c r="I197" t="str">
        <f>TRIM(Raw_Data_Copy!I197)</f>
        <v>882.79</v>
      </c>
      <c r="J197" t="str">
        <f>TRIM(Raw_Data_Copy!J197)</f>
        <v>0.15</v>
      </c>
      <c r="K197">
        <f>ROUND(Cleaned_data!$H197*Cleaned_data!$I197*(1-Cleaned_data!$J197),2)</f>
        <v>1500.74</v>
      </c>
      <c r="L197" t="str">
        <f>PROPER(TRIM(Raw_Data_Copy!L197))</f>
        <v>Mobile Money</v>
      </c>
    </row>
    <row r="198" spans="1:12" x14ac:dyDescent="0.3">
      <c r="A198" t="str">
        <f>TRIM(Raw_Data_Copy!A198)</f>
        <v>ORD-0014</v>
      </c>
      <c r="B198" s="2">
        <v>45788</v>
      </c>
      <c r="C198" t="str">
        <f>TRIM(Raw_Data_Copy!C198)</f>
        <v>CUST-0001</v>
      </c>
      <c r="D198" t="str">
        <f>PROPER(TRIM(Raw_Data_Copy!D198))</f>
        <v>South Africa</v>
      </c>
      <c r="E198" t="str">
        <f>PROPER(TRIM(Raw_Data_Copy!E198))</f>
        <v>Southern Africa</v>
      </c>
      <c r="F198" t="str">
        <f>PROPER(TRIM(Raw_Data_Copy!F198))</f>
        <v>Backpack</v>
      </c>
      <c r="G198" t="str">
        <f>PROPER(TRIM(Raw_Data_Copy!G198))</f>
        <v>Accessories</v>
      </c>
      <c r="H198" t="str">
        <f>TRIM(Raw_Data_Copy!H198)</f>
        <v>3</v>
      </c>
      <c r="I198" t="str">
        <f>TRIM(Raw_Data_Copy!I198)</f>
        <v>75.92</v>
      </c>
      <c r="J198" t="str">
        <f>TRIM(Raw_Data_Copy!J198)</f>
        <v>0.1</v>
      </c>
      <c r="K198">
        <f>ROUND(Cleaned_data!$H198*Cleaned_data!$I198*(1-Cleaned_data!$J198),2)</f>
        <v>204.98</v>
      </c>
      <c r="L198" t="str">
        <f>PROPER(TRIM(Raw_Data_Copy!L198))</f>
        <v>Cash</v>
      </c>
    </row>
    <row r="199" spans="1:12" x14ac:dyDescent="0.3">
      <c r="A199" t="str">
        <f>TRIM(Raw_Data_Copy!A199)</f>
        <v>ORD-0525</v>
      </c>
      <c r="B199" s="2">
        <v>45790</v>
      </c>
      <c r="C199" t="str">
        <f>TRIM(Raw_Data_Copy!C199)</f>
        <v>CUST-0087</v>
      </c>
      <c r="D199" t="str">
        <f>PROPER(TRIM(Raw_Data_Copy!D199))</f>
        <v>United Kingdom</v>
      </c>
      <c r="E199" t="str">
        <f>PROPER(TRIM(Raw_Data_Copy!E199))</f>
        <v>Europe</v>
      </c>
      <c r="F199" t="str">
        <f>PROPER(TRIM(Raw_Data_Copy!F199))</f>
        <v>Notebook</v>
      </c>
      <c r="G199" t="str">
        <f>PROPER(TRIM(Raw_Data_Copy!G199))</f>
        <v>Office Supplies</v>
      </c>
      <c r="H199" t="str">
        <f>TRIM(Raw_Data_Copy!H199)</f>
        <v>7</v>
      </c>
      <c r="I199" t="str">
        <f>TRIM(Raw_Data_Copy!I199)</f>
        <v>16.09</v>
      </c>
      <c r="J199" t="str">
        <f>TRIM(Raw_Data_Copy!J199)</f>
        <v>0</v>
      </c>
      <c r="K199">
        <f>ROUND(Cleaned_data!$H199*Cleaned_data!$I199*(1-Cleaned_data!$J199),2)</f>
        <v>112.63</v>
      </c>
      <c r="L199" t="str">
        <f>PROPER(TRIM(Raw_Data_Copy!L199))</f>
        <v>Cash</v>
      </c>
    </row>
    <row r="200" spans="1:12" x14ac:dyDescent="0.3">
      <c r="A200" t="str">
        <f>TRIM(Raw_Data_Copy!A200)</f>
        <v>ORD-0324</v>
      </c>
      <c r="B200" s="2">
        <v>45790</v>
      </c>
      <c r="C200" t="str">
        <f>TRIM(Raw_Data_Copy!C200)</f>
        <v>CUST-0009</v>
      </c>
      <c r="D200" t="str">
        <f>PROPER(TRIM(Raw_Data_Copy!D200))</f>
        <v>Kenya</v>
      </c>
      <c r="E200" t="str">
        <f>PROPER(TRIM(Raw_Data_Copy!E200))</f>
        <v>East Africa</v>
      </c>
      <c r="F200" t="str">
        <f>PROPER(TRIM(Raw_Data_Copy!F200))</f>
        <v>Laptop</v>
      </c>
      <c r="G200" t="str">
        <f>PROPER(TRIM(Raw_Data_Copy!G200))</f>
        <v>Electronics</v>
      </c>
      <c r="H200" t="str">
        <f>TRIM(Raw_Data_Copy!H200)</f>
        <v>4</v>
      </c>
      <c r="I200" t="str">
        <f>TRIM(Raw_Data_Copy!I200)</f>
        <v>939.48</v>
      </c>
      <c r="J200" t="str">
        <f>TRIM(Raw_Data_Copy!J200)</f>
        <v>0.2</v>
      </c>
      <c r="K200">
        <f>ROUND(Cleaned_data!$H200*Cleaned_data!$I200*(1-Cleaned_data!$J200),2)</f>
        <v>3006.34</v>
      </c>
      <c r="L200" t="str">
        <f>PROPER(TRIM(Raw_Data_Copy!L200))</f>
        <v>Card</v>
      </c>
    </row>
    <row r="201" spans="1:12" x14ac:dyDescent="0.3">
      <c r="A201" t="str">
        <f>TRIM(Raw_Data_Copy!A201)</f>
        <v>ORD-0369</v>
      </c>
      <c r="B201" s="2">
        <v>45791</v>
      </c>
      <c r="C201" t="str">
        <f>TRIM(Raw_Data_Copy!C201)</f>
        <v>CUST-0018</v>
      </c>
      <c r="D201" t="str">
        <f>PROPER(TRIM(Raw_Data_Copy!D201))</f>
        <v>Ghana</v>
      </c>
      <c r="E201" t="str">
        <f>PROPER(TRIM(Raw_Data_Copy!E201))</f>
        <v>West Africa</v>
      </c>
      <c r="F201" t="str">
        <f>PROPER(TRIM(Raw_Data_Copy!F201))</f>
        <v>Printer</v>
      </c>
      <c r="G201" t="str">
        <f>PROPER(TRIM(Raw_Data_Copy!G201))</f>
        <v>Office Supplies</v>
      </c>
      <c r="H201" t="str">
        <f>TRIM(Raw_Data_Copy!H201)</f>
        <v>5</v>
      </c>
      <c r="I201" t="str">
        <f>TRIM(Raw_Data_Copy!I201)</f>
        <v>243.52</v>
      </c>
      <c r="J201" t="str">
        <f>TRIM(Raw_Data_Copy!J201)</f>
        <v>0.05</v>
      </c>
      <c r="K201">
        <f>ROUND(Cleaned_data!$H201*Cleaned_data!$I201*(1-Cleaned_data!$J201),2)</f>
        <v>1156.72</v>
      </c>
      <c r="L201" t="str">
        <f>PROPER(TRIM(Raw_Data_Copy!L201))</f>
        <v>Mobile Money</v>
      </c>
    </row>
    <row r="202" spans="1:12" x14ac:dyDescent="0.3">
      <c r="A202" t="str">
        <f>TRIM(Raw_Data_Copy!A202)</f>
        <v>ORD-0033</v>
      </c>
      <c r="B202" s="2">
        <v>45792</v>
      </c>
      <c r="C202" t="str">
        <f>TRIM(Raw_Data_Copy!C202)</f>
        <v>CUST-0145</v>
      </c>
      <c r="D202" t="str">
        <f>PROPER(TRIM(Raw_Data_Copy!D202))</f>
        <v>South Africa</v>
      </c>
      <c r="E202" t="str">
        <f>PROPER(TRIM(Raw_Data_Copy!E202))</f>
        <v>Southern Africa</v>
      </c>
      <c r="F202" t="str">
        <f>PROPER(TRIM(Raw_Data_Copy!F202))</f>
        <v>Mouse</v>
      </c>
      <c r="G202" t="str">
        <f>PROPER(TRIM(Raw_Data_Copy!G202))</f>
        <v>Electronics</v>
      </c>
      <c r="H202" t="str">
        <f>TRIM(Raw_Data_Copy!H202)</f>
        <v>4</v>
      </c>
      <c r="I202" t="str">
        <f>TRIM(Raw_Data_Copy!I202)</f>
        <v>46.91</v>
      </c>
      <c r="J202" t="str">
        <f>TRIM(Raw_Data_Copy!J202)</f>
        <v>0.05</v>
      </c>
      <c r="K202">
        <f>ROUND(Cleaned_data!$H202*Cleaned_data!$I202*(1-Cleaned_data!$J202),2)</f>
        <v>178.26</v>
      </c>
      <c r="L202" t="str">
        <f>PROPER(TRIM(Raw_Data_Copy!L202))</f>
        <v>Card</v>
      </c>
    </row>
    <row r="203" spans="1:12" x14ac:dyDescent="0.3">
      <c r="A203" t="str">
        <f>TRIM(Raw_Data_Copy!A203)</f>
        <v>ORD-0590</v>
      </c>
      <c r="B203" s="2">
        <v>45793</v>
      </c>
      <c r="C203" t="str">
        <f>TRIM(Raw_Data_Copy!C203)</f>
        <v>CUST-0024</v>
      </c>
      <c r="D203" t="str">
        <f>PROPER(TRIM(Raw_Data_Copy!D203))</f>
        <v>Ghana</v>
      </c>
      <c r="E203" t="str">
        <f>PROPER(TRIM(Raw_Data_Copy!E203))</f>
        <v>West Africa</v>
      </c>
      <c r="F203" t="str">
        <f>PROPER(TRIM(Raw_Data_Copy!F203))</f>
        <v>Printer</v>
      </c>
      <c r="G203" t="str">
        <f>PROPER(TRIM(Raw_Data_Copy!G203))</f>
        <v>Office Supplies</v>
      </c>
      <c r="H203" t="str">
        <f>TRIM(Raw_Data_Copy!H203)</f>
        <v>4</v>
      </c>
      <c r="I203" t="str">
        <f>TRIM(Raw_Data_Copy!I203)</f>
        <v>250.91</v>
      </c>
      <c r="J203" t="str">
        <f>TRIM(Raw_Data_Copy!J203)</f>
        <v>0.15</v>
      </c>
      <c r="K203">
        <f>ROUND(Cleaned_data!$H203*Cleaned_data!$I203*(1-Cleaned_data!$J203),2)</f>
        <v>853.09</v>
      </c>
      <c r="L203" t="str">
        <f>PROPER(TRIM(Raw_Data_Copy!L203))</f>
        <v>Card</v>
      </c>
    </row>
    <row r="204" spans="1:12" x14ac:dyDescent="0.3">
      <c r="A204" t="str">
        <f>TRIM(Raw_Data_Copy!A204)</f>
        <v>ORD-0247</v>
      </c>
      <c r="B204" s="2">
        <v>45793</v>
      </c>
      <c r="C204" t="str">
        <f>TRIM(Raw_Data_Copy!C204)</f>
        <v>CUST-0003</v>
      </c>
      <c r="D204" t="str">
        <f>PROPER(TRIM(Raw_Data_Copy!D204))</f>
        <v>Ghana</v>
      </c>
      <c r="E204" t="str">
        <f>PROPER(TRIM(Raw_Data_Copy!E204))</f>
        <v>West Africa</v>
      </c>
      <c r="F204" t="str">
        <f>PROPER(TRIM(Raw_Data_Copy!F204))</f>
        <v>Printer</v>
      </c>
      <c r="G204" t="str">
        <f>PROPER(TRIM(Raw_Data_Copy!G204))</f>
        <v>Office Supplies</v>
      </c>
      <c r="H204" t="str">
        <f>TRIM(Raw_Data_Copy!H204)</f>
        <v>6</v>
      </c>
      <c r="I204" t="str">
        <f>TRIM(Raw_Data_Copy!I204)</f>
        <v>246.13</v>
      </c>
      <c r="J204" t="str">
        <f>TRIM(Raw_Data_Copy!J204)</f>
        <v>0.2</v>
      </c>
      <c r="K204">
        <f>ROUND(Cleaned_data!$H204*Cleaned_data!$I204*(1-Cleaned_data!$J204),2)</f>
        <v>1181.42</v>
      </c>
      <c r="L204" t="str">
        <f>PROPER(TRIM(Raw_Data_Copy!L204))</f>
        <v>Card</v>
      </c>
    </row>
    <row r="205" spans="1:12" x14ac:dyDescent="0.3">
      <c r="A205" t="str">
        <f>TRIM(Raw_Data_Copy!A205)</f>
        <v>ORD-0505</v>
      </c>
      <c r="B205" s="2">
        <v>45793</v>
      </c>
      <c r="C205" t="str">
        <f>TRIM(Raw_Data_Copy!C205)</f>
        <v>CUST-0058</v>
      </c>
      <c r="D205" t="str">
        <f>PROPER(TRIM(Raw_Data_Copy!D205))</f>
        <v>Ghana</v>
      </c>
      <c r="E205" t="str">
        <f>PROPER(TRIM(Raw_Data_Copy!E205))</f>
        <v>West Africa</v>
      </c>
      <c r="F205" t="str">
        <f>PROPER(TRIM(Raw_Data_Copy!F205))</f>
        <v>Desk Lamp</v>
      </c>
      <c r="G205" t="str">
        <f>PROPER(TRIM(Raw_Data_Copy!G205))</f>
        <v>Furniture</v>
      </c>
      <c r="H205" t="str">
        <f>TRIM(Raw_Data_Copy!H205)</f>
        <v>2</v>
      </c>
      <c r="I205" t="str">
        <f>TRIM(Raw_Data_Copy!I205)</f>
        <v>58</v>
      </c>
      <c r="J205" t="str">
        <f>TRIM(Raw_Data_Copy!J205)</f>
        <v>0.1</v>
      </c>
      <c r="K205">
        <f>ROUND(Cleaned_data!$H205*Cleaned_data!$I205*(1-Cleaned_data!$J205),2)</f>
        <v>104.4</v>
      </c>
      <c r="L205" t="str">
        <f>PROPER(TRIM(Raw_Data_Copy!L205))</f>
        <v>Card</v>
      </c>
    </row>
    <row r="206" spans="1:12" x14ac:dyDescent="0.3">
      <c r="A206" t="str">
        <f>TRIM(Raw_Data_Copy!A206)</f>
        <v>ORD-0067</v>
      </c>
      <c r="B206" s="2">
        <v>45793</v>
      </c>
      <c r="C206" t="str">
        <f>TRIM(Raw_Data_Copy!C206)</f>
        <v>CUST-0109</v>
      </c>
      <c r="D206" t="str">
        <f>PROPER(TRIM(Raw_Data_Copy!D206))</f>
        <v>Nigeria</v>
      </c>
      <c r="E206" t="str">
        <f>PROPER(TRIM(Raw_Data_Copy!E206))</f>
        <v>West Africa</v>
      </c>
      <c r="F206" t="str">
        <f>PROPER(TRIM(Raw_Data_Copy!F206))</f>
        <v>Notebook</v>
      </c>
      <c r="G206" t="str">
        <f>PROPER(TRIM(Raw_Data_Copy!G206))</f>
        <v>Office Supplies</v>
      </c>
      <c r="H206" t="str">
        <f>TRIM(Raw_Data_Copy!H206)</f>
        <v>2</v>
      </c>
      <c r="I206" t="str">
        <f>TRIM(Raw_Data_Copy!I206)</f>
        <v>13.94</v>
      </c>
      <c r="J206" t="str">
        <f>TRIM(Raw_Data_Copy!J206)</f>
        <v>0.1</v>
      </c>
      <c r="K206">
        <f>ROUND(Cleaned_data!$H206*Cleaned_data!$I206*(1-Cleaned_data!$J206),2)</f>
        <v>25.09</v>
      </c>
      <c r="L206" t="str">
        <f>PROPER(TRIM(Raw_Data_Copy!L206))</f>
        <v>Card</v>
      </c>
    </row>
    <row r="207" spans="1:12" x14ac:dyDescent="0.3">
      <c r="A207" t="str">
        <f>TRIM(Raw_Data_Copy!A207)</f>
        <v>ORD-0566</v>
      </c>
      <c r="B207" s="2">
        <v>45794</v>
      </c>
      <c r="C207" t="str">
        <f>TRIM(Raw_Data_Copy!C207)</f>
        <v>CUST-0111</v>
      </c>
      <c r="D207" t="str">
        <f>PROPER(TRIM(Raw_Data_Copy!D207))</f>
        <v>United Kingdom</v>
      </c>
      <c r="E207" t="str">
        <f>PROPER(TRIM(Raw_Data_Copy!E207))</f>
        <v>Europe</v>
      </c>
      <c r="F207" t="str">
        <f>PROPER(TRIM(Raw_Data_Copy!F207))</f>
        <v>Desk Lamp</v>
      </c>
      <c r="G207" t="str">
        <f>PROPER(TRIM(Raw_Data_Copy!G207))</f>
        <v>Furniture</v>
      </c>
      <c r="H207" t="str">
        <f>TRIM(Raw_Data_Copy!H207)</f>
        <v>8</v>
      </c>
      <c r="I207" t="str">
        <f>TRIM(Raw_Data_Copy!I207)</f>
        <v>59.83</v>
      </c>
      <c r="J207" t="str">
        <f>TRIM(Raw_Data_Copy!J207)</f>
        <v>0.1</v>
      </c>
      <c r="K207">
        <f>ROUND(Cleaned_data!$H207*Cleaned_data!$I207*(1-Cleaned_data!$J207),2)</f>
        <v>430.78</v>
      </c>
      <c r="L207" t="str">
        <f>PROPER(TRIM(Raw_Data_Copy!L207))</f>
        <v>Card</v>
      </c>
    </row>
    <row r="208" spans="1:12" x14ac:dyDescent="0.3">
      <c r="A208" t="str">
        <f>TRIM(Raw_Data_Copy!A208)</f>
        <v>ORD-0109</v>
      </c>
      <c r="B208" s="2">
        <v>45794</v>
      </c>
      <c r="C208" t="str">
        <f>TRIM(Raw_Data_Copy!C208)</f>
        <v>CUST-0162</v>
      </c>
      <c r="D208" t="str">
        <f>PROPER(TRIM(Raw_Data_Copy!D208))</f>
        <v>Nigeria</v>
      </c>
      <c r="E208" t="str">
        <f>PROPER(TRIM(Raw_Data_Copy!E208))</f>
        <v>West Africa</v>
      </c>
      <c r="F208" t="str">
        <f>PROPER(TRIM(Raw_Data_Copy!F208))</f>
        <v>Laptop</v>
      </c>
      <c r="G208" t="str">
        <f>PROPER(TRIM(Raw_Data_Copy!G208))</f>
        <v>Electronics</v>
      </c>
      <c r="H208" t="str">
        <f>TRIM(Raw_Data_Copy!H208)</f>
        <v>5</v>
      </c>
      <c r="I208" t="str">
        <f>TRIM(Raw_Data_Copy!I208)</f>
        <v>959.51</v>
      </c>
      <c r="J208" t="str">
        <f>TRIM(Raw_Data_Copy!J208)</f>
        <v>0.25</v>
      </c>
      <c r="K208">
        <f>ROUND(Cleaned_data!$H208*Cleaned_data!$I208*(1-Cleaned_data!$J208),2)</f>
        <v>3598.16</v>
      </c>
      <c r="L208" t="str">
        <f>PROPER(TRIM(Raw_Data_Copy!L208))</f>
        <v>Card</v>
      </c>
    </row>
    <row r="209" spans="1:12" x14ac:dyDescent="0.3">
      <c r="A209" t="str">
        <f>TRIM(Raw_Data_Copy!A209)</f>
        <v>ORD-0087</v>
      </c>
      <c r="B209" s="2">
        <v>45795</v>
      </c>
      <c r="C209" t="str">
        <f>TRIM(Raw_Data_Copy!C209)</f>
        <v>CUST-0145</v>
      </c>
      <c r="D209" t="str">
        <f>PROPER(TRIM(Raw_Data_Copy!D209))</f>
        <v>Kenya</v>
      </c>
      <c r="E209" t="str">
        <f>PROPER(TRIM(Raw_Data_Copy!E209))</f>
        <v>East Africa</v>
      </c>
      <c r="F209" t="str">
        <f>PROPER(TRIM(Raw_Data_Copy!F209))</f>
        <v>Desk Lamp</v>
      </c>
      <c r="G209" t="str">
        <f>PROPER(TRIM(Raw_Data_Copy!G209))</f>
        <v>Furniture</v>
      </c>
      <c r="H209" t="str">
        <f>TRIM(Raw_Data_Copy!H209)</f>
        <v>6</v>
      </c>
      <c r="I209" t="str">
        <f>TRIM(Raw_Data_Copy!I209)</f>
        <v>56.34</v>
      </c>
      <c r="J209" t="str">
        <f>TRIM(Raw_Data_Copy!J209)</f>
        <v>0.2</v>
      </c>
      <c r="K209">
        <f>ROUND(Cleaned_data!$H209*Cleaned_data!$I209*(1-Cleaned_data!$J209),2)</f>
        <v>270.43</v>
      </c>
      <c r="L209" t="str">
        <f>PROPER(TRIM(Raw_Data_Copy!L209))</f>
        <v>Cash</v>
      </c>
    </row>
    <row r="210" spans="1:12" x14ac:dyDescent="0.3">
      <c r="A210" t="str">
        <f>TRIM(Raw_Data_Copy!A210)</f>
        <v>ORD-0447</v>
      </c>
      <c r="B210" s="2">
        <v>45796</v>
      </c>
      <c r="C210" t="str">
        <f>TRIM(Raw_Data_Copy!C210)</f>
        <v>CUST-0010</v>
      </c>
      <c r="D210" t="str">
        <f>PROPER(TRIM(Raw_Data_Copy!D210))</f>
        <v>Ghana</v>
      </c>
      <c r="E210" t="str">
        <f>PROPER(TRIM(Raw_Data_Copy!E210))</f>
        <v>West Africa</v>
      </c>
      <c r="F210" t="str">
        <f>PROPER(TRIM(Raw_Data_Copy!F210))</f>
        <v>Printer</v>
      </c>
      <c r="G210" t="str">
        <f>PROPER(TRIM(Raw_Data_Copy!G210))</f>
        <v>Office Supplies</v>
      </c>
      <c r="H210" t="str">
        <f>TRIM(Raw_Data_Copy!H210)</f>
        <v>2</v>
      </c>
      <c r="I210" t="str">
        <f>TRIM(Raw_Data_Copy!I210)</f>
        <v>226.03</v>
      </c>
      <c r="J210" t="str">
        <f>TRIM(Raw_Data_Copy!J210)</f>
        <v>0.05</v>
      </c>
      <c r="K210">
        <f>ROUND(Cleaned_data!$H210*Cleaned_data!$I210*(1-Cleaned_data!$J210),2)</f>
        <v>429.46</v>
      </c>
      <c r="L210" t="str">
        <f>PROPER(TRIM(Raw_Data_Copy!L210))</f>
        <v>Mobile Money</v>
      </c>
    </row>
    <row r="211" spans="1:12" x14ac:dyDescent="0.3">
      <c r="A211" t="str">
        <f>TRIM(Raw_Data_Copy!A211)</f>
        <v>ORD-0011</v>
      </c>
      <c r="B211" s="2">
        <v>45796</v>
      </c>
      <c r="C211" t="str">
        <f>TRIM(Raw_Data_Copy!C211)</f>
        <v>CUST-0081</v>
      </c>
      <c r="D211" t="str">
        <f>PROPER(TRIM(Raw_Data_Copy!D211))</f>
        <v>Ghana</v>
      </c>
      <c r="E211" t="str">
        <f>PROPER(TRIM(Raw_Data_Copy!E211))</f>
        <v>West Africa</v>
      </c>
      <c r="F211" t="str">
        <f>PROPER(TRIM(Raw_Data_Copy!F211))</f>
        <v>Monitor</v>
      </c>
      <c r="G211" t="str">
        <f>PROPER(TRIM(Raw_Data_Copy!G211))</f>
        <v>Electronics</v>
      </c>
      <c r="H211" t="str">
        <f>TRIM(Raw_Data_Copy!H211)</f>
        <v>1</v>
      </c>
      <c r="I211" t="str">
        <f>TRIM(Raw_Data_Copy!I211)</f>
        <v>316.33</v>
      </c>
      <c r="J211" t="str">
        <f>TRIM(Raw_Data_Copy!J211)</f>
        <v>0</v>
      </c>
      <c r="K211">
        <f>ROUND(Cleaned_data!$H211*Cleaned_data!$I211*(1-Cleaned_data!$J211),2)</f>
        <v>316.33</v>
      </c>
      <c r="L211" t="str">
        <f>PROPER(TRIM(Raw_Data_Copy!L211))</f>
        <v>Card</v>
      </c>
    </row>
    <row r="212" spans="1:12" x14ac:dyDescent="0.3">
      <c r="A212" t="str">
        <f>TRIM(Raw_Data_Copy!A212)</f>
        <v>ORD-0029</v>
      </c>
      <c r="B212" s="2">
        <v>45797</v>
      </c>
      <c r="C212" t="str">
        <f>TRIM(Raw_Data_Copy!C212)</f>
        <v>CUST-0037</v>
      </c>
      <c r="D212" t="str">
        <f>PROPER(TRIM(Raw_Data_Copy!D212))</f>
        <v>United Kingdom</v>
      </c>
      <c r="E212" t="str">
        <f>PROPER(TRIM(Raw_Data_Copy!E212))</f>
        <v>Europe</v>
      </c>
      <c r="F212" t="str">
        <f>PROPER(TRIM(Raw_Data_Copy!F212))</f>
        <v>Mouse</v>
      </c>
      <c r="G212" t="str">
        <f>PROPER(TRIM(Raw_Data_Copy!G212))</f>
        <v>Electronics</v>
      </c>
      <c r="H212" t="str">
        <f>TRIM(Raw_Data_Copy!H212)</f>
        <v>4</v>
      </c>
      <c r="I212" t="str">
        <f>TRIM(Raw_Data_Copy!I212)</f>
        <v>45.27</v>
      </c>
      <c r="J212" t="str">
        <f>TRIM(Raw_Data_Copy!J212)</f>
        <v>0.05</v>
      </c>
      <c r="K212">
        <f>ROUND(Cleaned_data!$H212*Cleaned_data!$I212*(1-Cleaned_data!$J212),2)</f>
        <v>172.03</v>
      </c>
      <c r="L212" t="str">
        <f>PROPER(TRIM(Raw_Data_Copy!L212))</f>
        <v>Card</v>
      </c>
    </row>
    <row r="213" spans="1:12" x14ac:dyDescent="0.3">
      <c r="A213" t="str">
        <f>TRIM(Raw_Data_Copy!A213)</f>
        <v>ORD-0588</v>
      </c>
      <c r="B213" s="2">
        <v>45798</v>
      </c>
      <c r="C213" t="str">
        <f>TRIM(Raw_Data_Copy!C213)</f>
        <v>CUST-0058</v>
      </c>
      <c r="D213" t="str">
        <f>PROPER(TRIM(Raw_Data_Copy!D213))</f>
        <v>South Africa</v>
      </c>
      <c r="E213" t="str">
        <f>PROPER(TRIM(Raw_Data_Copy!E213))</f>
        <v>Southern Africa</v>
      </c>
      <c r="F213" t="str">
        <f>PROPER(TRIM(Raw_Data_Copy!F213))</f>
        <v>Laptop</v>
      </c>
      <c r="G213" t="str">
        <f>PROPER(TRIM(Raw_Data_Copy!G213))</f>
        <v>Electronics</v>
      </c>
      <c r="H213" t="str">
        <f>TRIM(Raw_Data_Copy!H213)</f>
        <v>7</v>
      </c>
      <c r="I213" t="str">
        <f>TRIM(Raw_Data_Copy!I213)</f>
        <v>855.96</v>
      </c>
      <c r="J213" t="str">
        <f>TRIM(Raw_Data_Copy!J213)</f>
        <v>0</v>
      </c>
      <c r="K213">
        <f>ROUND(Cleaned_data!$H213*Cleaned_data!$I213*(1-Cleaned_data!$J213),2)</f>
        <v>5991.72</v>
      </c>
      <c r="L213" t="str">
        <f>PROPER(TRIM(Raw_Data_Copy!L213))</f>
        <v>Card</v>
      </c>
    </row>
    <row r="214" spans="1:12" x14ac:dyDescent="0.3">
      <c r="A214" t="str">
        <f>TRIM(Raw_Data_Copy!A214)</f>
        <v>ORD-0431</v>
      </c>
      <c r="B214" s="2">
        <v>45798</v>
      </c>
      <c r="C214" t="str">
        <f>TRIM(Raw_Data_Copy!C214)</f>
        <v>CUST-0173</v>
      </c>
      <c r="D214" t="str">
        <f>PROPER(TRIM(Raw_Data_Copy!D214))</f>
        <v>Kenya</v>
      </c>
      <c r="E214" t="str">
        <f>PROPER(TRIM(Raw_Data_Copy!E214))</f>
        <v>East Africa</v>
      </c>
      <c r="F214" t="str">
        <f>PROPER(TRIM(Raw_Data_Copy!F214))</f>
        <v>Notebook</v>
      </c>
      <c r="G214" t="str">
        <f>PROPER(TRIM(Raw_Data_Copy!G214))</f>
        <v>Office Supplies</v>
      </c>
      <c r="H214" t="str">
        <f>TRIM(Raw_Data_Copy!H214)</f>
        <v>6</v>
      </c>
      <c r="I214" t="str">
        <f>TRIM(Raw_Data_Copy!I214)</f>
        <v>14.79</v>
      </c>
      <c r="J214" t="str">
        <f>TRIM(Raw_Data_Copy!J214)</f>
        <v>0</v>
      </c>
      <c r="K214">
        <f>ROUND(Cleaned_data!$H214*Cleaned_data!$I214*(1-Cleaned_data!$J214),2)</f>
        <v>88.74</v>
      </c>
      <c r="L214" t="str">
        <f>PROPER(TRIM(Raw_Data_Copy!L214))</f>
        <v>Mobile Money</v>
      </c>
    </row>
    <row r="215" spans="1:12" x14ac:dyDescent="0.3">
      <c r="A215" t="str">
        <f>TRIM(Raw_Data_Copy!A215)</f>
        <v>ORD-0348</v>
      </c>
      <c r="B215" s="2">
        <v>45798</v>
      </c>
      <c r="C215" t="str">
        <f>TRIM(Raw_Data_Copy!C215)</f>
        <v>CUST-0049</v>
      </c>
      <c r="D215" t="str">
        <f>PROPER(TRIM(Raw_Data_Copy!D215))</f>
        <v>Kenya</v>
      </c>
      <c r="E215" t="str">
        <f>PROPER(TRIM(Raw_Data_Copy!E215))</f>
        <v>East Africa</v>
      </c>
      <c r="F215" t="str">
        <f>PROPER(TRIM(Raw_Data_Copy!F215))</f>
        <v>Keyboard</v>
      </c>
      <c r="G215" t="str">
        <f>PROPER(TRIM(Raw_Data_Copy!G215))</f>
        <v>Electronics</v>
      </c>
      <c r="H215" t="str">
        <f>TRIM(Raw_Data_Copy!H215)</f>
        <v>6</v>
      </c>
      <c r="I215" t="str">
        <f>TRIM(Raw_Data_Copy!I215)</f>
        <v>81.77</v>
      </c>
      <c r="J215" t="str">
        <f>TRIM(Raw_Data_Copy!J215)</f>
        <v>0.05</v>
      </c>
      <c r="K215">
        <f>ROUND(Cleaned_data!$H215*Cleaned_data!$I215*(1-Cleaned_data!$J215),2)</f>
        <v>466.09</v>
      </c>
      <c r="L215" t="str">
        <f>PROPER(TRIM(Raw_Data_Copy!L215))</f>
        <v>Card</v>
      </c>
    </row>
    <row r="216" spans="1:12" x14ac:dyDescent="0.3">
      <c r="A216" t="str">
        <f>TRIM(Raw_Data_Copy!A216)</f>
        <v>ORD-0527</v>
      </c>
      <c r="B216" s="2">
        <v>45799</v>
      </c>
      <c r="C216" t="str">
        <f>TRIM(Raw_Data_Copy!C216)</f>
        <v>CUST-0178</v>
      </c>
      <c r="D216" t="str">
        <f>PROPER(TRIM(Raw_Data_Copy!D216))</f>
        <v>Nigeria</v>
      </c>
      <c r="E216" t="str">
        <f>PROPER(TRIM(Raw_Data_Copy!E216))</f>
        <v>West Africa</v>
      </c>
      <c r="F216" t="str">
        <f>PROPER(TRIM(Raw_Data_Copy!F216))</f>
        <v>Keyboard</v>
      </c>
      <c r="G216" t="str">
        <f>PROPER(TRIM(Raw_Data_Copy!G216))</f>
        <v>Electronics</v>
      </c>
      <c r="H216" t="str">
        <f>TRIM(Raw_Data_Copy!H216)</f>
        <v>4</v>
      </c>
      <c r="I216" t="str">
        <f>TRIM(Raw_Data_Copy!I216)</f>
        <v>72.68</v>
      </c>
      <c r="J216" t="str">
        <f>TRIM(Raw_Data_Copy!J216)</f>
        <v>0.1</v>
      </c>
      <c r="K216">
        <f>ROUND(Cleaned_data!$H216*Cleaned_data!$I216*(1-Cleaned_data!$J216),2)</f>
        <v>261.64999999999998</v>
      </c>
      <c r="L216" t="str">
        <f>PROPER(TRIM(Raw_Data_Copy!L216))</f>
        <v>Mobile Money</v>
      </c>
    </row>
    <row r="217" spans="1:12" x14ac:dyDescent="0.3">
      <c r="A217" t="str">
        <f>TRIM(Raw_Data_Copy!A217)</f>
        <v>ORD-0081</v>
      </c>
      <c r="B217" s="2">
        <v>45802</v>
      </c>
      <c r="C217" t="str">
        <f>TRIM(Raw_Data_Copy!C217)</f>
        <v>CUST-0085</v>
      </c>
      <c r="D217" t="str">
        <f>PROPER(TRIM(Raw_Data_Copy!D217))</f>
        <v>United States</v>
      </c>
      <c r="E217" t="str">
        <f>PROPER(TRIM(Raw_Data_Copy!E217))</f>
        <v>North America</v>
      </c>
      <c r="F217" t="str">
        <f>PROPER(TRIM(Raw_Data_Copy!F217))</f>
        <v>Desk</v>
      </c>
      <c r="G217" t="str">
        <f>PROPER(TRIM(Raw_Data_Copy!G217))</f>
        <v>Furniture</v>
      </c>
      <c r="H217" t="str">
        <f>TRIM(Raw_Data_Copy!H217)</f>
        <v>7</v>
      </c>
      <c r="I217" t="str">
        <f>TRIM(Raw_Data_Copy!I217)</f>
        <v>368.83</v>
      </c>
      <c r="J217" t="str">
        <f>TRIM(Raw_Data_Copy!J217)</f>
        <v>0.25</v>
      </c>
      <c r="K217">
        <f>ROUND(Cleaned_data!$H217*Cleaned_data!$I217*(1-Cleaned_data!$J217),2)</f>
        <v>1936.36</v>
      </c>
      <c r="L217" t="str">
        <f>PROPER(TRIM(Raw_Data_Copy!L217))</f>
        <v>Bank Transfer</v>
      </c>
    </row>
    <row r="218" spans="1:12" x14ac:dyDescent="0.3">
      <c r="A218" t="str">
        <f>TRIM(Raw_Data_Copy!A218)</f>
        <v>ORD-0219</v>
      </c>
      <c r="B218" s="2">
        <v>45802</v>
      </c>
      <c r="C218" t="str">
        <f>TRIM(Raw_Data_Copy!C218)</f>
        <v>CUST-0026</v>
      </c>
      <c r="D218" t="str">
        <f>PROPER(TRIM(Raw_Data_Copy!D218))</f>
        <v>Nigeria</v>
      </c>
      <c r="E218" t="str">
        <f>PROPER(TRIM(Raw_Data_Copy!E218))</f>
        <v>West Africa</v>
      </c>
      <c r="F218" t="str">
        <f>PROPER(TRIM(Raw_Data_Copy!F218))</f>
        <v>Laptop</v>
      </c>
      <c r="G218" t="str">
        <f>PROPER(TRIM(Raw_Data_Copy!G218))</f>
        <v>Electronics</v>
      </c>
      <c r="H218" t="str">
        <f>TRIM(Raw_Data_Copy!H218)</f>
        <v>7</v>
      </c>
      <c r="I218" t="str">
        <f>TRIM(Raw_Data_Copy!I218)</f>
        <v>986.15</v>
      </c>
      <c r="J218" t="str">
        <f>TRIM(Raw_Data_Copy!J218)</f>
        <v>0.05</v>
      </c>
      <c r="K218">
        <f>ROUND(Cleaned_data!$H218*Cleaned_data!$I218*(1-Cleaned_data!$J218),2)</f>
        <v>6557.9</v>
      </c>
      <c r="L218" t="str">
        <f>PROPER(TRIM(Raw_Data_Copy!L218))</f>
        <v>Card</v>
      </c>
    </row>
    <row r="219" spans="1:12" x14ac:dyDescent="0.3">
      <c r="A219" t="str">
        <f>TRIM(Raw_Data_Copy!A219)</f>
        <v>ORD-0403</v>
      </c>
      <c r="B219" s="2">
        <v>45803</v>
      </c>
      <c r="C219" t="str">
        <f>TRIM(Raw_Data_Copy!C219)</f>
        <v>CUST-0105</v>
      </c>
      <c r="D219" t="str">
        <f>PROPER(TRIM(Raw_Data_Copy!D219))</f>
        <v>Ghana</v>
      </c>
      <c r="E219" t="str">
        <f>PROPER(TRIM(Raw_Data_Copy!E219))</f>
        <v>West Africa</v>
      </c>
      <c r="F219" t="str">
        <f>PROPER(TRIM(Raw_Data_Copy!F219))</f>
        <v>Backpack</v>
      </c>
      <c r="G219" t="str">
        <f>PROPER(TRIM(Raw_Data_Copy!G219))</f>
        <v>Accessories</v>
      </c>
      <c r="H219" t="str">
        <f>TRIM(Raw_Data_Copy!H219)</f>
        <v>8</v>
      </c>
      <c r="I219" t="str">
        <f>TRIM(Raw_Data_Copy!I219)</f>
        <v>73.28</v>
      </c>
      <c r="J219" t="str">
        <f>TRIM(Raw_Data_Copy!J219)</f>
        <v>0.2</v>
      </c>
      <c r="K219">
        <f>ROUND(Cleaned_data!$H219*Cleaned_data!$I219*(1-Cleaned_data!$J219),2)</f>
        <v>468.99</v>
      </c>
      <c r="L219" t="str">
        <f>PROPER(TRIM(Raw_Data_Copy!L219))</f>
        <v>Mobile Money</v>
      </c>
    </row>
    <row r="220" spans="1:12" x14ac:dyDescent="0.3">
      <c r="A220" t="str">
        <f>TRIM(Raw_Data_Copy!A220)</f>
        <v>ORD-0240</v>
      </c>
      <c r="B220" s="2">
        <v>45803</v>
      </c>
      <c r="C220" t="str">
        <f>TRIM(Raw_Data_Copy!C220)</f>
        <v>CUST-0067</v>
      </c>
      <c r="D220" t="str">
        <f>PROPER(TRIM(Raw_Data_Copy!D220))</f>
        <v>Nigeria</v>
      </c>
      <c r="E220" t="str">
        <f>PROPER(TRIM(Raw_Data_Copy!E220))</f>
        <v>West Africa</v>
      </c>
      <c r="F220" t="str">
        <f>PROPER(TRIM(Raw_Data_Copy!F220))</f>
        <v>Mouse</v>
      </c>
      <c r="G220" t="str">
        <f>PROPER(TRIM(Raw_Data_Copy!G220))</f>
        <v>Electronics</v>
      </c>
      <c r="H220" t="str">
        <f>TRIM(Raw_Data_Copy!H220)</f>
        <v>6</v>
      </c>
      <c r="I220" t="str">
        <f>TRIM(Raw_Data_Copy!I220)</f>
        <v>41.78</v>
      </c>
      <c r="J220" t="str">
        <f>TRIM(Raw_Data_Copy!J220)</f>
        <v>0.05</v>
      </c>
      <c r="K220">
        <f>ROUND(Cleaned_data!$H220*Cleaned_data!$I220*(1-Cleaned_data!$J220),2)</f>
        <v>238.15</v>
      </c>
      <c r="L220" t="str">
        <f>PROPER(TRIM(Raw_Data_Copy!L220))</f>
        <v>Mobile Money</v>
      </c>
    </row>
    <row r="221" spans="1:12" x14ac:dyDescent="0.3">
      <c r="A221" t="str">
        <f>TRIM(Raw_Data_Copy!A221)</f>
        <v>ORD-0078</v>
      </c>
      <c r="B221" s="2">
        <v>45803</v>
      </c>
      <c r="C221" t="str">
        <f>TRIM(Raw_Data_Copy!C221)</f>
        <v>CUST-0177</v>
      </c>
      <c r="D221" t="str">
        <f>PROPER(TRIM(Raw_Data_Copy!D221))</f>
        <v>United States</v>
      </c>
      <c r="E221" t="str">
        <f>PROPER(TRIM(Raw_Data_Copy!E221))</f>
        <v>North America</v>
      </c>
      <c r="F221" t="str">
        <f>PROPER(TRIM(Raw_Data_Copy!F221))</f>
        <v>Notebook</v>
      </c>
      <c r="G221" t="str">
        <f>PROPER(TRIM(Raw_Data_Copy!G221))</f>
        <v>Office Supplies</v>
      </c>
      <c r="H221" t="str">
        <f>TRIM(Raw_Data_Copy!H221)</f>
        <v>5</v>
      </c>
      <c r="I221" t="str">
        <f>TRIM(Raw_Data_Copy!I221)</f>
        <v>13.99</v>
      </c>
      <c r="J221" t="str">
        <f>TRIM(Raw_Data_Copy!J221)</f>
        <v>0.1</v>
      </c>
      <c r="K221">
        <f>ROUND(Cleaned_data!$H221*Cleaned_data!$I221*(1-Cleaned_data!$J221),2)</f>
        <v>62.96</v>
      </c>
      <c r="L221" t="str">
        <f>PROPER(TRIM(Raw_Data_Copy!L221))</f>
        <v>Bank Transfer</v>
      </c>
    </row>
    <row r="222" spans="1:12" x14ac:dyDescent="0.3">
      <c r="A222" t="str">
        <f>TRIM(Raw_Data_Copy!A222)</f>
        <v>ORD-0295</v>
      </c>
      <c r="B222" s="2">
        <v>45803</v>
      </c>
      <c r="C222" t="str">
        <f>TRIM(Raw_Data_Copy!C222)</f>
        <v>CUST-0063</v>
      </c>
      <c r="D222" t="str">
        <f>PROPER(TRIM(Raw_Data_Copy!D222))</f>
        <v>United Kingdom</v>
      </c>
      <c r="E222" t="str">
        <f>PROPER(TRIM(Raw_Data_Copy!E222))</f>
        <v>Europe</v>
      </c>
      <c r="F222" t="str">
        <f>PROPER(TRIM(Raw_Data_Copy!F222))</f>
        <v>Headphones</v>
      </c>
      <c r="G222" t="str">
        <f>PROPER(TRIM(Raw_Data_Copy!G222))</f>
        <v>Electronics</v>
      </c>
      <c r="H222" t="str">
        <f>TRIM(Raw_Data_Copy!H222)</f>
        <v>8</v>
      </c>
      <c r="I222" t="str">
        <f>TRIM(Raw_Data_Copy!I222)</f>
        <v>116.96</v>
      </c>
      <c r="J222" t="str">
        <f>TRIM(Raw_Data_Copy!J222)</f>
        <v>0</v>
      </c>
      <c r="K222">
        <f>ROUND(Cleaned_data!$H222*Cleaned_data!$I222*(1-Cleaned_data!$J222),2)</f>
        <v>935.68</v>
      </c>
      <c r="L222" t="str">
        <f>PROPER(TRIM(Raw_Data_Copy!L222))</f>
        <v>Bank Transfer</v>
      </c>
    </row>
    <row r="223" spans="1:12" x14ac:dyDescent="0.3">
      <c r="A223" t="str">
        <f>TRIM(Raw_Data_Copy!A223)</f>
        <v>ORD-0499</v>
      </c>
      <c r="B223" s="2">
        <v>45804</v>
      </c>
      <c r="C223" t="str">
        <f>TRIM(Raw_Data_Copy!C223)</f>
        <v>CUST-0169</v>
      </c>
      <c r="D223" t="str">
        <f>PROPER(TRIM(Raw_Data_Copy!D223))</f>
        <v>Ghana</v>
      </c>
      <c r="E223" t="str">
        <f>PROPER(TRIM(Raw_Data_Copy!E223))</f>
        <v>West Africa</v>
      </c>
      <c r="F223" t="str">
        <f>PROPER(TRIM(Raw_Data_Copy!F223))</f>
        <v>Desk Lamp</v>
      </c>
      <c r="G223" t="str">
        <f>PROPER(TRIM(Raw_Data_Copy!G223))</f>
        <v>Furniture</v>
      </c>
      <c r="H223" t="str">
        <f>TRIM(Raw_Data_Copy!H223)</f>
        <v>3</v>
      </c>
      <c r="I223" t="str">
        <f>TRIM(Raw_Data_Copy!I223)</f>
        <v>52.64</v>
      </c>
      <c r="J223" t="str">
        <f>TRIM(Raw_Data_Copy!J223)</f>
        <v>0.1</v>
      </c>
      <c r="K223">
        <f>ROUND(Cleaned_data!$H223*Cleaned_data!$I223*(1-Cleaned_data!$J223),2)</f>
        <v>142.13</v>
      </c>
      <c r="L223" t="str">
        <f>PROPER(TRIM(Raw_Data_Copy!L223))</f>
        <v>Mobile Money</v>
      </c>
    </row>
    <row r="224" spans="1:12" x14ac:dyDescent="0.3">
      <c r="A224" t="str">
        <f>TRIM(Raw_Data_Copy!A224)</f>
        <v>ORD-0455</v>
      </c>
      <c r="B224" s="2">
        <v>45804</v>
      </c>
      <c r="C224" t="str">
        <f>TRIM(Raw_Data_Copy!C224)</f>
        <v>CUST-0080</v>
      </c>
      <c r="D224" t="str">
        <f>PROPER(TRIM(Raw_Data_Copy!D224))</f>
        <v>Kenya</v>
      </c>
      <c r="E224" t="str">
        <f>PROPER(TRIM(Raw_Data_Copy!E224))</f>
        <v>East Africa</v>
      </c>
      <c r="F224" t="str">
        <f>PROPER(TRIM(Raw_Data_Copy!F224))</f>
        <v>Desk</v>
      </c>
      <c r="G224" t="str">
        <f>PROPER(TRIM(Raw_Data_Copy!G224))</f>
        <v>Furniture</v>
      </c>
      <c r="H224" t="str">
        <f>TRIM(Raw_Data_Copy!H224)</f>
        <v>3</v>
      </c>
      <c r="I224" t="str">
        <f>TRIM(Raw_Data_Copy!I224)</f>
        <v>348.76</v>
      </c>
      <c r="J224" t="str">
        <f>TRIM(Raw_Data_Copy!J224)</f>
        <v>0</v>
      </c>
      <c r="K224">
        <f>ROUND(Cleaned_data!$H224*Cleaned_data!$I224*(1-Cleaned_data!$J224),2)</f>
        <v>1046.28</v>
      </c>
      <c r="L224" t="str">
        <f>PROPER(TRIM(Raw_Data_Copy!L224))</f>
        <v>Cash</v>
      </c>
    </row>
    <row r="225" spans="1:12" x14ac:dyDescent="0.3">
      <c r="A225" t="str">
        <f>TRIM(Raw_Data_Copy!A225)</f>
        <v>ORD-0343</v>
      </c>
      <c r="B225" s="2">
        <v>45804</v>
      </c>
      <c r="C225" t="str">
        <f>TRIM(Raw_Data_Copy!C225)</f>
        <v>CUST-0026</v>
      </c>
      <c r="D225" t="str">
        <f>PROPER(TRIM(Raw_Data_Copy!D225))</f>
        <v>Kenya</v>
      </c>
      <c r="E225" t="str">
        <f>PROPER(TRIM(Raw_Data_Copy!E225))</f>
        <v>East Africa</v>
      </c>
      <c r="F225" t="str">
        <f>PROPER(TRIM(Raw_Data_Copy!F225))</f>
        <v>Keyboard</v>
      </c>
      <c r="G225" t="str">
        <f>PROPER(TRIM(Raw_Data_Copy!G225))</f>
        <v>Electronics</v>
      </c>
      <c r="H225" t="str">
        <f>TRIM(Raw_Data_Copy!H225)</f>
        <v>4</v>
      </c>
      <c r="I225" t="str">
        <f>TRIM(Raw_Data_Copy!I225)</f>
        <v>86.57</v>
      </c>
      <c r="J225" t="str">
        <f>TRIM(Raw_Data_Copy!J225)</f>
        <v>0.1</v>
      </c>
      <c r="K225">
        <f>ROUND(Cleaned_data!$H225*Cleaned_data!$I225*(1-Cleaned_data!$J225),2)</f>
        <v>311.64999999999998</v>
      </c>
      <c r="L225" t="str">
        <f>PROPER(TRIM(Raw_Data_Copy!L225))</f>
        <v>Card</v>
      </c>
    </row>
    <row r="226" spans="1:12" x14ac:dyDescent="0.3">
      <c r="A226" t="str">
        <f>TRIM(Raw_Data_Copy!A226)</f>
        <v>ORD-0306</v>
      </c>
      <c r="B226" s="2">
        <v>45805</v>
      </c>
      <c r="C226" t="str">
        <f>TRIM(Raw_Data_Copy!C226)</f>
        <v>CUST-0143</v>
      </c>
      <c r="D226" t="str">
        <f>PROPER(TRIM(Raw_Data_Copy!D226))</f>
        <v>Nigeria</v>
      </c>
      <c r="E226" t="str">
        <f>PROPER(TRIM(Raw_Data_Copy!E226))</f>
        <v>West Africa</v>
      </c>
      <c r="F226" t="str">
        <f>PROPER(TRIM(Raw_Data_Copy!F226))</f>
        <v>Monitor</v>
      </c>
      <c r="G226" t="str">
        <f>PROPER(TRIM(Raw_Data_Copy!G226))</f>
        <v>Electronics</v>
      </c>
      <c r="H226" t="str">
        <f>TRIM(Raw_Data_Copy!H226)</f>
        <v>6</v>
      </c>
      <c r="I226" t="str">
        <f>TRIM(Raw_Data_Copy!I226)</f>
        <v>323.99</v>
      </c>
      <c r="J226" t="str">
        <f>TRIM(Raw_Data_Copy!J226)</f>
        <v>0</v>
      </c>
      <c r="K226">
        <f>ROUND(Cleaned_data!$H226*Cleaned_data!$I226*(1-Cleaned_data!$J226),2)</f>
        <v>1943.94</v>
      </c>
      <c r="L226" t="str">
        <f>PROPER(TRIM(Raw_Data_Copy!L226))</f>
        <v>Mobile Money</v>
      </c>
    </row>
    <row r="227" spans="1:12" x14ac:dyDescent="0.3">
      <c r="A227" t="str">
        <f>TRIM(Raw_Data_Copy!A227)</f>
        <v>ORD-0523</v>
      </c>
      <c r="B227" s="2">
        <v>45806</v>
      </c>
      <c r="C227" t="str">
        <f>TRIM(Raw_Data_Copy!C227)</f>
        <v>CUST-0012</v>
      </c>
      <c r="D227" t="str">
        <f>PROPER(TRIM(Raw_Data_Copy!D227))</f>
        <v>Nigeria</v>
      </c>
      <c r="E227" t="str">
        <f>PROPER(TRIM(Raw_Data_Copy!E227))</f>
        <v>West Africa</v>
      </c>
      <c r="F227" t="str">
        <f>PROPER(TRIM(Raw_Data_Copy!F227))</f>
        <v>Smartphone</v>
      </c>
      <c r="G227" t="str">
        <f>PROPER(TRIM(Raw_Data_Copy!G227))</f>
        <v>Electronics</v>
      </c>
      <c r="H227" t="str">
        <f>TRIM(Raw_Data_Copy!H227)</f>
        <v>7</v>
      </c>
      <c r="I227" t="str">
        <f>TRIM(Raw_Data_Copy!I227)</f>
        <v>665.41</v>
      </c>
      <c r="J227" t="str">
        <f>TRIM(Raw_Data_Copy!J227)</f>
        <v>0.15</v>
      </c>
      <c r="K227">
        <f>ROUND(Cleaned_data!$H227*Cleaned_data!$I227*(1-Cleaned_data!$J227),2)</f>
        <v>3959.19</v>
      </c>
      <c r="L227" t="str">
        <f>PROPER(TRIM(Raw_Data_Copy!L227))</f>
        <v>Mobile Money</v>
      </c>
    </row>
    <row r="228" spans="1:12" x14ac:dyDescent="0.3">
      <c r="A228" t="str">
        <f>TRIM(Raw_Data_Copy!A228)</f>
        <v>ORD-0446</v>
      </c>
      <c r="B228" s="2">
        <v>45806</v>
      </c>
      <c r="C228" t="str">
        <f>TRIM(Raw_Data_Copy!C228)</f>
        <v>CUST-0016</v>
      </c>
      <c r="D228" t="str">
        <f>PROPER(TRIM(Raw_Data_Copy!D228))</f>
        <v>Nigeria</v>
      </c>
      <c r="E228" t="str">
        <f>PROPER(TRIM(Raw_Data_Copy!E228))</f>
        <v>West Africa</v>
      </c>
      <c r="F228" t="str">
        <f>PROPER(TRIM(Raw_Data_Copy!F228))</f>
        <v>Backpack</v>
      </c>
      <c r="G228" t="str">
        <f>PROPER(TRIM(Raw_Data_Copy!G228))</f>
        <v>Accessories</v>
      </c>
      <c r="H228" t="str">
        <f>TRIM(Raw_Data_Copy!H228)</f>
        <v>4</v>
      </c>
      <c r="I228" t="str">
        <f>TRIM(Raw_Data_Copy!I228)</f>
        <v>82.27</v>
      </c>
      <c r="J228" t="str">
        <f>TRIM(Raw_Data_Copy!J228)</f>
        <v>0.15</v>
      </c>
      <c r="K228">
        <f>ROUND(Cleaned_data!$H228*Cleaned_data!$I228*(1-Cleaned_data!$J228),2)</f>
        <v>279.72000000000003</v>
      </c>
      <c r="L228" t="str">
        <f>PROPER(TRIM(Raw_Data_Copy!L228))</f>
        <v>Card</v>
      </c>
    </row>
    <row r="229" spans="1:12" x14ac:dyDescent="0.3">
      <c r="A229" t="str">
        <f>TRIM(Raw_Data_Copy!A229)</f>
        <v>ORD-0406</v>
      </c>
      <c r="B229" s="2">
        <v>45806</v>
      </c>
      <c r="C229" t="str">
        <f>TRIM(Raw_Data_Copy!C229)</f>
        <v>CUST-0028</v>
      </c>
      <c r="D229" t="str">
        <f>PROPER(TRIM(Raw_Data_Copy!D229))</f>
        <v>Nigeria</v>
      </c>
      <c r="E229" t="str">
        <f>PROPER(TRIM(Raw_Data_Copy!E229))</f>
        <v>West Africa</v>
      </c>
      <c r="F229" t="str">
        <f>PROPER(TRIM(Raw_Data_Copy!F229))</f>
        <v>Keyboard</v>
      </c>
      <c r="G229" t="str">
        <f>PROPER(TRIM(Raw_Data_Copy!G229))</f>
        <v>Electronics</v>
      </c>
      <c r="H229" t="str">
        <f>TRIM(Raw_Data_Copy!H229)</f>
        <v>7</v>
      </c>
      <c r="I229" t="str">
        <f>TRIM(Raw_Data_Copy!I229)</f>
        <v>74.01</v>
      </c>
      <c r="J229" t="str">
        <f>TRIM(Raw_Data_Copy!J229)</f>
        <v>0.15</v>
      </c>
      <c r="K229">
        <f>ROUND(Cleaned_data!$H229*Cleaned_data!$I229*(1-Cleaned_data!$J229),2)</f>
        <v>440.36</v>
      </c>
      <c r="L229" t="str">
        <f>PROPER(TRIM(Raw_Data_Copy!L229))</f>
        <v>Cash</v>
      </c>
    </row>
    <row r="230" spans="1:12" x14ac:dyDescent="0.3">
      <c r="A230" t="str">
        <f>TRIM(Raw_Data_Copy!A230)</f>
        <v>ORD-0030</v>
      </c>
      <c r="B230" s="2">
        <v>45809</v>
      </c>
      <c r="C230" t="str">
        <f>TRIM(Raw_Data_Copy!C230)</f>
        <v>CUST-0054</v>
      </c>
      <c r="D230" t="str">
        <f>PROPER(TRIM(Raw_Data_Copy!D230))</f>
        <v>United States</v>
      </c>
      <c r="E230" t="str">
        <f>PROPER(TRIM(Raw_Data_Copy!E230))</f>
        <v>North America</v>
      </c>
      <c r="F230" t="str">
        <f>PROPER(TRIM(Raw_Data_Copy!F230))</f>
        <v>Monitor</v>
      </c>
      <c r="G230" t="str">
        <f>PROPER(TRIM(Raw_Data_Copy!G230))</f>
        <v>Electronics</v>
      </c>
      <c r="H230" t="str">
        <f>TRIM(Raw_Data_Copy!H230)</f>
        <v>1</v>
      </c>
      <c r="I230" t="str">
        <f>TRIM(Raw_Data_Copy!I230)</f>
        <v>286.73</v>
      </c>
      <c r="J230" t="str">
        <f>TRIM(Raw_Data_Copy!J230)</f>
        <v>0.15</v>
      </c>
      <c r="K230">
        <f>ROUND(Cleaned_data!$H230*Cleaned_data!$I230*(1-Cleaned_data!$J230),2)</f>
        <v>243.72</v>
      </c>
      <c r="L230" t="str">
        <f>PROPER(TRIM(Raw_Data_Copy!L230))</f>
        <v>Bank Transfer</v>
      </c>
    </row>
    <row r="231" spans="1:12" x14ac:dyDescent="0.3">
      <c r="A231" t="str">
        <f>TRIM(Raw_Data_Copy!A231)</f>
        <v>ORD-0227</v>
      </c>
      <c r="B231" s="2">
        <v>45810</v>
      </c>
      <c r="C231" t="str">
        <f>TRIM(Raw_Data_Copy!C231)</f>
        <v>CUST-0012</v>
      </c>
      <c r="D231" t="str">
        <f>PROPER(TRIM(Raw_Data_Copy!D231))</f>
        <v>Kenya</v>
      </c>
      <c r="E231" t="str">
        <f>PROPER(TRIM(Raw_Data_Copy!E231))</f>
        <v>East Africa</v>
      </c>
      <c r="F231" t="str">
        <f>PROPER(TRIM(Raw_Data_Copy!F231))</f>
        <v>Keyboard</v>
      </c>
      <c r="G231" t="str">
        <f>PROPER(TRIM(Raw_Data_Copy!G231))</f>
        <v>Electronics</v>
      </c>
      <c r="H231" t="str">
        <f>TRIM(Raw_Data_Copy!H231)</f>
        <v>8</v>
      </c>
      <c r="I231" t="str">
        <f>TRIM(Raw_Data_Copy!I231)</f>
        <v>85.55</v>
      </c>
      <c r="J231" t="str">
        <f>TRIM(Raw_Data_Copy!J231)</f>
        <v>0.25</v>
      </c>
      <c r="K231">
        <f>ROUND(Cleaned_data!$H231*Cleaned_data!$I231*(1-Cleaned_data!$J231),2)</f>
        <v>513.29999999999995</v>
      </c>
      <c r="L231" t="str">
        <f>PROPER(TRIM(Raw_Data_Copy!L231))</f>
        <v>Bank Transfer</v>
      </c>
    </row>
    <row r="232" spans="1:12" x14ac:dyDescent="0.3">
      <c r="A232" t="str">
        <f>TRIM(Raw_Data_Copy!A232)</f>
        <v>ORD-0278</v>
      </c>
      <c r="B232" s="2">
        <v>45810</v>
      </c>
      <c r="C232" t="str">
        <f>TRIM(Raw_Data_Copy!C232)</f>
        <v>CUST-0059</v>
      </c>
      <c r="D232" t="str">
        <f>PROPER(TRIM(Raw_Data_Copy!D232))</f>
        <v>South Africa</v>
      </c>
      <c r="E232" t="str">
        <f>PROPER(TRIM(Raw_Data_Copy!E232))</f>
        <v>Southern Africa</v>
      </c>
      <c r="F232" t="str">
        <f>PROPER(TRIM(Raw_Data_Copy!F232))</f>
        <v>Notebook</v>
      </c>
      <c r="G232" t="str">
        <f>PROPER(TRIM(Raw_Data_Copy!G232))</f>
        <v>Office Supplies</v>
      </c>
      <c r="H232" t="str">
        <f>TRIM(Raw_Data_Copy!H232)</f>
        <v>2</v>
      </c>
      <c r="I232" t="str">
        <f>TRIM(Raw_Data_Copy!I232)</f>
        <v>14.51</v>
      </c>
      <c r="J232" t="str">
        <f>TRIM(Raw_Data_Copy!J232)</f>
        <v>0.25</v>
      </c>
      <c r="K232">
        <f>ROUND(Cleaned_data!$H232*Cleaned_data!$I232*(1-Cleaned_data!$J232),2)</f>
        <v>21.77</v>
      </c>
      <c r="L232" t="str">
        <f>PROPER(TRIM(Raw_Data_Copy!L232))</f>
        <v>Card</v>
      </c>
    </row>
    <row r="233" spans="1:12" x14ac:dyDescent="0.3">
      <c r="A233" t="str">
        <f>TRIM(Raw_Data_Copy!A233)</f>
        <v>ORD-0396</v>
      </c>
      <c r="B233" s="2">
        <v>45811</v>
      </c>
      <c r="C233" t="str">
        <f>TRIM(Raw_Data_Copy!C233)</f>
        <v>CUST-0018</v>
      </c>
      <c r="D233" t="str">
        <f>PROPER(TRIM(Raw_Data_Copy!D233))</f>
        <v>Ghana</v>
      </c>
      <c r="E233" t="str">
        <f>PROPER(TRIM(Raw_Data_Copy!E233))</f>
        <v>West Africa</v>
      </c>
      <c r="F233" t="str">
        <f>PROPER(TRIM(Raw_Data_Copy!F233))</f>
        <v>Desk Lamp</v>
      </c>
      <c r="G233" t="str">
        <f>PROPER(TRIM(Raw_Data_Copy!G233))</f>
        <v>Furniture</v>
      </c>
      <c r="H233" t="str">
        <f>TRIM(Raw_Data_Copy!H233)</f>
        <v>1</v>
      </c>
      <c r="I233" t="str">
        <f>TRIM(Raw_Data_Copy!I233)</f>
        <v>52.99</v>
      </c>
      <c r="J233" t="str">
        <f>TRIM(Raw_Data_Copy!J233)</f>
        <v>0</v>
      </c>
      <c r="K233">
        <f>ROUND(Cleaned_data!$H233*Cleaned_data!$I233*(1-Cleaned_data!$J233),2)</f>
        <v>52.99</v>
      </c>
      <c r="L233" t="str">
        <f>PROPER(TRIM(Raw_Data_Copy!L233))</f>
        <v>Mobile Money</v>
      </c>
    </row>
    <row r="234" spans="1:12" x14ac:dyDescent="0.3">
      <c r="A234" t="str">
        <f>TRIM(Raw_Data_Copy!A234)</f>
        <v>ORD-0367</v>
      </c>
      <c r="B234" s="2">
        <v>45812</v>
      </c>
      <c r="C234" t="str">
        <f>TRIM(Raw_Data_Copy!C234)</f>
        <v>CUST-0174</v>
      </c>
      <c r="D234" t="str">
        <f>PROPER(TRIM(Raw_Data_Copy!D234))</f>
        <v>United States</v>
      </c>
      <c r="E234" t="str">
        <f>PROPER(TRIM(Raw_Data_Copy!E234))</f>
        <v>North America</v>
      </c>
      <c r="F234" t="str">
        <f>PROPER(TRIM(Raw_Data_Copy!F234))</f>
        <v>Keyboard</v>
      </c>
      <c r="G234" t="str">
        <f>PROPER(TRIM(Raw_Data_Copy!G234))</f>
        <v>Electronics</v>
      </c>
      <c r="H234" t="str">
        <f>TRIM(Raw_Data_Copy!H234)</f>
        <v>8</v>
      </c>
      <c r="I234" t="str">
        <f>TRIM(Raw_Data_Copy!I234)</f>
        <v>80.09</v>
      </c>
      <c r="J234" t="str">
        <f>TRIM(Raw_Data_Copy!J234)</f>
        <v>0.25</v>
      </c>
      <c r="K234">
        <f>ROUND(Cleaned_data!$H234*Cleaned_data!$I234*(1-Cleaned_data!$J234),2)</f>
        <v>480.54</v>
      </c>
      <c r="L234" t="str">
        <f>PROPER(TRIM(Raw_Data_Copy!L234))</f>
        <v>Card</v>
      </c>
    </row>
    <row r="235" spans="1:12" x14ac:dyDescent="0.3">
      <c r="A235" t="str">
        <f>TRIM(Raw_Data_Copy!A235)</f>
        <v>ORD-0363</v>
      </c>
      <c r="B235" s="2">
        <v>45813</v>
      </c>
      <c r="C235" t="str">
        <f>TRIM(Raw_Data_Copy!C235)</f>
        <v>CUST-0165</v>
      </c>
      <c r="D235" t="str">
        <f>PROPER(TRIM(Raw_Data_Copy!D235))</f>
        <v>Nigeria</v>
      </c>
      <c r="E235" t="str">
        <f>PROPER(TRIM(Raw_Data_Copy!E235))</f>
        <v>West Africa</v>
      </c>
      <c r="F235" t="str">
        <f>PROPER(TRIM(Raw_Data_Copy!F235))</f>
        <v>Mouse</v>
      </c>
      <c r="G235" t="str">
        <f>PROPER(TRIM(Raw_Data_Copy!G235))</f>
        <v>Electronics</v>
      </c>
      <c r="H235" t="str">
        <f>TRIM(Raw_Data_Copy!H235)</f>
        <v>6</v>
      </c>
      <c r="I235" t="str">
        <f>TRIM(Raw_Data_Copy!I235)</f>
        <v>46.85</v>
      </c>
      <c r="J235" t="str">
        <f>TRIM(Raw_Data_Copy!J235)</f>
        <v>0.45</v>
      </c>
      <c r="K235">
        <f>ROUND(Cleaned_data!$H235*Cleaned_data!$I235*(1-Cleaned_data!$J235),2)</f>
        <v>154.61000000000001</v>
      </c>
      <c r="L235" t="str">
        <f>PROPER(TRIM(Raw_Data_Copy!L235))</f>
        <v>Card</v>
      </c>
    </row>
    <row r="236" spans="1:12" x14ac:dyDescent="0.3">
      <c r="A236" t="str">
        <f>TRIM(Raw_Data_Copy!A236)</f>
        <v>ORD-0231</v>
      </c>
      <c r="B236" s="2">
        <v>45813</v>
      </c>
      <c r="C236" t="str">
        <f>TRIM(Raw_Data_Copy!C236)</f>
        <v>CUST-0035</v>
      </c>
      <c r="D236" t="str">
        <f>PROPER(TRIM(Raw_Data_Copy!D236))</f>
        <v>Ghana</v>
      </c>
      <c r="E236" t="str">
        <f>PROPER(TRIM(Raw_Data_Copy!E236))</f>
        <v>West Africa</v>
      </c>
      <c r="F236" t="str">
        <f>PROPER(TRIM(Raw_Data_Copy!F236))</f>
        <v>Office Chair</v>
      </c>
      <c r="G236" t="str">
        <f>PROPER(TRIM(Raw_Data_Copy!G236))</f>
        <v>Furniture</v>
      </c>
      <c r="H236" t="str">
        <f>TRIM(Raw_Data_Copy!H236)</f>
        <v>8</v>
      </c>
      <c r="I236" t="str">
        <f>TRIM(Raw_Data_Copy!I236)</f>
        <v>221.02</v>
      </c>
      <c r="J236" t="str">
        <f>TRIM(Raw_Data_Copy!J236)</f>
        <v>0.15</v>
      </c>
      <c r="K236">
        <f>ROUND(Cleaned_data!$H236*Cleaned_data!$I236*(1-Cleaned_data!$J236),2)</f>
        <v>1502.94</v>
      </c>
      <c r="L236" t="str">
        <f>PROPER(TRIM(Raw_Data_Copy!L236))</f>
        <v>Cash</v>
      </c>
    </row>
    <row r="237" spans="1:12" x14ac:dyDescent="0.3">
      <c r="A237" t="str">
        <f>TRIM(Raw_Data_Copy!A237)</f>
        <v>ORD-0462</v>
      </c>
      <c r="B237" s="2">
        <v>45814</v>
      </c>
      <c r="C237" t="str">
        <f>TRIM(Raw_Data_Copy!C237)</f>
        <v>CUST-0017</v>
      </c>
      <c r="D237" t="str">
        <f>PROPER(TRIM(Raw_Data_Copy!D237))</f>
        <v>Nigeria</v>
      </c>
      <c r="E237" t="str">
        <f>PROPER(TRIM(Raw_Data_Copy!E237))</f>
        <v>West Africa</v>
      </c>
      <c r="F237" t="str">
        <f>PROPER(TRIM(Raw_Data_Copy!F237))</f>
        <v>Smartphone</v>
      </c>
      <c r="G237" t="str">
        <f>PROPER(TRIM(Raw_Data_Copy!G237))</f>
        <v>Electronics</v>
      </c>
      <c r="H237" t="str">
        <f>TRIM(Raw_Data_Copy!H237)</f>
        <v>7</v>
      </c>
      <c r="I237" t="str">
        <f>TRIM(Raw_Data_Copy!I237)</f>
        <v>641.16</v>
      </c>
      <c r="J237" t="str">
        <f>TRIM(Raw_Data_Copy!J237)</f>
        <v>0.3</v>
      </c>
      <c r="K237">
        <f>ROUND(Cleaned_data!$H237*Cleaned_data!$I237*(1-Cleaned_data!$J237),2)</f>
        <v>3141.68</v>
      </c>
      <c r="L237" t="str">
        <f>PROPER(TRIM(Raw_Data_Copy!L237))</f>
        <v>Card</v>
      </c>
    </row>
    <row r="238" spans="1:12" x14ac:dyDescent="0.3">
      <c r="A238" t="str">
        <f>TRIM(Raw_Data_Copy!A238)</f>
        <v>ORD-0253</v>
      </c>
      <c r="B238" s="2">
        <v>45815</v>
      </c>
      <c r="C238" t="str">
        <f>TRIM(Raw_Data_Copy!C238)</f>
        <v>CUST-0158</v>
      </c>
      <c r="D238" t="str">
        <f>PROPER(TRIM(Raw_Data_Copy!D238))</f>
        <v>Nigeria</v>
      </c>
      <c r="E238" t="str">
        <f>PROPER(TRIM(Raw_Data_Copy!E238))</f>
        <v>West Africa</v>
      </c>
      <c r="F238" t="str">
        <f>PROPER(TRIM(Raw_Data_Copy!F238))</f>
        <v>Desk Lamp</v>
      </c>
      <c r="G238" t="str">
        <f>PROPER(TRIM(Raw_Data_Copy!G238))</f>
        <v>Furniture</v>
      </c>
      <c r="H238" t="str">
        <f>TRIM(Raw_Data_Copy!H238)</f>
        <v>7</v>
      </c>
      <c r="I238" t="str">
        <f>TRIM(Raw_Data_Copy!I238)</f>
        <v>53.87</v>
      </c>
      <c r="J238" t="str">
        <f>TRIM(Raw_Data_Copy!J238)</f>
        <v>0.1</v>
      </c>
      <c r="K238">
        <f>ROUND(Cleaned_data!$H238*Cleaned_data!$I238*(1-Cleaned_data!$J238),2)</f>
        <v>339.38</v>
      </c>
      <c r="L238" t="str">
        <f>PROPER(TRIM(Raw_Data_Copy!L238))</f>
        <v>Mobile Money</v>
      </c>
    </row>
    <row r="239" spans="1:12" x14ac:dyDescent="0.3">
      <c r="A239" t="str">
        <f>TRIM(Raw_Data_Copy!A239)</f>
        <v>ORD-0293</v>
      </c>
      <c r="B239" s="2">
        <v>45816</v>
      </c>
      <c r="C239" t="str">
        <f>TRIM(Raw_Data_Copy!C239)</f>
        <v>CUST-0060</v>
      </c>
      <c r="D239" t="str">
        <f>PROPER(TRIM(Raw_Data_Copy!D239))</f>
        <v>Nigeria</v>
      </c>
      <c r="E239" t="str">
        <f>PROPER(TRIM(Raw_Data_Copy!E239))</f>
        <v>West Africa</v>
      </c>
      <c r="F239" t="str">
        <f>PROPER(TRIM(Raw_Data_Copy!F239))</f>
        <v>Office Chair</v>
      </c>
      <c r="G239" t="str">
        <f>PROPER(TRIM(Raw_Data_Copy!G239))</f>
        <v>Furniture</v>
      </c>
      <c r="H239" t="str">
        <f>TRIM(Raw_Data_Copy!H239)</f>
        <v>4</v>
      </c>
      <c r="I239" t="str">
        <f>TRIM(Raw_Data_Copy!I239)</f>
        <v>200.32</v>
      </c>
      <c r="J239" t="str">
        <f>TRIM(Raw_Data_Copy!J239)</f>
        <v>0.1</v>
      </c>
      <c r="K239">
        <f>ROUND(Cleaned_data!$H239*Cleaned_data!$I239*(1-Cleaned_data!$J239),2)</f>
        <v>721.15</v>
      </c>
      <c r="L239" t="str">
        <f>PROPER(TRIM(Raw_Data_Copy!L239))</f>
        <v>Mobile Money</v>
      </c>
    </row>
    <row r="240" spans="1:12" x14ac:dyDescent="0.3">
      <c r="A240" t="str">
        <f>TRIM(Raw_Data_Copy!A240)</f>
        <v>ORD-0239</v>
      </c>
      <c r="B240" s="2">
        <v>45817</v>
      </c>
      <c r="C240" t="str">
        <f>TRIM(Raw_Data_Copy!C240)</f>
        <v>CUST-0011</v>
      </c>
      <c r="D240" t="str">
        <f>PROPER(TRIM(Raw_Data_Copy!D240))</f>
        <v>Ghana</v>
      </c>
      <c r="E240" t="str">
        <f>PROPER(TRIM(Raw_Data_Copy!E240))</f>
        <v>West Africa</v>
      </c>
      <c r="F240" t="str">
        <f>PROPER(TRIM(Raw_Data_Copy!F240))</f>
        <v>Laptop</v>
      </c>
      <c r="G240" t="str">
        <f>PROPER(TRIM(Raw_Data_Copy!G240))</f>
        <v>Electronics</v>
      </c>
      <c r="H240" t="str">
        <f>TRIM(Raw_Data_Copy!H240)</f>
        <v>6</v>
      </c>
      <c r="I240" t="str">
        <f>TRIM(Raw_Data_Copy!I240)</f>
        <v>814.25</v>
      </c>
      <c r="J240" t="str">
        <f>TRIM(Raw_Data_Copy!J240)</f>
        <v>0.15</v>
      </c>
      <c r="K240">
        <f>ROUND(Cleaned_data!$H240*Cleaned_data!$I240*(1-Cleaned_data!$J240),2)</f>
        <v>4152.68</v>
      </c>
      <c r="L240" t="str">
        <f>PROPER(TRIM(Raw_Data_Copy!L240))</f>
        <v>Mobile Money</v>
      </c>
    </row>
    <row r="241" spans="1:12" x14ac:dyDescent="0.3">
      <c r="A241" t="str">
        <f>TRIM(Raw_Data_Copy!A241)</f>
        <v>ORD-0054</v>
      </c>
      <c r="B241" s="2">
        <v>45817</v>
      </c>
      <c r="C241" t="str">
        <f>TRIM(Raw_Data_Copy!C241)</f>
        <v>CUST-0084</v>
      </c>
      <c r="D241" t="str">
        <f>PROPER(TRIM(Raw_Data_Copy!D241))</f>
        <v>Kenya</v>
      </c>
      <c r="E241" t="str">
        <f>PROPER(TRIM(Raw_Data_Copy!E241))</f>
        <v>East Africa</v>
      </c>
      <c r="F241" t="str">
        <f>PROPER(TRIM(Raw_Data_Copy!F241))</f>
        <v>Office Chair</v>
      </c>
      <c r="G241" t="str">
        <f>PROPER(TRIM(Raw_Data_Copy!G241))</f>
        <v>Furniture</v>
      </c>
      <c r="H241" t="str">
        <f>TRIM(Raw_Data_Copy!H241)</f>
        <v>8</v>
      </c>
      <c r="I241" t="str">
        <f>TRIM(Raw_Data_Copy!I241)</f>
        <v>201.11</v>
      </c>
      <c r="J241" t="str">
        <f>TRIM(Raw_Data_Copy!J241)</f>
        <v>0.15</v>
      </c>
      <c r="K241">
        <f>ROUND(Cleaned_data!$H241*Cleaned_data!$I241*(1-Cleaned_data!$J241),2)</f>
        <v>1367.55</v>
      </c>
      <c r="L241" t="str">
        <f>PROPER(TRIM(Raw_Data_Copy!L241))</f>
        <v>Card</v>
      </c>
    </row>
    <row r="242" spans="1:12" x14ac:dyDescent="0.3">
      <c r="A242" t="str">
        <f>TRIM(Raw_Data_Copy!A242)</f>
        <v>ORD-0258</v>
      </c>
      <c r="B242" s="2">
        <v>45817</v>
      </c>
      <c r="C242" t="str">
        <f>TRIM(Raw_Data_Copy!C242)</f>
        <v>CUST-0093</v>
      </c>
      <c r="D242" t="str">
        <f>PROPER(TRIM(Raw_Data_Copy!D242))</f>
        <v>Ghana</v>
      </c>
      <c r="E242" t="str">
        <f>PROPER(TRIM(Raw_Data_Copy!E242))</f>
        <v>West Africa</v>
      </c>
      <c r="F242" t="str">
        <f>PROPER(TRIM(Raw_Data_Copy!F242))</f>
        <v>Desk Lamp</v>
      </c>
      <c r="G242" t="str">
        <f>PROPER(TRIM(Raw_Data_Copy!G242))</f>
        <v>Furniture</v>
      </c>
      <c r="H242" t="str">
        <f>TRIM(Raw_Data_Copy!H242)</f>
        <v>5</v>
      </c>
      <c r="I242" t="str">
        <f>TRIM(Raw_Data_Copy!I242)</f>
        <v>59.8</v>
      </c>
      <c r="J242" t="str">
        <f>TRIM(Raw_Data_Copy!J242)</f>
        <v>0.2</v>
      </c>
      <c r="K242">
        <f>ROUND(Cleaned_data!$H242*Cleaned_data!$I242*(1-Cleaned_data!$J242),2)</f>
        <v>239.2</v>
      </c>
      <c r="L242" t="str">
        <f>PROPER(TRIM(Raw_Data_Copy!L242))</f>
        <v>Card</v>
      </c>
    </row>
    <row r="243" spans="1:12" x14ac:dyDescent="0.3">
      <c r="A243" t="str">
        <f>TRIM(Raw_Data_Copy!A243)</f>
        <v>ORD-0432</v>
      </c>
      <c r="B243" s="2">
        <v>45817</v>
      </c>
      <c r="C243" t="str">
        <f>TRIM(Raw_Data_Copy!C243)</f>
        <v>CUST-0089</v>
      </c>
      <c r="D243" t="str">
        <f>PROPER(TRIM(Raw_Data_Copy!D243))</f>
        <v>Ghana</v>
      </c>
      <c r="E243" t="str">
        <f>PROPER(TRIM(Raw_Data_Copy!E243))</f>
        <v>West Africa</v>
      </c>
      <c r="F243" t="str">
        <f>PROPER(TRIM(Raw_Data_Copy!F243))</f>
        <v>Mouse</v>
      </c>
      <c r="G243" t="str">
        <f>PROPER(TRIM(Raw_Data_Copy!G243))</f>
        <v>Electronics</v>
      </c>
      <c r="H243" t="str">
        <f>TRIM(Raw_Data_Copy!H243)</f>
        <v>6</v>
      </c>
      <c r="I243" t="str">
        <f>TRIM(Raw_Data_Copy!I243)</f>
        <v>44.08</v>
      </c>
      <c r="J243" t="str">
        <f>TRIM(Raw_Data_Copy!J243)</f>
        <v>0.25</v>
      </c>
      <c r="K243">
        <f>ROUND(Cleaned_data!$H243*Cleaned_data!$I243*(1-Cleaned_data!$J243),2)</f>
        <v>198.36</v>
      </c>
      <c r="L243" t="str">
        <f>PROPER(TRIM(Raw_Data_Copy!L243))</f>
        <v>Cash</v>
      </c>
    </row>
    <row r="244" spans="1:12" x14ac:dyDescent="0.3">
      <c r="A244" t="str">
        <f>TRIM(Raw_Data_Copy!A244)</f>
        <v>ORD-0249</v>
      </c>
      <c r="B244" s="2">
        <v>45818</v>
      </c>
      <c r="C244" t="str">
        <f>TRIM(Raw_Data_Copy!C244)</f>
        <v>CUST-0016</v>
      </c>
      <c r="D244" t="str">
        <f>PROPER(TRIM(Raw_Data_Copy!D244))</f>
        <v>Nigeria</v>
      </c>
      <c r="E244" t="str">
        <f>PROPER(TRIM(Raw_Data_Copy!E244))</f>
        <v>West Africa</v>
      </c>
      <c r="F244" t="str">
        <f>PROPER(TRIM(Raw_Data_Copy!F244))</f>
        <v>Desk</v>
      </c>
      <c r="G244" t="str">
        <f>PROPER(TRIM(Raw_Data_Copy!G244))</f>
        <v>Furniture</v>
      </c>
      <c r="H244" t="str">
        <f>TRIM(Raw_Data_Copy!H244)</f>
        <v>4</v>
      </c>
      <c r="I244" t="str">
        <f>TRIM(Raw_Data_Copy!I244)</f>
        <v>358.65</v>
      </c>
      <c r="J244" t="str">
        <f>TRIM(Raw_Data_Copy!J244)</f>
        <v>0</v>
      </c>
      <c r="K244">
        <f>ROUND(Cleaned_data!$H244*Cleaned_data!$I244*(1-Cleaned_data!$J244),2)</f>
        <v>1434.6</v>
      </c>
      <c r="L244" t="str">
        <f>PROPER(TRIM(Raw_Data_Copy!L244))</f>
        <v>Bank Transfer</v>
      </c>
    </row>
    <row r="245" spans="1:12" x14ac:dyDescent="0.3">
      <c r="A245" t="str">
        <f>TRIM(Raw_Data_Copy!A245)</f>
        <v>ORD-0475</v>
      </c>
      <c r="B245" s="2">
        <v>45818</v>
      </c>
      <c r="C245" t="str">
        <f>TRIM(Raw_Data_Copy!C245)</f>
        <v>CUST-0075</v>
      </c>
      <c r="D245" t="str">
        <f>PROPER(TRIM(Raw_Data_Copy!D245))</f>
        <v>Nigeria</v>
      </c>
      <c r="E245" t="str">
        <f>PROPER(TRIM(Raw_Data_Copy!E245))</f>
        <v>West Africa</v>
      </c>
      <c r="F245" t="str">
        <f>PROPER(TRIM(Raw_Data_Copy!F245))</f>
        <v>Smartphone</v>
      </c>
      <c r="G245" t="str">
        <f>PROPER(TRIM(Raw_Data_Copy!G245))</f>
        <v>Electronics</v>
      </c>
      <c r="H245" t="str">
        <f>TRIM(Raw_Data_Copy!H245)</f>
        <v>8</v>
      </c>
      <c r="I245" t="str">
        <f>TRIM(Raw_Data_Copy!I245)</f>
        <v>631.13</v>
      </c>
      <c r="J245" t="str">
        <f>TRIM(Raw_Data_Copy!J245)</f>
        <v>0.1</v>
      </c>
      <c r="K245">
        <f>ROUND(Cleaned_data!$H245*Cleaned_data!$I245*(1-Cleaned_data!$J245),2)</f>
        <v>4544.1400000000003</v>
      </c>
      <c r="L245" t="str">
        <f>PROPER(TRIM(Raw_Data_Copy!L245))</f>
        <v>Card</v>
      </c>
    </row>
    <row r="246" spans="1:12" x14ac:dyDescent="0.3">
      <c r="A246" t="str">
        <f>TRIM(Raw_Data_Copy!A246)</f>
        <v>ORD-0158</v>
      </c>
      <c r="B246" s="2">
        <v>45818</v>
      </c>
      <c r="C246" t="str">
        <f>TRIM(Raw_Data_Copy!C246)</f>
        <v>CUST-0016</v>
      </c>
      <c r="D246" t="str">
        <f>PROPER(TRIM(Raw_Data_Copy!D246))</f>
        <v>South Africa</v>
      </c>
      <c r="E246" t="str">
        <f>PROPER(TRIM(Raw_Data_Copy!E246))</f>
        <v>Southern Africa</v>
      </c>
      <c r="F246" t="str">
        <f>PROPER(TRIM(Raw_Data_Copy!F246))</f>
        <v>Keyboard</v>
      </c>
      <c r="G246" t="str">
        <f>PROPER(TRIM(Raw_Data_Copy!G246))</f>
        <v>Electronics</v>
      </c>
      <c r="H246" t="str">
        <f>TRIM(Raw_Data_Copy!H246)</f>
        <v>1</v>
      </c>
      <c r="I246" t="str">
        <f>TRIM(Raw_Data_Copy!I246)</f>
        <v>80.61</v>
      </c>
      <c r="J246" t="str">
        <f>TRIM(Raw_Data_Copy!J246)</f>
        <v>0.15</v>
      </c>
      <c r="K246">
        <f>ROUND(Cleaned_data!$H246*Cleaned_data!$I246*(1-Cleaned_data!$J246),2)</f>
        <v>68.52</v>
      </c>
      <c r="L246" t="str">
        <f>PROPER(TRIM(Raw_Data_Copy!L246))</f>
        <v>Bank Transfer</v>
      </c>
    </row>
    <row r="247" spans="1:12" x14ac:dyDescent="0.3">
      <c r="A247" t="str">
        <f>TRIM(Raw_Data_Copy!A247)</f>
        <v>ORD-0398</v>
      </c>
      <c r="B247" s="2">
        <v>45819</v>
      </c>
      <c r="C247" t="str">
        <f>TRIM(Raw_Data_Copy!C247)</f>
        <v>CUST-0172</v>
      </c>
      <c r="D247" t="str">
        <f>PROPER(TRIM(Raw_Data_Copy!D247))</f>
        <v>United Kingdom</v>
      </c>
      <c r="E247" t="str">
        <f>PROPER(TRIM(Raw_Data_Copy!E247))</f>
        <v>Europe</v>
      </c>
      <c r="F247" t="str">
        <f>PROPER(TRIM(Raw_Data_Copy!F247))</f>
        <v>Desk Lamp</v>
      </c>
      <c r="G247" t="str">
        <f>PROPER(TRIM(Raw_Data_Copy!G247))</f>
        <v>Furniture</v>
      </c>
      <c r="H247" t="str">
        <f>TRIM(Raw_Data_Copy!H247)</f>
        <v>3</v>
      </c>
      <c r="I247" t="str">
        <f>TRIM(Raw_Data_Copy!I247)</f>
        <v>58.59</v>
      </c>
      <c r="J247" t="str">
        <f>TRIM(Raw_Data_Copy!J247)</f>
        <v>0</v>
      </c>
      <c r="K247">
        <f>ROUND(Cleaned_data!$H247*Cleaned_data!$I247*(1-Cleaned_data!$J247),2)</f>
        <v>175.77</v>
      </c>
      <c r="L247" t="str">
        <f>PROPER(TRIM(Raw_Data_Copy!L247))</f>
        <v>Mobile Money</v>
      </c>
    </row>
    <row r="248" spans="1:12" x14ac:dyDescent="0.3">
      <c r="A248" t="str">
        <f>TRIM(Raw_Data_Copy!A248)</f>
        <v>ORD-0254</v>
      </c>
      <c r="B248" s="2">
        <v>45820</v>
      </c>
      <c r="C248" t="str">
        <f>TRIM(Raw_Data_Copy!C248)</f>
        <v>CUST-0066</v>
      </c>
      <c r="D248" t="str">
        <f>PROPER(TRIM(Raw_Data_Copy!D248))</f>
        <v>United Kingdom</v>
      </c>
      <c r="E248" t="str">
        <f>PROPER(TRIM(Raw_Data_Copy!E248))</f>
        <v>Europe</v>
      </c>
      <c r="F248" t="str">
        <f>PROPER(TRIM(Raw_Data_Copy!F248))</f>
        <v>Headphones</v>
      </c>
      <c r="G248" t="str">
        <f>PROPER(TRIM(Raw_Data_Copy!G248))</f>
        <v>Electronics</v>
      </c>
      <c r="H248" t="str">
        <f>TRIM(Raw_Data_Copy!H248)</f>
        <v>8</v>
      </c>
      <c r="I248" t="str">
        <f>TRIM(Raw_Data_Copy!I248)</f>
        <v>113.09</v>
      </c>
      <c r="J248" t="str">
        <f>TRIM(Raw_Data_Copy!J248)</f>
        <v>0.2</v>
      </c>
      <c r="K248">
        <f>ROUND(Cleaned_data!$H248*Cleaned_data!$I248*(1-Cleaned_data!$J248),2)</f>
        <v>723.78</v>
      </c>
      <c r="L248" t="str">
        <f>PROPER(TRIM(Raw_Data_Copy!L248))</f>
        <v>Card</v>
      </c>
    </row>
    <row r="249" spans="1:12" x14ac:dyDescent="0.3">
      <c r="A249" t="str">
        <f>TRIM(Raw_Data_Copy!A249)</f>
        <v>ORD-0386</v>
      </c>
      <c r="B249" s="2">
        <v>45821</v>
      </c>
      <c r="C249" t="str">
        <f>TRIM(Raw_Data_Copy!C249)</f>
        <v>CUST-0035</v>
      </c>
      <c r="D249" t="str">
        <f>PROPER(TRIM(Raw_Data_Copy!D249))</f>
        <v>Ghana</v>
      </c>
      <c r="E249" t="str">
        <f>PROPER(TRIM(Raw_Data_Copy!E249))</f>
        <v>West Africa</v>
      </c>
      <c r="F249" t="str">
        <f>PROPER(TRIM(Raw_Data_Copy!F249))</f>
        <v>Keyboard</v>
      </c>
      <c r="G249" t="str">
        <f>PROPER(TRIM(Raw_Data_Copy!G249))</f>
        <v>Electronics</v>
      </c>
      <c r="H249" t="str">
        <f>TRIM(Raw_Data_Copy!H249)</f>
        <v>8</v>
      </c>
      <c r="I249" t="str">
        <f>TRIM(Raw_Data_Copy!I249)</f>
        <v>84.3</v>
      </c>
      <c r="J249" t="str">
        <f>TRIM(Raw_Data_Copy!J249)</f>
        <v>0.15</v>
      </c>
      <c r="K249">
        <f>ROUND(Cleaned_data!$H249*Cleaned_data!$I249*(1-Cleaned_data!$J249),2)</f>
        <v>573.24</v>
      </c>
      <c r="L249" t="str">
        <f>PROPER(TRIM(Raw_Data_Copy!L249))</f>
        <v>Bank Transfer</v>
      </c>
    </row>
    <row r="250" spans="1:12" x14ac:dyDescent="0.3">
      <c r="A250" t="str">
        <f>TRIM(Raw_Data_Copy!A250)</f>
        <v>ORD-0375</v>
      </c>
      <c r="B250" s="2">
        <v>45821</v>
      </c>
      <c r="C250" t="str">
        <f>TRIM(Raw_Data_Copy!C250)</f>
        <v>CUST-0118</v>
      </c>
      <c r="D250" t="str">
        <f>PROPER(TRIM(Raw_Data_Copy!D250))</f>
        <v>South Africa</v>
      </c>
      <c r="E250" t="str">
        <f>PROPER(TRIM(Raw_Data_Copy!E250))</f>
        <v>Southern Africa</v>
      </c>
      <c r="F250" t="str">
        <f>PROPER(TRIM(Raw_Data_Copy!F250))</f>
        <v>Desk</v>
      </c>
      <c r="G250" t="str">
        <f>PROPER(TRIM(Raw_Data_Copy!G250))</f>
        <v>Furniture</v>
      </c>
      <c r="H250" t="str">
        <f>TRIM(Raw_Data_Copy!H250)</f>
        <v>7</v>
      </c>
      <c r="I250" t="str">
        <f>TRIM(Raw_Data_Copy!I250)</f>
        <v>342.66</v>
      </c>
      <c r="J250" t="str">
        <f>TRIM(Raw_Data_Copy!J250)</f>
        <v>0</v>
      </c>
      <c r="K250">
        <f>ROUND(Cleaned_data!$H250*Cleaned_data!$I250*(1-Cleaned_data!$J250),2)</f>
        <v>2398.62</v>
      </c>
      <c r="L250" t="str">
        <f>PROPER(TRIM(Raw_Data_Copy!L250))</f>
        <v>Mobile Money</v>
      </c>
    </row>
    <row r="251" spans="1:12" x14ac:dyDescent="0.3">
      <c r="A251" t="str">
        <f>TRIM(Raw_Data_Copy!A251)</f>
        <v>ORD-0307</v>
      </c>
      <c r="B251" s="2">
        <v>45822</v>
      </c>
      <c r="C251" t="str">
        <f>TRIM(Raw_Data_Copy!C251)</f>
        <v>CUST-0058</v>
      </c>
      <c r="D251" t="str">
        <f>PROPER(TRIM(Raw_Data_Copy!D251))</f>
        <v>United States</v>
      </c>
      <c r="E251" t="str">
        <f>PROPER(TRIM(Raw_Data_Copy!E251))</f>
        <v>North America</v>
      </c>
      <c r="F251" t="str">
        <f>PROPER(TRIM(Raw_Data_Copy!F251))</f>
        <v>Desk</v>
      </c>
      <c r="G251" t="str">
        <f>PROPER(TRIM(Raw_Data_Copy!G251))</f>
        <v>Furniture</v>
      </c>
      <c r="H251" t="str">
        <f>TRIM(Raw_Data_Copy!H251)</f>
        <v>2</v>
      </c>
      <c r="I251" t="str">
        <f>TRIM(Raw_Data_Copy!I251)</f>
        <v>372.95</v>
      </c>
      <c r="J251" t="str">
        <f>TRIM(Raw_Data_Copy!J251)</f>
        <v>0.2</v>
      </c>
      <c r="K251">
        <f>ROUND(Cleaned_data!$H251*Cleaned_data!$I251*(1-Cleaned_data!$J251),2)</f>
        <v>596.72</v>
      </c>
      <c r="L251" t="str">
        <f>PROPER(TRIM(Raw_Data_Copy!L251))</f>
        <v>Mobile Money</v>
      </c>
    </row>
    <row r="252" spans="1:12" x14ac:dyDescent="0.3">
      <c r="A252" t="str">
        <f>TRIM(Raw_Data_Copy!A252)</f>
        <v>ORD-0408</v>
      </c>
      <c r="B252" s="2">
        <v>45822</v>
      </c>
      <c r="C252" t="str">
        <f>TRIM(Raw_Data_Copy!C252)</f>
        <v>CUST-0102</v>
      </c>
      <c r="D252" t="str">
        <f>PROPER(TRIM(Raw_Data_Copy!D252))</f>
        <v>Ghana</v>
      </c>
      <c r="E252" t="str">
        <f>PROPER(TRIM(Raw_Data_Copy!E252))</f>
        <v>West Africa</v>
      </c>
      <c r="F252" t="str">
        <f>PROPER(TRIM(Raw_Data_Copy!F252))</f>
        <v>Printer</v>
      </c>
      <c r="G252" t="str">
        <f>PROPER(TRIM(Raw_Data_Copy!G252))</f>
        <v>Office Supplies</v>
      </c>
      <c r="H252" t="str">
        <f>TRIM(Raw_Data_Copy!H252)</f>
        <v>5</v>
      </c>
      <c r="I252" t="str">
        <f>TRIM(Raw_Data_Copy!I252)</f>
        <v>238.38</v>
      </c>
      <c r="J252" t="str">
        <f>TRIM(Raw_Data_Copy!J252)</f>
        <v>0.2</v>
      </c>
      <c r="K252">
        <f>ROUND(Cleaned_data!$H252*Cleaned_data!$I252*(1-Cleaned_data!$J252),2)</f>
        <v>953.52</v>
      </c>
      <c r="L252" t="str">
        <f>PROPER(TRIM(Raw_Data_Copy!L252))</f>
        <v>Card</v>
      </c>
    </row>
    <row r="253" spans="1:12" x14ac:dyDescent="0.3">
      <c r="A253" t="str">
        <f>TRIM(Raw_Data_Copy!A253)</f>
        <v>ORD-0020</v>
      </c>
      <c r="B253" s="2">
        <v>45822</v>
      </c>
      <c r="C253" t="str">
        <f>TRIM(Raw_Data_Copy!C253)</f>
        <v>CUST-0051</v>
      </c>
      <c r="D253" t="str">
        <f>PROPER(TRIM(Raw_Data_Copy!D253))</f>
        <v>United Kingdom</v>
      </c>
      <c r="E253" t="str">
        <f>PROPER(TRIM(Raw_Data_Copy!E253))</f>
        <v>Europe</v>
      </c>
      <c r="F253" t="str">
        <f>PROPER(TRIM(Raw_Data_Copy!F253))</f>
        <v>Mouse</v>
      </c>
      <c r="G253" t="str">
        <f>PROPER(TRIM(Raw_Data_Copy!G253))</f>
        <v>Electronics</v>
      </c>
      <c r="H253" t="str">
        <f>TRIM(Raw_Data_Copy!H253)</f>
        <v>3</v>
      </c>
      <c r="I253" t="str">
        <f>TRIM(Raw_Data_Copy!I253)</f>
        <v>40.56</v>
      </c>
      <c r="J253" t="str">
        <f>TRIM(Raw_Data_Copy!J253)</f>
        <v>0.1</v>
      </c>
      <c r="K253">
        <f>ROUND(Cleaned_data!$H253*Cleaned_data!$I253*(1-Cleaned_data!$J253),2)</f>
        <v>109.51</v>
      </c>
      <c r="L253" t="str">
        <f>PROPER(TRIM(Raw_Data_Copy!L253))</f>
        <v>Card</v>
      </c>
    </row>
    <row r="254" spans="1:12" x14ac:dyDescent="0.3">
      <c r="A254" t="str">
        <f>TRIM(Raw_Data_Copy!A254)</f>
        <v>ORD-0312</v>
      </c>
      <c r="B254" s="2">
        <v>45824</v>
      </c>
      <c r="C254" t="str">
        <f>TRIM(Raw_Data_Copy!C254)</f>
        <v>CUST-0086</v>
      </c>
      <c r="D254" t="str">
        <f>PROPER(TRIM(Raw_Data_Copy!D254))</f>
        <v>United States</v>
      </c>
      <c r="E254" t="str">
        <f>PROPER(TRIM(Raw_Data_Copy!E254))</f>
        <v>North America</v>
      </c>
      <c r="F254" t="str">
        <f>PROPER(TRIM(Raw_Data_Copy!F254))</f>
        <v>Mouse</v>
      </c>
      <c r="G254" t="str">
        <f>PROPER(TRIM(Raw_Data_Copy!G254))</f>
        <v>Electronics</v>
      </c>
      <c r="H254" t="str">
        <f>TRIM(Raw_Data_Copy!H254)</f>
        <v>2</v>
      </c>
      <c r="I254" t="str">
        <f>TRIM(Raw_Data_Copy!I254)</f>
        <v>41.38</v>
      </c>
      <c r="J254" t="str">
        <f>TRIM(Raw_Data_Copy!J254)</f>
        <v>0.2</v>
      </c>
      <c r="K254">
        <f>ROUND(Cleaned_data!$H254*Cleaned_data!$I254*(1-Cleaned_data!$J254),2)</f>
        <v>66.209999999999994</v>
      </c>
      <c r="L254" t="str">
        <f>PROPER(TRIM(Raw_Data_Copy!L254))</f>
        <v>Mobile Money</v>
      </c>
    </row>
    <row r="255" spans="1:12" x14ac:dyDescent="0.3">
      <c r="A255" t="str">
        <f>TRIM(Raw_Data_Copy!A255)</f>
        <v>ORD-0460</v>
      </c>
      <c r="B255" s="2">
        <v>45824</v>
      </c>
      <c r="C255" t="str">
        <f>TRIM(Raw_Data_Copy!C255)</f>
        <v>CUST-0033</v>
      </c>
      <c r="D255" t="str">
        <f>PROPER(TRIM(Raw_Data_Copy!D255))</f>
        <v>Nigeria</v>
      </c>
      <c r="E255" t="str">
        <f>PROPER(TRIM(Raw_Data_Copy!E255))</f>
        <v>West Africa</v>
      </c>
      <c r="F255" t="str">
        <f>PROPER(TRIM(Raw_Data_Copy!F255))</f>
        <v>Mouse</v>
      </c>
      <c r="G255" t="str">
        <f>PROPER(TRIM(Raw_Data_Copy!G255))</f>
        <v>Electronics</v>
      </c>
      <c r="H255" t="str">
        <f>TRIM(Raw_Data_Copy!H255)</f>
        <v>3</v>
      </c>
      <c r="I255" t="str">
        <f>TRIM(Raw_Data_Copy!I255)</f>
        <v>46.6</v>
      </c>
      <c r="J255" t="str">
        <f>TRIM(Raw_Data_Copy!J255)</f>
        <v>0</v>
      </c>
      <c r="K255">
        <f>ROUND(Cleaned_data!$H255*Cleaned_data!$I255*(1-Cleaned_data!$J255),2)</f>
        <v>139.80000000000001</v>
      </c>
      <c r="L255" t="str">
        <f>PROPER(TRIM(Raw_Data_Copy!L255))</f>
        <v>Card</v>
      </c>
    </row>
    <row r="256" spans="1:12" x14ac:dyDescent="0.3">
      <c r="A256" t="str">
        <f>TRIM(Raw_Data_Copy!A256)</f>
        <v>ORD-0066</v>
      </c>
      <c r="B256" s="2">
        <v>45825</v>
      </c>
      <c r="C256" t="str">
        <f>TRIM(Raw_Data_Copy!C256)</f>
        <v>CUST-0170</v>
      </c>
      <c r="D256" t="str">
        <f>PROPER(TRIM(Raw_Data_Copy!D256))</f>
        <v>South Africa</v>
      </c>
      <c r="E256" t="str">
        <f>PROPER(TRIM(Raw_Data_Copy!E256))</f>
        <v>Southern Africa</v>
      </c>
      <c r="F256" t="str">
        <f>PROPER(TRIM(Raw_Data_Copy!F256))</f>
        <v>Printer</v>
      </c>
      <c r="G256" t="str">
        <f>PROPER(TRIM(Raw_Data_Copy!G256))</f>
        <v>Office Supplies</v>
      </c>
      <c r="H256" t="str">
        <f>TRIM(Raw_Data_Copy!H256)</f>
        <v>4</v>
      </c>
      <c r="I256" t="str">
        <f>TRIM(Raw_Data_Copy!I256)</f>
        <v>268.34</v>
      </c>
      <c r="J256" t="str">
        <f>TRIM(Raw_Data_Copy!J256)</f>
        <v>0.2</v>
      </c>
      <c r="K256">
        <f>ROUND(Cleaned_data!$H256*Cleaned_data!$I256*(1-Cleaned_data!$J256),2)</f>
        <v>858.69</v>
      </c>
      <c r="L256" t="str">
        <f>PROPER(TRIM(Raw_Data_Copy!L256))</f>
        <v>Mobile Money</v>
      </c>
    </row>
    <row r="257" spans="1:12" x14ac:dyDescent="0.3">
      <c r="A257" t="str">
        <f>TRIM(Raw_Data_Copy!A257)</f>
        <v>ORD-0315</v>
      </c>
      <c r="B257" s="2">
        <v>45825</v>
      </c>
      <c r="C257" t="str">
        <f>TRIM(Raw_Data_Copy!C257)</f>
        <v>CUST-0058</v>
      </c>
      <c r="D257" t="str">
        <f>PROPER(TRIM(Raw_Data_Copy!D257))</f>
        <v>Ghana</v>
      </c>
      <c r="E257" t="str">
        <f>PROPER(TRIM(Raw_Data_Copy!E257))</f>
        <v>West Africa</v>
      </c>
      <c r="F257" t="str">
        <f>PROPER(TRIM(Raw_Data_Copy!F257))</f>
        <v>Desk</v>
      </c>
      <c r="G257" t="str">
        <f>PROPER(TRIM(Raw_Data_Copy!G257))</f>
        <v>Furniture</v>
      </c>
      <c r="H257" t="str">
        <f>TRIM(Raw_Data_Copy!H257)</f>
        <v>7</v>
      </c>
      <c r="I257" t="str">
        <f>TRIM(Raw_Data_Copy!I257)</f>
        <v>376.57</v>
      </c>
      <c r="J257" t="str">
        <f>TRIM(Raw_Data_Copy!J257)</f>
        <v>0.2</v>
      </c>
      <c r="K257">
        <f>ROUND(Cleaned_data!$H257*Cleaned_data!$I257*(1-Cleaned_data!$J257),2)</f>
        <v>2108.79</v>
      </c>
      <c r="L257" t="str">
        <f>PROPER(TRIM(Raw_Data_Copy!L257))</f>
        <v>Card</v>
      </c>
    </row>
    <row r="258" spans="1:12" x14ac:dyDescent="0.3">
      <c r="A258" t="str">
        <f>TRIM(Raw_Data_Copy!A258)</f>
        <v>ORD-0454</v>
      </c>
      <c r="B258" s="2">
        <v>45825</v>
      </c>
      <c r="C258" t="str">
        <f>TRIM(Raw_Data_Copy!C258)</f>
        <v>CUST-0083</v>
      </c>
      <c r="D258" t="str">
        <f>PROPER(TRIM(Raw_Data_Copy!D258))</f>
        <v>South Africa</v>
      </c>
      <c r="E258" t="str">
        <f>PROPER(TRIM(Raw_Data_Copy!E258))</f>
        <v>Southern Africa</v>
      </c>
      <c r="F258" t="str">
        <f>PROPER(TRIM(Raw_Data_Copy!F258))</f>
        <v>Smartphone</v>
      </c>
      <c r="G258" t="str">
        <f>PROPER(TRIM(Raw_Data_Copy!G258))</f>
        <v>Electronics</v>
      </c>
      <c r="H258" t="str">
        <f>TRIM(Raw_Data_Copy!H258)</f>
        <v>5</v>
      </c>
      <c r="I258" t="str">
        <f>TRIM(Raw_Data_Copy!I258)</f>
        <v>597.68</v>
      </c>
      <c r="J258" t="str">
        <f>TRIM(Raw_Data_Copy!J258)</f>
        <v>0.1</v>
      </c>
      <c r="K258">
        <f>ROUND(Cleaned_data!$H258*Cleaned_data!$I258*(1-Cleaned_data!$J258),2)</f>
        <v>2689.56</v>
      </c>
      <c r="L258" t="str">
        <f>PROPER(TRIM(Raw_Data_Copy!L258))</f>
        <v>Mobile Money</v>
      </c>
    </row>
    <row r="259" spans="1:12" x14ac:dyDescent="0.3">
      <c r="A259" t="str">
        <f>TRIM(Raw_Data_Copy!A259)</f>
        <v>ORD-0424</v>
      </c>
      <c r="B259" s="2">
        <v>45826</v>
      </c>
      <c r="C259" t="str">
        <f>TRIM(Raw_Data_Copy!C259)</f>
        <v>CUST-0016</v>
      </c>
      <c r="D259" t="str">
        <f>PROPER(TRIM(Raw_Data_Copy!D259))</f>
        <v>Ghana</v>
      </c>
      <c r="E259" t="str">
        <f>PROPER(TRIM(Raw_Data_Copy!E259))</f>
        <v>West Africa</v>
      </c>
      <c r="F259" t="str">
        <f>PROPER(TRIM(Raw_Data_Copy!F259))</f>
        <v>Notebook</v>
      </c>
      <c r="G259" t="str">
        <f>PROPER(TRIM(Raw_Data_Copy!G259))</f>
        <v>Office Supplies</v>
      </c>
      <c r="H259" t="str">
        <f>TRIM(Raw_Data_Copy!H259)</f>
        <v>5</v>
      </c>
      <c r="I259" t="str">
        <f>TRIM(Raw_Data_Copy!I259)</f>
        <v>15.08</v>
      </c>
      <c r="J259" t="str">
        <f>TRIM(Raw_Data_Copy!J259)</f>
        <v>0.1</v>
      </c>
      <c r="K259">
        <f>ROUND(Cleaned_data!$H259*Cleaned_data!$I259*(1-Cleaned_data!$J259),2)</f>
        <v>67.86</v>
      </c>
      <c r="L259" t="str">
        <f>PROPER(TRIM(Raw_Data_Copy!L259))</f>
        <v>Mobile Money</v>
      </c>
    </row>
    <row r="260" spans="1:12" x14ac:dyDescent="0.3">
      <c r="A260" t="str">
        <f>TRIM(Raw_Data_Copy!A260)</f>
        <v>ORD-0310</v>
      </c>
      <c r="B260" s="2">
        <v>45826</v>
      </c>
      <c r="C260" t="str">
        <f>TRIM(Raw_Data_Copy!C260)</f>
        <v>CUST-0167</v>
      </c>
      <c r="D260" t="str">
        <f>PROPER(TRIM(Raw_Data_Copy!D260))</f>
        <v>Kenya</v>
      </c>
      <c r="E260" t="str">
        <f>PROPER(TRIM(Raw_Data_Copy!E260))</f>
        <v>East Africa</v>
      </c>
      <c r="F260" t="str">
        <f>PROPER(TRIM(Raw_Data_Copy!F260))</f>
        <v>Laptop</v>
      </c>
      <c r="G260" t="str">
        <f>PROPER(TRIM(Raw_Data_Copy!G260))</f>
        <v>Electronics</v>
      </c>
      <c r="H260" t="str">
        <f>TRIM(Raw_Data_Copy!H260)</f>
        <v>8</v>
      </c>
      <c r="I260" t="str">
        <f>TRIM(Raw_Data_Copy!I260)</f>
        <v>830.66</v>
      </c>
      <c r="J260" t="str">
        <f>TRIM(Raw_Data_Copy!J260)</f>
        <v>0.2</v>
      </c>
      <c r="K260">
        <f>ROUND(Cleaned_data!$H260*Cleaned_data!$I260*(1-Cleaned_data!$J260),2)</f>
        <v>5316.22</v>
      </c>
      <c r="L260" t="str">
        <f>PROPER(TRIM(Raw_Data_Copy!L260))</f>
        <v>Bank Transfer</v>
      </c>
    </row>
    <row r="261" spans="1:12" x14ac:dyDescent="0.3">
      <c r="A261" t="str">
        <f>TRIM(Raw_Data_Copy!A261)</f>
        <v>ORD-0559</v>
      </c>
      <c r="B261" s="2">
        <v>45828</v>
      </c>
      <c r="C261" t="str">
        <f>TRIM(Raw_Data_Copy!C261)</f>
        <v>CUST-0095</v>
      </c>
      <c r="D261" t="str">
        <f>PROPER(TRIM(Raw_Data_Copy!D261))</f>
        <v>Ghana</v>
      </c>
      <c r="E261" t="str">
        <f>PROPER(TRIM(Raw_Data_Copy!E261))</f>
        <v>West Africa</v>
      </c>
      <c r="F261" t="str">
        <f>PROPER(TRIM(Raw_Data_Copy!F261))</f>
        <v>Laptop</v>
      </c>
      <c r="G261" t="str">
        <f>PROPER(TRIM(Raw_Data_Copy!G261))</f>
        <v>Electronics</v>
      </c>
      <c r="H261" t="str">
        <f>TRIM(Raw_Data_Copy!H261)</f>
        <v>3</v>
      </c>
      <c r="I261" t="str">
        <f>TRIM(Raw_Data_Copy!I261)</f>
        <v>954.26</v>
      </c>
      <c r="J261" t="str">
        <f>TRIM(Raw_Data_Copy!J261)</f>
        <v>0.1</v>
      </c>
      <c r="K261">
        <f>ROUND(Cleaned_data!$H261*Cleaned_data!$I261*(1-Cleaned_data!$J261),2)</f>
        <v>2576.5</v>
      </c>
      <c r="L261" t="str">
        <f>PROPER(TRIM(Raw_Data_Copy!L261))</f>
        <v>Bank Transfer</v>
      </c>
    </row>
    <row r="262" spans="1:12" x14ac:dyDescent="0.3">
      <c r="A262" t="str">
        <f>TRIM(Raw_Data_Copy!A262)</f>
        <v>ORD-0211</v>
      </c>
      <c r="B262" s="2">
        <v>45828</v>
      </c>
      <c r="C262" t="str">
        <f>TRIM(Raw_Data_Copy!C262)</f>
        <v>CUST-0001</v>
      </c>
      <c r="D262" t="str">
        <f>PROPER(TRIM(Raw_Data_Copy!D262))</f>
        <v>Nigeria</v>
      </c>
      <c r="E262" t="str">
        <f>PROPER(TRIM(Raw_Data_Copy!E262))</f>
        <v>West Africa</v>
      </c>
      <c r="F262" t="str">
        <f>PROPER(TRIM(Raw_Data_Copy!F262))</f>
        <v>Printer</v>
      </c>
      <c r="G262" t="str">
        <f>PROPER(TRIM(Raw_Data_Copy!G262))</f>
        <v>Office Supplies</v>
      </c>
      <c r="H262" t="str">
        <f>TRIM(Raw_Data_Copy!H262)</f>
        <v>4</v>
      </c>
      <c r="I262" t="str">
        <f>TRIM(Raw_Data_Copy!I262)</f>
        <v>266.44</v>
      </c>
      <c r="J262" t="str">
        <f>TRIM(Raw_Data_Copy!J262)</f>
        <v>0.1</v>
      </c>
      <c r="K262">
        <f>ROUND(Cleaned_data!$H262*Cleaned_data!$I262*(1-Cleaned_data!$J262),2)</f>
        <v>959.18</v>
      </c>
      <c r="L262" t="str">
        <f>PROPER(TRIM(Raw_Data_Copy!L262))</f>
        <v>Card</v>
      </c>
    </row>
    <row r="263" spans="1:12" x14ac:dyDescent="0.3">
      <c r="A263" t="str">
        <f>TRIM(Raw_Data_Copy!A263)</f>
        <v>ORD-0107</v>
      </c>
      <c r="B263" s="2">
        <v>45829</v>
      </c>
      <c r="C263" t="str">
        <f>TRIM(Raw_Data_Copy!C263)</f>
        <v>CUST-0130</v>
      </c>
      <c r="D263" t="str">
        <f>PROPER(TRIM(Raw_Data_Copy!D263))</f>
        <v>Kenya</v>
      </c>
      <c r="E263" t="str">
        <f>PROPER(TRIM(Raw_Data_Copy!E263))</f>
        <v>East Africa</v>
      </c>
      <c r="F263" t="str">
        <f>PROPER(TRIM(Raw_Data_Copy!F263))</f>
        <v>Laptop</v>
      </c>
      <c r="G263" t="str">
        <f>PROPER(TRIM(Raw_Data_Copy!G263))</f>
        <v>Electronics</v>
      </c>
      <c r="H263" t="str">
        <f>TRIM(Raw_Data_Copy!H263)</f>
        <v>6</v>
      </c>
      <c r="I263" t="str">
        <f>TRIM(Raw_Data_Copy!I263)</f>
        <v>870.59</v>
      </c>
      <c r="J263" t="str">
        <f>TRIM(Raw_Data_Copy!J263)</f>
        <v>0</v>
      </c>
      <c r="K263">
        <f>ROUND(Cleaned_data!$H263*Cleaned_data!$I263*(1-Cleaned_data!$J263),2)</f>
        <v>5223.54</v>
      </c>
      <c r="L263" t="str">
        <f>PROPER(TRIM(Raw_Data_Copy!L263))</f>
        <v>Card</v>
      </c>
    </row>
    <row r="264" spans="1:12" x14ac:dyDescent="0.3">
      <c r="A264" t="str">
        <f>TRIM(Raw_Data_Copy!A264)</f>
        <v>ORD-0279</v>
      </c>
      <c r="B264" s="2">
        <v>45829</v>
      </c>
      <c r="C264" t="str">
        <f>TRIM(Raw_Data_Copy!C264)</f>
        <v>CUST-0032</v>
      </c>
      <c r="D264" t="str">
        <f>PROPER(TRIM(Raw_Data_Copy!D264))</f>
        <v>Kenya</v>
      </c>
      <c r="E264" t="str">
        <f>PROPER(TRIM(Raw_Data_Copy!E264))</f>
        <v>East Africa</v>
      </c>
      <c r="F264" t="str">
        <f>PROPER(TRIM(Raw_Data_Copy!F264))</f>
        <v>Printer</v>
      </c>
      <c r="G264" t="str">
        <f>PROPER(TRIM(Raw_Data_Copy!G264))</f>
        <v>Office Supplies</v>
      </c>
      <c r="H264" t="str">
        <f>TRIM(Raw_Data_Copy!H264)</f>
        <v>1</v>
      </c>
      <c r="I264" t="str">
        <f>TRIM(Raw_Data_Copy!I264)</f>
        <v>233.18</v>
      </c>
      <c r="J264" t="str">
        <f>TRIM(Raw_Data_Copy!J264)</f>
        <v>0.05</v>
      </c>
      <c r="K264">
        <f>ROUND(Cleaned_data!$H264*Cleaned_data!$I264*(1-Cleaned_data!$J264),2)</f>
        <v>221.52</v>
      </c>
      <c r="L264" t="str">
        <f>PROPER(TRIM(Raw_Data_Copy!L264))</f>
        <v>Cash</v>
      </c>
    </row>
    <row r="265" spans="1:12" x14ac:dyDescent="0.3">
      <c r="A265" t="str">
        <f>TRIM(Raw_Data_Copy!A265)</f>
        <v>ORD-0234</v>
      </c>
      <c r="B265" s="2">
        <v>45829</v>
      </c>
      <c r="C265" t="str">
        <f>TRIM(Raw_Data_Copy!C265)</f>
        <v>CUST-0120</v>
      </c>
      <c r="D265" t="str">
        <f>PROPER(TRIM(Raw_Data_Copy!D265))</f>
        <v>Ghana</v>
      </c>
      <c r="E265" t="str">
        <f>PROPER(TRIM(Raw_Data_Copy!E265))</f>
        <v>West Africa</v>
      </c>
      <c r="F265" t="str">
        <f>PROPER(TRIM(Raw_Data_Copy!F265))</f>
        <v>Keyboard</v>
      </c>
      <c r="G265" t="str">
        <f>PROPER(TRIM(Raw_Data_Copy!G265))</f>
        <v>Electronics</v>
      </c>
      <c r="H265" t="str">
        <f>TRIM(Raw_Data_Copy!H265)</f>
        <v>4</v>
      </c>
      <c r="I265" t="str">
        <f>TRIM(Raw_Data_Copy!I265)</f>
        <v>78.79</v>
      </c>
      <c r="J265" t="str">
        <f>TRIM(Raw_Data_Copy!J265)</f>
        <v>0</v>
      </c>
      <c r="K265">
        <f>ROUND(Cleaned_data!$H265*Cleaned_data!$I265*(1-Cleaned_data!$J265),2)</f>
        <v>315.16000000000003</v>
      </c>
      <c r="L265" t="str">
        <f>PROPER(TRIM(Raw_Data_Copy!L265))</f>
        <v>Bank Transfer</v>
      </c>
    </row>
    <row r="266" spans="1:12" x14ac:dyDescent="0.3">
      <c r="A266" t="str">
        <f>TRIM(Raw_Data_Copy!A266)</f>
        <v>ORD-0341</v>
      </c>
      <c r="B266" s="2">
        <v>45829</v>
      </c>
      <c r="C266" t="str">
        <f>TRIM(Raw_Data_Copy!C266)</f>
        <v>CUST-0161</v>
      </c>
      <c r="D266" t="str">
        <f>PROPER(TRIM(Raw_Data_Copy!D266))</f>
        <v>United States</v>
      </c>
      <c r="E266" t="str">
        <f>PROPER(TRIM(Raw_Data_Copy!E266))</f>
        <v>North America</v>
      </c>
      <c r="F266" t="str">
        <f>PROPER(TRIM(Raw_Data_Copy!F266))</f>
        <v>Smartphone</v>
      </c>
      <c r="G266" t="str">
        <f>PROPER(TRIM(Raw_Data_Copy!G266))</f>
        <v>Electronics</v>
      </c>
      <c r="H266" t="str">
        <f>TRIM(Raw_Data_Copy!H266)</f>
        <v>5</v>
      </c>
      <c r="I266" t="str">
        <f>TRIM(Raw_Data_Copy!I266)</f>
        <v>652.79</v>
      </c>
      <c r="J266" t="str">
        <f>TRIM(Raw_Data_Copy!J266)</f>
        <v>0</v>
      </c>
      <c r="K266">
        <f>ROUND(Cleaned_data!$H266*Cleaned_data!$I266*(1-Cleaned_data!$J266),2)</f>
        <v>3263.95</v>
      </c>
      <c r="L266" t="str">
        <f>PROPER(TRIM(Raw_Data_Copy!L266))</f>
        <v>Bank Transfer</v>
      </c>
    </row>
    <row r="267" spans="1:12" x14ac:dyDescent="0.3">
      <c r="A267" t="str">
        <f>TRIM(Raw_Data_Copy!A267)</f>
        <v>ORD-0200</v>
      </c>
      <c r="B267" s="2">
        <v>45830</v>
      </c>
      <c r="C267" t="str">
        <f>TRIM(Raw_Data_Copy!C267)</f>
        <v>CUST-0136</v>
      </c>
      <c r="D267" t="str">
        <f>PROPER(TRIM(Raw_Data_Copy!D267))</f>
        <v>Nigeria</v>
      </c>
      <c r="E267" t="str">
        <f>PROPER(TRIM(Raw_Data_Copy!E267))</f>
        <v>West Africa</v>
      </c>
      <c r="F267" t="str">
        <f>PROPER(TRIM(Raw_Data_Copy!F267))</f>
        <v>Mouse</v>
      </c>
      <c r="G267" t="str">
        <f>PROPER(TRIM(Raw_Data_Copy!G267))</f>
        <v>Electronics</v>
      </c>
      <c r="H267" t="str">
        <f>TRIM(Raw_Data_Copy!H267)</f>
        <v>5</v>
      </c>
      <c r="I267" t="str">
        <f>TRIM(Raw_Data_Copy!I267)</f>
        <v>46.04</v>
      </c>
      <c r="J267" t="str">
        <f>TRIM(Raw_Data_Copy!J267)</f>
        <v>0.05</v>
      </c>
      <c r="K267">
        <f>ROUND(Cleaned_data!$H267*Cleaned_data!$I267*(1-Cleaned_data!$J267),2)</f>
        <v>218.69</v>
      </c>
      <c r="L267" t="str">
        <f>PROPER(TRIM(Raw_Data_Copy!L267))</f>
        <v>Mobile Money</v>
      </c>
    </row>
    <row r="268" spans="1:12" x14ac:dyDescent="0.3">
      <c r="A268" t="str">
        <f>TRIM(Raw_Data_Copy!A268)</f>
        <v>ORD-0405</v>
      </c>
      <c r="B268" s="2">
        <v>45830</v>
      </c>
      <c r="C268" t="str">
        <f>TRIM(Raw_Data_Copy!C268)</f>
        <v>CUST-0162</v>
      </c>
      <c r="D268" t="str">
        <f>PROPER(TRIM(Raw_Data_Copy!D268))</f>
        <v>South Africa</v>
      </c>
      <c r="E268" t="str">
        <f>PROPER(TRIM(Raw_Data_Copy!E268))</f>
        <v>Southern Africa</v>
      </c>
      <c r="F268" t="str">
        <f>PROPER(TRIM(Raw_Data_Copy!F268))</f>
        <v>Notebook</v>
      </c>
      <c r="G268" t="str">
        <f>PROPER(TRIM(Raw_Data_Copy!G268))</f>
        <v>Office Supplies</v>
      </c>
      <c r="H268" t="str">
        <f>TRIM(Raw_Data_Copy!H268)</f>
        <v>6</v>
      </c>
      <c r="I268" t="str">
        <f>TRIM(Raw_Data_Copy!I268)</f>
        <v>16.14</v>
      </c>
      <c r="J268" t="str">
        <f>TRIM(Raw_Data_Copy!J268)</f>
        <v>0.05</v>
      </c>
      <c r="K268">
        <f>ROUND(Cleaned_data!$H268*Cleaned_data!$I268*(1-Cleaned_data!$J268),2)</f>
        <v>92</v>
      </c>
      <c r="L268" t="str">
        <f>PROPER(TRIM(Raw_Data_Copy!L268))</f>
        <v>Mobile Money</v>
      </c>
    </row>
    <row r="269" spans="1:12" x14ac:dyDescent="0.3">
      <c r="A269" t="str">
        <f>TRIM(Raw_Data_Copy!A269)</f>
        <v>ORD-0195</v>
      </c>
      <c r="B269" s="2">
        <v>45831</v>
      </c>
      <c r="C269" t="str">
        <f>TRIM(Raw_Data_Copy!C269)</f>
        <v>CUST-0122</v>
      </c>
      <c r="D269" t="str">
        <f>PROPER(TRIM(Raw_Data_Copy!D269))</f>
        <v>Ghana</v>
      </c>
      <c r="E269" t="str">
        <f>PROPER(TRIM(Raw_Data_Copy!E269))</f>
        <v>West Africa</v>
      </c>
      <c r="F269" t="str">
        <f>PROPER(TRIM(Raw_Data_Copy!F269))</f>
        <v>Office Chair</v>
      </c>
      <c r="G269" t="str">
        <f>PROPER(TRIM(Raw_Data_Copy!G269))</f>
        <v>Furniture</v>
      </c>
      <c r="H269" t="str">
        <f>TRIM(Raw_Data_Copy!H269)</f>
        <v>2</v>
      </c>
      <c r="I269" t="str">
        <f>TRIM(Raw_Data_Copy!I269)</f>
        <v>215.46</v>
      </c>
      <c r="J269" t="str">
        <f>TRIM(Raw_Data_Copy!J269)</f>
        <v>0</v>
      </c>
      <c r="K269">
        <f>ROUND(Cleaned_data!$H269*Cleaned_data!$I269*(1-Cleaned_data!$J269),2)</f>
        <v>430.92</v>
      </c>
      <c r="L269" t="str">
        <f>PROPER(TRIM(Raw_Data_Copy!L269))</f>
        <v>Mobile Money</v>
      </c>
    </row>
    <row r="270" spans="1:12" x14ac:dyDescent="0.3">
      <c r="A270" t="str">
        <f>TRIM(Raw_Data_Copy!A270)</f>
        <v>ORD-0581</v>
      </c>
      <c r="B270" s="2">
        <v>45832</v>
      </c>
      <c r="C270" t="str">
        <f>TRIM(Raw_Data_Copy!C270)</f>
        <v>CUST-0017</v>
      </c>
      <c r="D270" t="str">
        <f>PROPER(TRIM(Raw_Data_Copy!D270))</f>
        <v>United Kingdom</v>
      </c>
      <c r="E270" t="str">
        <f>PROPER(TRIM(Raw_Data_Copy!E270))</f>
        <v>Europe</v>
      </c>
      <c r="F270" t="str">
        <f>PROPER(TRIM(Raw_Data_Copy!F270))</f>
        <v>Laptop</v>
      </c>
      <c r="G270" t="str">
        <f>PROPER(TRIM(Raw_Data_Copy!G270))</f>
        <v>Electronics</v>
      </c>
      <c r="H270" t="str">
        <f>TRIM(Raw_Data_Copy!H270)</f>
        <v>6</v>
      </c>
      <c r="I270" t="str">
        <f>TRIM(Raw_Data_Copy!I270)</f>
        <v>895.92</v>
      </c>
      <c r="J270" t="str">
        <f>TRIM(Raw_Data_Copy!J270)</f>
        <v>0.05</v>
      </c>
      <c r="K270">
        <f>ROUND(Cleaned_data!$H270*Cleaned_data!$I270*(1-Cleaned_data!$J270),2)</f>
        <v>5106.74</v>
      </c>
      <c r="L270" t="str">
        <f>PROPER(TRIM(Raw_Data_Copy!L270))</f>
        <v>Card</v>
      </c>
    </row>
    <row r="271" spans="1:12" x14ac:dyDescent="0.3">
      <c r="A271" t="str">
        <f>TRIM(Raw_Data_Copy!A271)</f>
        <v>ORD-0517</v>
      </c>
      <c r="B271" s="2">
        <v>45833</v>
      </c>
      <c r="C271" t="str">
        <f>TRIM(Raw_Data_Copy!C271)</f>
        <v>CUST-0027</v>
      </c>
      <c r="D271" t="str">
        <f>PROPER(TRIM(Raw_Data_Copy!D271))</f>
        <v>United Kingdom</v>
      </c>
      <c r="E271" t="str">
        <f>PROPER(TRIM(Raw_Data_Copy!E271))</f>
        <v>Europe</v>
      </c>
      <c r="F271" t="str">
        <f>PROPER(TRIM(Raw_Data_Copy!F271))</f>
        <v>Smartphone</v>
      </c>
      <c r="G271" t="str">
        <f>PROPER(TRIM(Raw_Data_Copy!G271))</f>
        <v>Electronics</v>
      </c>
      <c r="H271" t="str">
        <f>TRIM(Raw_Data_Copy!H271)</f>
        <v>8</v>
      </c>
      <c r="I271" t="str">
        <f>TRIM(Raw_Data_Copy!I271)</f>
        <v>617.37</v>
      </c>
      <c r="J271" t="str">
        <f>TRIM(Raw_Data_Copy!J271)</f>
        <v>0.1</v>
      </c>
      <c r="K271">
        <f>ROUND(Cleaned_data!$H271*Cleaned_data!$I271*(1-Cleaned_data!$J271),2)</f>
        <v>4445.0600000000004</v>
      </c>
      <c r="L271" t="str">
        <f>PROPER(TRIM(Raw_Data_Copy!L271))</f>
        <v>Card</v>
      </c>
    </row>
    <row r="272" spans="1:12" x14ac:dyDescent="0.3">
      <c r="A272" t="str">
        <f>TRIM(Raw_Data_Copy!A272)</f>
        <v>ORD-0166</v>
      </c>
      <c r="B272" s="2">
        <v>45834</v>
      </c>
      <c r="C272" t="str">
        <f>TRIM(Raw_Data_Copy!C272)</f>
        <v>CUST-0009</v>
      </c>
      <c r="D272" t="str">
        <f>PROPER(TRIM(Raw_Data_Copy!D272))</f>
        <v>Ghana</v>
      </c>
      <c r="E272" t="str">
        <f>PROPER(TRIM(Raw_Data_Copy!E272))</f>
        <v>West Africa</v>
      </c>
      <c r="F272" t="str">
        <f>PROPER(TRIM(Raw_Data_Copy!F272))</f>
        <v>Headphones</v>
      </c>
      <c r="G272" t="str">
        <f>PROPER(TRIM(Raw_Data_Copy!G272))</f>
        <v>Electronics</v>
      </c>
      <c r="H272" t="str">
        <f>TRIM(Raw_Data_Copy!H272)</f>
        <v>8</v>
      </c>
      <c r="I272" t="str">
        <f>TRIM(Raw_Data_Copy!I272)</f>
        <v>116.4</v>
      </c>
      <c r="J272" t="str">
        <f>TRIM(Raw_Data_Copy!J272)</f>
        <v>0</v>
      </c>
      <c r="K272">
        <f>ROUND(Cleaned_data!$H272*Cleaned_data!$I272*(1-Cleaned_data!$J272),2)</f>
        <v>931.2</v>
      </c>
      <c r="L272" t="str">
        <f>PROPER(TRIM(Raw_Data_Copy!L272))</f>
        <v>Cash</v>
      </c>
    </row>
    <row r="273" spans="1:12" x14ac:dyDescent="0.3">
      <c r="A273" t="str">
        <f>TRIM(Raw_Data_Copy!A273)</f>
        <v>ORD-0216</v>
      </c>
      <c r="B273" s="2">
        <v>45835</v>
      </c>
      <c r="C273" t="str">
        <f>TRIM(Raw_Data_Copy!C273)</f>
        <v>CUST-0151</v>
      </c>
      <c r="D273" t="str">
        <f>PROPER(TRIM(Raw_Data_Copy!D273))</f>
        <v>Ghana</v>
      </c>
      <c r="E273" t="str">
        <f>PROPER(TRIM(Raw_Data_Copy!E273))</f>
        <v>West Africa</v>
      </c>
      <c r="F273" t="str">
        <f>PROPER(TRIM(Raw_Data_Copy!F273))</f>
        <v>Mouse</v>
      </c>
      <c r="G273" t="str">
        <f>PROPER(TRIM(Raw_Data_Copy!G273))</f>
        <v>Electronics</v>
      </c>
      <c r="H273" t="str">
        <f>TRIM(Raw_Data_Copy!H273)</f>
        <v>2</v>
      </c>
      <c r="I273" t="str">
        <f>TRIM(Raw_Data_Copy!I273)</f>
        <v>49.26</v>
      </c>
      <c r="J273" t="str">
        <f>TRIM(Raw_Data_Copy!J273)</f>
        <v>0.1</v>
      </c>
      <c r="K273">
        <f>ROUND(Cleaned_data!$H273*Cleaned_data!$I273*(1-Cleaned_data!$J273),2)</f>
        <v>88.67</v>
      </c>
      <c r="L273" t="str">
        <f>PROPER(TRIM(Raw_Data_Copy!L273))</f>
        <v>Card</v>
      </c>
    </row>
    <row r="274" spans="1:12" x14ac:dyDescent="0.3">
      <c r="A274" t="str">
        <f>TRIM(Raw_Data_Copy!A274)</f>
        <v>ORD-0075</v>
      </c>
      <c r="B274" s="2">
        <v>45835</v>
      </c>
      <c r="C274" t="str">
        <f>TRIM(Raw_Data_Copy!C274)</f>
        <v>CUST-0028</v>
      </c>
      <c r="D274" t="str">
        <f>PROPER(TRIM(Raw_Data_Copy!D274))</f>
        <v>South Africa</v>
      </c>
      <c r="E274" t="str">
        <f>PROPER(TRIM(Raw_Data_Copy!E274))</f>
        <v>Southern Africa</v>
      </c>
      <c r="F274" t="str">
        <f>PROPER(TRIM(Raw_Data_Copy!F274))</f>
        <v>Keyboard</v>
      </c>
      <c r="G274" t="str">
        <f>PROPER(TRIM(Raw_Data_Copy!G274))</f>
        <v>Electronics</v>
      </c>
      <c r="H274" t="str">
        <f>TRIM(Raw_Data_Copy!H274)</f>
        <v>2</v>
      </c>
      <c r="I274" t="str">
        <f>TRIM(Raw_Data_Copy!I274)</f>
        <v>75.01</v>
      </c>
      <c r="J274" t="str">
        <f>TRIM(Raw_Data_Copy!J274)</f>
        <v>0.1</v>
      </c>
      <c r="K274">
        <f>ROUND(Cleaned_data!$H274*Cleaned_data!$I274*(1-Cleaned_data!$J274),2)</f>
        <v>135.02000000000001</v>
      </c>
      <c r="L274" t="str">
        <f>PROPER(TRIM(Raw_Data_Copy!L274))</f>
        <v>Card</v>
      </c>
    </row>
    <row r="275" spans="1:12" x14ac:dyDescent="0.3">
      <c r="A275" t="str">
        <f>TRIM(Raw_Data_Copy!A275)</f>
        <v>ORD-0471</v>
      </c>
      <c r="B275" s="2">
        <v>45835</v>
      </c>
      <c r="C275" t="str">
        <f>TRIM(Raw_Data_Copy!C275)</f>
        <v>CUST-0163</v>
      </c>
      <c r="D275" t="str">
        <f>PROPER(TRIM(Raw_Data_Copy!D275))</f>
        <v>Ghana</v>
      </c>
      <c r="E275" t="str">
        <f>PROPER(TRIM(Raw_Data_Copy!E275))</f>
        <v>West Africa</v>
      </c>
      <c r="F275" t="str">
        <f>PROPER(TRIM(Raw_Data_Copy!F275))</f>
        <v>Backpack</v>
      </c>
      <c r="G275" t="str">
        <f>PROPER(TRIM(Raw_Data_Copy!G275))</f>
        <v>Accessories</v>
      </c>
      <c r="H275" t="str">
        <f>TRIM(Raw_Data_Copy!H275)</f>
        <v>8</v>
      </c>
      <c r="I275" t="str">
        <f>TRIM(Raw_Data_Copy!I275)</f>
        <v>77.47</v>
      </c>
      <c r="J275" t="str">
        <f>TRIM(Raw_Data_Copy!J275)</f>
        <v>0.1</v>
      </c>
      <c r="K275">
        <f>ROUND(Cleaned_data!$H275*Cleaned_data!$I275*(1-Cleaned_data!$J275),2)</f>
        <v>557.78</v>
      </c>
      <c r="L275" t="str">
        <f>PROPER(TRIM(Raw_Data_Copy!L275))</f>
        <v>Bank Transfer</v>
      </c>
    </row>
    <row r="276" spans="1:12" x14ac:dyDescent="0.3">
      <c r="A276" t="str">
        <f>TRIM(Raw_Data_Copy!A276)</f>
        <v>ORD-0344</v>
      </c>
      <c r="B276" s="2">
        <v>45836</v>
      </c>
      <c r="C276" t="str">
        <f>TRIM(Raw_Data_Copy!C276)</f>
        <v>CUST-0132</v>
      </c>
      <c r="D276" t="str">
        <f>PROPER(TRIM(Raw_Data_Copy!D276))</f>
        <v>Ghana</v>
      </c>
      <c r="E276" t="str">
        <f>PROPER(TRIM(Raw_Data_Copy!E276))</f>
        <v>West Africa</v>
      </c>
      <c r="F276" t="str">
        <f>PROPER(TRIM(Raw_Data_Copy!F276))</f>
        <v>Backpack</v>
      </c>
      <c r="G276" t="str">
        <f>PROPER(TRIM(Raw_Data_Copy!G276))</f>
        <v>Accessories</v>
      </c>
      <c r="H276" t="str">
        <f>TRIM(Raw_Data_Copy!H276)</f>
        <v>8</v>
      </c>
      <c r="I276" t="str">
        <f>TRIM(Raw_Data_Copy!I276)</f>
        <v>81.72</v>
      </c>
      <c r="J276" t="str">
        <f>TRIM(Raw_Data_Copy!J276)</f>
        <v>0.1</v>
      </c>
      <c r="K276">
        <f>ROUND(Cleaned_data!$H276*Cleaned_data!$I276*(1-Cleaned_data!$J276),2)</f>
        <v>588.38</v>
      </c>
      <c r="L276" t="str">
        <f>PROPER(TRIM(Raw_Data_Copy!L276))</f>
        <v>Bank Transfer</v>
      </c>
    </row>
    <row r="277" spans="1:12" x14ac:dyDescent="0.3">
      <c r="A277" t="str">
        <f>TRIM(Raw_Data_Copy!A277)</f>
        <v>ORD-0021</v>
      </c>
      <c r="B277" s="2">
        <v>45837</v>
      </c>
      <c r="C277" t="str">
        <f>TRIM(Raw_Data_Copy!C277)</f>
        <v>CUST-0113</v>
      </c>
      <c r="D277" t="str">
        <f>PROPER(TRIM(Raw_Data_Copy!D277))</f>
        <v>Nigeria</v>
      </c>
      <c r="E277" t="str">
        <f>PROPER(TRIM(Raw_Data_Copy!E277))</f>
        <v>West Africa</v>
      </c>
      <c r="F277" t="str">
        <f>PROPER(TRIM(Raw_Data_Copy!F277))</f>
        <v>Keyboard</v>
      </c>
      <c r="G277" t="str">
        <f>PROPER(TRIM(Raw_Data_Copy!G277))</f>
        <v>Electronics</v>
      </c>
      <c r="H277" t="str">
        <f>TRIM(Raw_Data_Copy!H277)</f>
        <v>7</v>
      </c>
      <c r="I277" t="str">
        <f>TRIM(Raw_Data_Copy!I277)</f>
        <v>74.69</v>
      </c>
      <c r="J277" t="str">
        <f>TRIM(Raw_Data_Copy!J277)</f>
        <v>0.05</v>
      </c>
      <c r="K277">
        <f>ROUND(Cleaned_data!$H277*Cleaned_data!$I277*(1-Cleaned_data!$J277),2)</f>
        <v>496.69</v>
      </c>
      <c r="L277" t="str">
        <f>PROPER(TRIM(Raw_Data_Copy!L277))</f>
        <v>Mobile Money</v>
      </c>
    </row>
    <row r="278" spans="1:12" x14ac:dyDescent="0.3">
      <c r="A278" t="str">
        <f>TRIM(Raw_Data_Copy!A278)</f>
        <v>ORD-0441</v>
      </c>
      <c r="B278" s="2">
        <v>45838</v>
      </c>
      <c r="C278" t="str">
        <f>TRIM(Raw_Data_Copy!C278)</f>
        <v>CUST-0116</v>
      </c>
      <c r="D278" t="str">
        <f>PROPER(TRIM(Raw_Data_Copy!D278))</f>
        <v>South Africa</v>
      </c>
      <c r="E278" t="str">
        <f>PROPER(TRIM(Raw_Data_Copy!E278))</f>
        <v>Southern Africa</v>
      </c>
      <c r="F278" t="str">
        <f>PROPER(TRIM(Raw_Data_Copy!F278))</f>
        <v>Keyboard</v>
      </c>
      <c r="G278" t="str">
        <f>PROPER(TRIM(Raw_Data_Copy!G278))</f>
        <v>Electronics</v>
      </c>
      <c r="H278" t="str">
        <f>TRIM(Raw_Data_Copy!H278)</f>
        <v>8</v>
      </c>
      <c r="I278" t="str">
        <f>TRIM(Raw_Data_Copy!I278)</f>
        <v>82.47</v>
      </c>
      <c r="J278" t="str">
        <f>TRIM(Raw_Data_Copy!J278)</f>
        <v>0</v>
      </c>
      <c r="K278">
        <f>ROUND(Cleaned_data!$H278*Cleaned_data!$I278*(1-Cleaned_data!$J278),2)</f>
        <v>659.76</v>
      </c>
      <c r="L278" t="str">
        <f>PROPER(TRIM(Raw_Data_Copy!L278))</f>
        <v>Bank Transfer</v>
      </c>
    </row>
    <row r="279" spans="1:12" x14ac:dyDescent="0.3">
      <c r="A279" t="str">
        <f>TRIM(Raw_Data_Copy!A279)</f>
        <v>ORD-0123</v>
      </c>
      <c r="B279" s="2">
        <v>45839</v>
      </c>
      <c r="C279" t="str">
        <f>TRIM(Raw_Data_Copy!C279)</f>
        <v>CUST-0057</v>
      </c>
      <c r="D279" t="str">
        <f>PROPER(TRIM(Raw_Data_Copy!D279))</f>
        <v>United States</v>
      </c>
      <c r="E279" t="str">
        <f>PROPER(TRIM(Raw_Data_Copy!E279))</f>
        <v>North America</v>
      </c>
      <c r="F279" t="str">
        <f>PROPER(TRIM(Raw_Data_Copy!F279))</f>
        <v>Monitor</v>
      </c>
      <c r="G279" t="str">
        <f>PROPER(TRIM(Raw_Data_Copy!G279))</f>
        <v>Electronics</v>
      </c>
      <c r="H279" t="str">
        <f>TRIM(Raw_Data_Copy!H279)</f>
        <v>1</v>
      </c>
      <c r="I279" t="str">
        <f>TRIM(Raw_Data_Copy!I279)</f>
        <v>276.79</v>
      </c>
      <c r="J279" t="str">
        <f>TRIM(Raw_Data_Copy!J279)</f>
        <v>0.3</v>
      </c>
      <c r="K279">
        <f>ROUND(Cleaned_data!$H279*Cleaned_data!$I279*(1-Cleaned_data!$J279),2)</f>
        <v>193.75</v>
      </c>
      <c r="L279" t="str">
        <f>PROPER(TRIM(Raw_Data_Copy!L279))</f>
        <v>Bank Transfer</v>
      </c>
    </row>
    <row r="280" spans="1:12" x14ac:dyDescent="0.3">
      <c r="A280" t="str">
        <f>TRIM(Raw_Data_Copy!A280)</f>
        <v>ORD-0157</v>
      </c>
      <c r="B280" s="2">
        <v>45840</v>
      </c>
      <c r="C280" t="str">
        <f>TRIM(Raw_Data_Copy!C280)</f>
        <v>CUST-0108</v>
      </c>
      <c r="D280" t="str">
        <f>PROPER(TRIM(Raw_Data_Copy!D280))</f>
        <v>Nigeria</v>
      </c>
      <c r="E280" t="str">
        <f>PROPER(TRIM(Raw_Data_Copy!E280))</f>
        <v>West Africa</v>
      </c>
      <c r="F280" t="str">
        <f>PROPER(TRIM(Raw_Data_Copy!F280))</f>
        <v>Desk Lamp</v>
      </c>
      <c r="G280" t="str">
        <f>PROPER(TRIM(Raw_Data_Copy!G280))</f>
        <v>Furniture</v>
      </c>
      <c r="H280" t="str">
        <f>TRIM(Raw_Data_Copy!H280)</f>
        <v>4</v>
      </c>
      <c r="I280" t="str">
        <f>TRIM(Raw_Data_Copy!I280)</f>
        <v>54.79</v>
      </c>
      <c r="J280" t="str">
        <f>TRIM(Raw_Data_Copy!J280)</f>
        <v>0.2</v>
      </c>
      <c r="K280">
        <f>ROUND(Cleaned_data!$H280*Cleaned_data!$I280*(1-Cleaned_data!$J280),2)</f>
        <v>175.33</v>
      </c>
      <c r="L280" t="str">
        <f>PROPER(TRIM(Raw_Data_Copy!L280))</f>
        <v>Mobile Money</v>
      </c>
    </row>
    <row r="281" spans="1:12" x14ac:dyDescent="0.3">
      <c r="A281" t="str">
        <f>TRIM(Raw_Data_Copy!A281)</f>
        <v>ORD-0378</v>
      </c>
      <c r="B281" s="2">
        <v>45840</v>
      </c>
      <c r="C281" t="str">
        <f>TRIM(Raw_Data_Copy!C281)</f>
        <v>CUST-0102</v>
      </c>
      <c r="D281" t="str">
        <f>PROPER(TRIM(Raw_Data_Copy!D281))</f>
        <v>Ghana</v>
      </c>
      <c r="E281" t="str">
        <f>PROPER(TRIM(Raw_Data_Copy!E281))</f>
        <v>West Africa</v>
      </c>
      <c r="F281" t="str">
        <f>PROPER(TRIM(Raw_Data_Copy!F281))</f>
        <v>Headphones</v>
      </c>
      <c r="G281" t="str">
        <f>PROPER(TRIM(Raw_Data_Copy!G281))</f>
        <v>Electronics</v>
      </c>
      <c r="H281" t="str">
        <f>TRIM(Raw_Data_Copy!H281)</f>
        <v>2</v>
      </c>
      <c r="I281" t="str">
        <f>TRIM(Raw_Data_Copy!I281)</f>
        <v>131.54</v>
      </c>
      <c r="J281" t="str">
        <f>TRIM(Raw_Data_Copy!J281)</f>
        <v>0.1</v>
      </c>
      <c r="K281">
        <f>ROUND(Cleaned_data!$H281*Cleaned_data!$I281*(1-Cleaned_data!$J281),2)</f>
        <v>236.77</v>
      </c>
      <c r="L281" t="str">
        <f>PROPER(TRIM(Raw_Data_Copy!L281))</f>
        <v>Bank Transfer</v>
      </c>
    </row>
    <row r="282" spans="1:12" x14ac:dyDescent="0.3">
      <c r="A282" t="str">
        <f>TRIM(Raw_Data_Copy!A282)</f>
        <v>ORD-0060</v>
      </c>
      <c r="B282" s="2">
        <v>45840</v>
      </c>
      <c r="C282" t="str">
        <f>TRIM(Raw_Data_Copy!C282)</f>
        <v>CUST-0013</v>
      </c>
      <c r="D282" t="str">
        <f>PROPER(TRIM(Raw_Data_Copy!D282))</f>
        <v>Nigeria</v>
      </c>
      <c r="E282" t="str">
        <f>PROPER(TRIM(Raw_Data_Copy!E282))</f>
        <v>West Africa</v>
      </c>
      <c r="F282" t="str">
        <f>PROPER(TRIM(Raw_Data_Copy!F282))</f>
        <v>Monitor</v>
      </c>
      <c r="G282" t="str">
        <f>PROPER(TRIM(Raw_Data_Copy!G282))</f>
        <v>Electronics</v>
      </c>
      <c r="H282" t="str">
        <f>TRIM(Raw_Data_Copy!H282)</f>
        <v>8</v>
      </c>
      <c r="I282" t="str">
        <f>TRIM(Raw_Data_Copy!I282)</f>
        <v>290.45</v>
      </c>
      <c r="J282" t="str">
        <f>TRIM(Raw_Data_Copy!J282)</f>
        <v>0.25</v>
      </c>
      <c r="K282">
        <f>ROUND(Cleaned_data!$H282*Cleaned_data!$I282*(1-Cleaned_data!$J282),2)</f>
        <v>1742.7</v>
      </c>
      <c r="L282" t="str">
        <f>PROPER(TRIM(Raw_Data_Copy!L282))</f>
        <v>Bank Transfer</v>
      </c>
    </row>
    <row r="283" spans="1:12" x14ac:dyDescent="0.3">
      <c r="A283" t="str">
        <f>TRIM(Raw_Data_Copy!A283)</f>
        <v>ORD-0050</v>
      </c>
      <c r="B283" s="2">
        <v>45842</v>
      </c>
      <c r="C283" t="str">
        <f>TRIM(Raw_Data_Copy!C283)</f>
        <v>CUST-0029</v>
      </c>
      <c r="D283" t="str">
        <f>PROPER(TRIM(Raw_Data_Copy!D283))</f>
        <v>South Africa</v>
      </c>
      <c r="E283" t="str">
        <f>PROPER(TRIM(Raw_Data_Copy!E283))</f>
        <v>Southern Africa</v>
      </c>
      <c r="F283" t="str">
        <f>PROPER(TRIM(Raw_Data_Copy!F283))</f>
        <v>Monitor</v>
      </c>
      <c r="G283" t="str">
        <f>PROPER(TRIM(Raw_Data_Copy!G283))</f>
        <v>Electronics</v>
      </c>
      <c r="H283" t="str">
        <f>TRIM(Raw_Data_Copy!H283)</f>
        <v>3</v>
      </c>
      <c r="I283" t="str">
        <f>TRIM(Raw_Data_Copy!I283)</f>
        <v>284.86</v>
      </c>
      <c r="J283" t="str">
        <f>TRIM(Raw_Data_Copy!J283)</f>
        <v>0.05</v>
      </c>
      <c r="K283">
        <f>ROUND(Cleaned_data!$H283*Cleaned_data!$I283*(1-Cleaned_data!$J283),2)</f>
        <v>811.85</v>
      </c>
      <c r="L283" t="str">
        <f>PROPER(TRIM(Raw_Data_Copy!L283))</f>
        <v>Bank Transfer</v>
      </c>
    </row>
    <row r="284" spans="1:12" x14ac:dyDescent="0.3">
      <c r="A284" t="str">
        <f>TRIM(Raw_Data_Copy!A284)</f>
        <v>ORD-0411</v>
      </c>
      <c r="B284" s="2">
        <v>45843</v>
      </c>
      <c r="C284" t="str">
        <f>TRIM(Raw_Data_Copy!C284)</f>
        <v>CUST-0027</v>
      </c>
      <c r="D284" t="str">
        <f>PROPER(TRIM(Raw_Data_Copy!D284))</f>
        <v>South Africa</v>
      </c>
      <c r="E284" t="str">
        <f>PROPER(TRIM(Raw_Data_Copy!E284))</f>
        <v>Southern Africa</v>
      </c>
      <c r="F284" t="str">
        <f>PROPER(TRIM(Raw_Data_Copy!F284))</f>
        <v>Office Chair</v>
      </c>
      <c r="G284" t="str">
        <f>PROPER(TRIM(Raw_Data_Copy!G284))</f>
        <v>Furniture</v>
      </c>
      <c r="H284" t="str">
        <f>TRIM(Raw_Data_Copy!H284)</f>
        <v>7</v>
      </c>
      <c r="I284" t="str">
        <f>TRIM(Raw_Data_Copy!I284)</f>
        <v>232.06</v>
      </c>
      <c r="J284" t="str">
        <f>TRIM(Raw_Data_Copy!J284)</f>
        <v>0.15</v>
      </c>
      <c r="K284">
        <f>ROUND(Cleaned_data!$H284*Cleaned_data!$I284*(1-Cleaned_data!$J284),2)</f>
        <v>1380.76</v>
      </c>
      <c r="L284" t="str">
        <f>PROPER(TRIM(Raw_Data_Copy!L284))</f>
        <v>Mobile Money</v>
      </c>
    </row>
    <row r="285" spans="1:12" x14ac:dyDescent="0.3">
      <c r="A285" t="str">
        <f>TRIM(Raw_Data_Copy!A285)</f>
        <v>ORD-0547</v>
      </c>
      <c r="B285" s="2">
        <v>45844</v>
      </c>
      <c r="C285" t="str">
        <f>TRIM(Raw_Data_Copy!C285)</f>
        <v>CUST-0166</v>
      </c>
      <c r="D285" t="str">
        <f>PROPER(TRIM(Raw_Data_Copy!D285))</f>
        <v>United States</v>
      </c>
      <c r="E285" t="str">
        <f>PROPER(TRIM(Raw_Data_Copy!E285))</f>
        <v>North America</v>
      </c>
      <c r="F285" t="str">
        <f>PROPER(TRIM(Raw_Data_Copy!F285))</f>
        <v>Backpack</v>
      </c>
      <c r="G285" t="str">
        <f>PROPER(TRIM(Raw_Data_Copy!G285))</f>
        <v>Accessories</v>
      </c>
      <c r="H285" t="str">
        <f>TRIM(Raw_Data_Copy!H285)</f>
        <v>4</v>
      </c>
      <c r="I285" t="str">
        <f>TRIM(Raw_Data_Copy!I285)</f>
        <v>82.05</v>
      </c>
      <c r="J285" t="str">
        <f>TRIM(Raw_Data_Copy!J285)</f>
        <v>0.25</v>
      </c>
      <c r="K285">
        <f>ROUND(Cleaned_data!$H285*Cleaned_data!$I285*(1-Cleaned_data!$J285),2)</f>
        <v>246.15</v>
      </c>
      <c r="L285" t="str">
        <f>PROPER(TRIM(Raw_Data_Copy!L285))</f>
        <v>Bank Transfer</v>
      </c>
    </row>
    <row r="286" spans="1:12" x14ac:dyDescent="0.3">
      <c r="A286" t="str">
        <f>TRIM(Raw_Data_Copy!A286)</f>
        <v>ORD-0410</v>
      </c>
      <c r="B286" s="2">
        <v>45845</v>
      </c>
      <c r="C286" t="str">
        <f>TRIM(Raw_Data_Copy!C286)</f>
        <v>CUST-0090</v>
      </c>
      <c r="D286" t="str">
        <f>PROPER(TRIM(Raw_Data_Copy!D286))</f>
        <v>Kenya</v>
      </c>
      <c r="E286" t="str">
        <f>PROPER(TRIM(Raw_Data_Copy!E286))</f>
        <v>East Africa</v>
      </c>
      <c r="F286" t="str">
        <f>PROPER(TRIM(Raw_Data_Copy!F286))</f>
        <v>Backpack</v>
      </c>
      <c r="G286" t="str">
        <f>PROPER(TRIM(Raw_Data_Copy!G286))</f>
        <v>Accessories</v>
      </c>
      <c r="H286" t="str">
        <f>TRIM(Raw_Data_Copy!H286)</f>
        <v>4</v>
      </c>
      <c r="I286" t="str">
        <f>TRIM(Raw_Data_Copy!I286)</f>
        <v>67.65</v>
      </c>
      <c r="J286" t="str">
        <f>TRIM(Raw_Data_Copy!J286)</f>
        <v>0.1</v>
      </c>
      <c r="K286">
        <f>ROUND(Cleaned_data!$H286*Cleaned_data!$I286*(1-Cleaned_data!$J286),2)</f>
        <v>243.54</v>
      </c>
      <c r="L286" t="str">
        <f>PROPER(TRIM(Raw_Data_Copy!L286))</f>
        <v>Cash</v>
      </c>
    </row>
    <row r="287" spans="1:12" x14ac:dyDescent="0.3">
      <c r="A287" t="str">
        <f>TRIM(Raw_Data_Copy!A287)</f>
        <v>ORD-0440</v>
      </c>
      <c r="B287" s="2">
        <v>45846</v>
      </c>
      <c r="C287" t="str">
        <f>TRIM(Raw_Data_Copy!C287)</f>
        <v>CUST-0164</v>
      </c>
      <c r="D287" t="str">
        <f>PROPER(TRIM(Raw_Data_Copy!D287))</f>
        <v>United States</v>
      </c>
      <c r="E287" t="str">
        <f>PROPER(TRIM(Raw_Data_Copy!E287))</f>
        <v>North America</v>
      </c>
      <c r="F287" t="str">
        <f>PROPER(TRIM(Raw_Data_Copy!F287))</f>
        <v>Desk</v>
      </c>
      <c r="G287" t="str">
        <f>PROPER(TRIM(Raw_Data_Copy!G287))</f>
        <v>Furniture</v>
      </c>
      <c r="H287" t="str">
        <f>TRIM(Raw_Data_Copy!H287)</f>
        <v>1</v>
      </c>
      <c r="I287" t="str">
        <f>TRIM(Raw_Data_Copy!I287)</f>
        <v>343.66</v>
      </c>
      <c r="J287" t="str">
        <f>TRIM(Raw_Data_Copy!J287)</f>
        <v>0.2</v>
      </c>
      <c r="K287">
        <f>ROUND(Cleaned_data!$H287*Cleaned_data!$I287*(1-Cleaned_data!$J287),2)</f>
        <v>274.93</v>
      </c>
      <c r="L287" t="str">
        <f>PROPER(TRIM(Raw_Data_Copy!L287))</f>
        <v>Bank Transfer</v>
      </c>
    </row>
    <row r="288" spans="1:12" x14ac:dyDescent="0.3">
      <c r="A288" t="str">
        <f>TRIM(Raw_Data_Copy!A288)</f>
        <v>ORD-0550</v>
      </c>
      <c r="B288" s="2">
        <v>45847</v>
      </c>
      <c r="C288" t="str">
        <f>TRIM(Raw_Data_Copy!C288)</f>
        <v>CUST-0052</v>
      </c>
      <c r="D288" t="str">
        <f>PROPER(TRIM(Raw_Data_Copy!D288))</f>
        <v>United States</v>
      </c>
      <c r="E288" t="str">
        <f>PROPER(TRIM(Raw_Data_Copy!E288))</f>
        <v>North America</v>
      </c>
      <c r="F288" t="str">
        <f>PROPER(TRIM(Raw_Data_Copy!F288))</f>
        <v>Notebook</v>
      </c>
      <c r="G288" t="str">
        <f>PROPER(TRIM(Raw_Data_Copy!G288))</f>
        <v>Office Supplies</v>
      </c>
      <c r="H288" t="str">
        <f>TRIM(Raw_Data_Copy!H288)</f>
        <v>4</v>
      </c>
      <c r="I288" t="str">
        <f>TRIM(Raw_Data_Copy!I288)</f>
        <v>15.17</v>
      </c>
      <c r="J288" t="str">
        <f>TRIM(Raw_Data_Copy!J288)</f>
        <v>0.2</v>
      </c>
      <c r="K288">
        <f>ROUND(Cleaned_data!$H288*Cleaned_data!$I288*(1-Cleaned_data!$J288),2)</f>
        <v>48.54</v>
      </c>
      <c r="L288" t="str">
        <f>PROPER(TRIM(Raw_Data_Copy!L288))</f>
        <v>Bank Transfer</v>
      </c>
    </row>
    <row r="289" spans="1:12" x14ac:dyDescent="0.3">
      <c r="A289" t="str">
        <f>TRIM(Raw_Data_Copy!A289)</f>
        <v>ORD-0251</v>
      </c>
      <c r="B289" s="2">
        <v>45847</v>
      </c>
      <c r="C289" t="str">
        <f>TRIM(Raw_Data_Copy!C289)</f>
        <v>CUST-0151</v>
      </c>
      <c r="D289" t="str">
        <f>PROPER(TRIM(Raw_Data_Copy!D289))</f>
        <v>Nigeria</v>
      </c>
      <c r="E289" t="str">
        <f>PROPER(TRIM(Raw_Data_Copy!E289))</f>
        <v>West Africa</v>
      </c>
      <c r="F289" t="str">
        <f>PROPER(TRIM(Raw_Data_Copy!F289))</f>
        <v>Smartphone</v>
      </c>
      <c r="G289" t="str">
        <f>PROPER(TRIM(Raw_Data_Copy!G289))</f>
        <v>Electronics</v>
      </c>
      <c r="H289" t="str">
        <f>TRIM(Raw_Data_Copy!H289)</f>
        <v>3</v>
      </c>
      <c r="I289" t="str">
        <f>TRIM(Raw_Data_Copy!I289)</f>
        <v>616.08</v>
      </c>
      <c r="J289" t="str">
        <f>TRIM(Raw_Data_Copy!J289)</f>
        <v>0.1</v>
      </c>
      <c r="K289">
        <f>ROUND(Cleaned_data!$H289*Cleaned_data!$I289*(1-Cleaned_data!$J289),2)</f>
        <v>1663.42</v>
      </c>
      <c r="L289" t="str">
        <f>PROPER(TRIM(Raw_Data_Copy!L289))</f>
        <v>Bank Transfer</v>
      </c>
    </row>
    <row r="290" spans="1:12" x14ac:dyDescent="0.3">
      <c r="A290" t="str">
        <f>TRIM(Raw_Data_Copy!A290)</f>
        <v>ORD-0085</v>
      </c>
      <c r="B290" s="2">
        <v>45849</v>
      </c>
      <c r="C290" t="str">
        <f>TRIM(Raw_Data_Copy!C290)</f>
        <v>CUST-0038</v>
      </c>
      <c r="D290" t="str">
        <f>PROPER(TRIM(Raw_Data_Copy!D290))</f>
        <v>Kenya</v>
      </c>
      <c r="E290" t="str">
        <f>PROPER(TRIM(Raw_Data_Copy!E290))</f>
        <v>East Africa</v>
      </c>
      <c r="F290" t="str">
        <f>PROPER(TRIM(Raw_Data_Copy!F290))</f>
        <v>Desk</v>
      </c>
      <c r="G290" t="str">
        <f>PROPER(TRIM(Raw_Data_Copy!G290))</f>
        <v>Furniture</v>
      </c>
      <c r="H290" t="str">
        <f>TRIM(Raw_Data_Copy!H290)</f>
        <v>5</v>
      </c>
      <c r="I290" t="str">
        <f>TRIM(Raw_Data_Copy!I290)</f>
        <v>359.76</v>
      </c>
      <c r="J290" t="str">
        <f>TRIM(Raw_Data_Copy!J290)</f>
        <v>0.2</v>
      </c>
      <c r="K290">
        <f>ROUND(Cleaned_data!$H290*Cleaned_data!$I290*(1-Cleaned_data!$J290),2)</f>
        <v>1439.04</v>
      </c>
      <c r="L290" t="str">
        <f>PROPER(TRIM(Raw_Data_Copy!L290))</f>
        <v>Cash</v>
      </c>
    </row>
    <row r="291" spans="1:12" x14ac:dyDescent="0.3">
      <c r="A291" t="str">
        <f>TRIM(Raw_Data_Copy!A291)</f>
        <v>ORD-0049</v>
      </c>
      <c r="B291" s="2">
        <v>45849</v>
      </c>
      <c r="C291" t="str">
        <f>TRIM(Raw_Data_Copy!C291)</f>
        <v>CUST-0069</v>
      </c>
      <c r="D291" t="str">
        <f>PROPER(TRIM(Raw_Data_Copy!D291))</f>
        <v>Kenya</v>
      </c>
      <c r="E291" t="str">
        <f>PROPER(TRIM(Raw_Data_Copy!E291))</f>
        <v>East Africa</v>
      </c>
      <c r="F291" t="str">
        <f>PROPER(TRIM(Raw_Data_Copy!F291))</f>
        <v>Mouse</v>
      </c>
      <c r="G291" t="str">
        <f>PROPER(TRIM(Raw_Data_Copy!G291))</f>
        <v>Electronics</v>
      </c>
      <c r="H291" t="str">
        <f>TRIM(Raw_Data_Copy!H291)</f>
        <v>8</v>
      </c>
      <c r="I291" t="str">
        <f>TRIM(Raw_Data_Copy!I291)</f>
        <v>48.91</v>
      </c>
      <c r="J291" t="str">
        <f>TRIM(Raw_Data_Copy!J291)</f>
        <v>0.15</v>
      </c>
      <c r="K291">
        <f>ROUND(Cleaned_data!$H291*Cleaned_data!$I291*(1-Cleaned_data!$J291),2)</f>
        <v>332.59</v>
      </c>
      <c r="L291" t="str">
        <f>PROPER(TRIM(Raw_Data_Copy!L291))</f>
        <v>Mobile Money</v>
      </c>
    </row>
    <row r="292" spans="1:12" x14ac:dyDescent="0.3">
      <c r="A292" t="str">
        <f>TRIM(Raw_Data_Copy!A292)</f>
        <v>ORD-0221</v>
      </c>
      <c r="B292" s="2">
        <v>45849</v>
      </c>
      <c r="C292" t="str">
        <f>TRIM(Raw_Data_Copy!C292)</f>
        <v>CUST-0063</v>
      </c>
      <c r="D292" t="str">
        <f>PROPER(TRIM(Raw_Data_Copy!D292))</f>
        <v>Ghana</v>
      </c>
      <c r="E292" t="str">
        <f>PROPER(TRIM(Raw_Data_Copy!E292))</f>
        <v>West Africa</v>
      </c>
      <c r="F292" t="str">
        <f>PROPER(TRIM(Raw_Data_Copy!F292))</f>
        <v>Desk</v>
      </c>
      <c r="G292" t="str">
        <f>PROPER(TRIM(Raw_Data_Copy!G292))</f>
        <v>Furniture</v>
      </c>
      <c r="H292" t="str">
        <f>TRIM(Raw_Data_Copy!H292)</f>
        <v>8</v>
      </c>
      <c r="I292" t="str">
        <f>TRIM(Raw_Data_Copy!I292)</f>
        <v>360.59</v>
      </c>
      <c r="J292" t="str">
        <f>TRIM(Raw_Data_Copy!J292)</f>
        <v>0</v>
      </c>
      <c r="K292">
        <f>ROUND(Cleaned_data!$H292*Cleaned_data!$I292*(1-Cleaned_data!$J292),2)</f>
        <v>2884.72</v>
      </c>
      <c r="L292" t="str">
        <f>PROPER(TRIM(Raw_Data_Copy!L292))</f>
        <v>Mobile Money</v>
      </c>
    </row>
    <row r="293" spans="1:12" x14ac:dyDescent="0.3">
      <c r="A293" t="str">
        <f>TRIM(Raw_Data_Copy!A293)</f>
        <v>ORD-0537</v>
      </c>
      <c r="B293" s="2">
        <v>45849</v>
      </c>
      <c r="C293" t="str">
        <f>TRIM(Raw_Data_Copy!C293)</f>
        <v>CUST-0136</v>
      </c>
      <c r="D293" t="str">
        <f>PROPER(TRIM(Raw_Data_Copy!D293))</f>
        <v>Ghana</v>
      </c>
      <c r="E293" t="str">
        <f>PROPER(TRIM(Raw_Data_Copy!E293))</f>
        <v>West Africa</v>
      </c>
      <c r="F293" t="str">
        <f>PROPER(TRIM(Raw_Data_Copy!F293))</f>
        <v>Keyboard</v>
      </c>
      <c r="G293" t="str">
        <f>PROPER(TRIM(Raw_Data_Copy!G293))</f>
        <v>Electronics</v>
      </c>
      <c r="H293" t="str">
        <f>TRIM(Raw_Data_Copy!H293)</f>
        <v>8</v>
      </c>
      <c r="I293" t="str">
        <f>TRIM(Raw_Data_Copy!I293)</f>
        <v>72.14</v>
      </c>
      <c r="J293" t="str">
        <f>TRIM(Raw_Data_Copy!J293)</f>
        <v>0</v>
      </c>
      <c r="K293">
        <f>ROUND(Cleaned_data!$H293*Cleaned_data!$I293*(1-Cleaned_data!$J293),2)</f>
        <v>577.12</v>
      </c>
      <c r="L293" t="str">
        <f>PROPER(TRIM(Raw_Data_Copy!L293))</f>
        <v>Card</v>
      </c>
    </row>
    <row r="294" spans="1:12" x14ac:dyDescent="0.3">
      <c r="A294" t="str">
        <f>TRIM(Raw_Data_Copy!A294)</f>
        <v>ORD-0506</v>
      </c>
      <c r="B294" s="2">
        <v>45849</v>
      </c>
      <c r="C294" t="str">
        <f>TRIM(Raw_Data_Copy!C294)</f>
        <v>CUST-0044</v>
      </c>
      <c r="D294" t="str">
        <f>PROPER(TRIM(Raw_Data_Copy!D294))</f>
        <v>United Kingdom</v>
      </c>
      <c r="E294" t="str">
        <f>PROPER(TRIM(Raw_Data_Copy!E294))</f>
        <v>Europe</v>
      </c>
      <c r="F294" t="str">
        <f>PROPER(TRIM(Raw_Data_Copy!F294))</f>
        <v>Monitor</v>
      </c>
      <c r="G294" t="str">
        <f>PROPER(TRIM(Raw_Data_Copy!G294))</f>
        <v>Electronics</v>
      </c>
      <c r="H294" t="str">
        <f>TRIM(Raw_Data_Copy!H294)</f>
        <v>8</v>
      </c>
      <c r="I294" t="str">
        <f>TRIM(Raw_Data_Copy!I294)</f>
        <v>301.08</v>
      </c>
      <c r="J294" t="str">
        <f>TRIM(Raw_Data_Copy!J294)</f>
        <v>0</v>
      </c>
      <c r="K294">
        <f>ROUND(Cleaned_data!$H294*Cleaned_data!$I294*(1-Cleaned_data!$J294),2)</f>
        <v>2408.64</v>
      </c>
      <c r="L294" t="str">
        <f>PROPER(TRIM(Raw_Data_Copy!L294))</f>
        <v>Mobile Money</v>
      </c>
    </row>
    <row r="295" spans="1:12" x14ac:dyDescent="0.3">
      <c r="A295" t="str">
        <f>TRIM(Raw_Data_Copy!A295)</f>
        <v>ORD-0351</v>
      </c>
      <c r="B295" s="2">
        <v>45849</v>
      </c>
      <c r="C295" t="str">
        <f>TRIM(Raw_Data_Copy!C295)</f>
        <v>CUST-0011</v>
      </c>
      <c r="D295" t="str">
        <f>PROPER(TRIM(Raw_Data_Copy!D295))</f>
        <v>United Kingdom</v>
      </c>
      <c r="E295" t="str">
        <f>PROPER(TRIM(Raw_Data_Copy!E295))</f>
        <v>Europe</v>
      </c>
      <c r="F295" t="str">
        <f>PROPER(TRIM(Raw_Data_Copy!F295))</f>
        <v>Desk</v>
      </c>
      <c r="G295" t="str">
        <f>PROPER(TRIM(Raw_Data_Copy!G295))</f>
        <v>Furniture</v>
      </c>
      <c r="H295" t="str">
        <f>TRIM(Raw_Data_Copy!H295)</f>
        <v>3</v>
      </c>
      <c r="I295" t="str">
        <f>TRIM(Raw_Data_Copy!I295)</f>
        <v>376.59</v>
      </c>
      <c r="J295" t="str">
        <f>TRIM(Raw_Data_Copy!J295)</f>
        <v>0.1</v>
      </c>
      <c r="K295">
        <f>ROUND(Cleaned_data!$H295*Cleaned_data!$I295*(1-Cleaned_data!$J295),2)</f>
        <v>1016.79</v>
      </c>
      <c r="L295" t="str">
        <f>PROPER(TRIM(Raw_Data_Copy!L295))</f>
        <v>Card</v>
      </c>
    </row>
    <row r="296" spans="1:12" x14ac:dyDescent="0.3">
      <c r="A296" t="str">
        <f>TRIM(Raw_Data_Copy!A296)</f>
        <v>ORD-0162</v>
      </c>
      <c r="B296" s="2">
        <v>45850</v>
      </c>
      <c r="C296" t="str">
        <f>TRIM(Raw_Data_Copy!C296)</f>
        <v>CUST-0073</v>
      </c>
      <c r="D296" t="str">
        <f>PROPER(TRIM(Raw_Data_Copy!D296))</f>
        <v>Ghana</v>
      </c>
      <c r="E296" t="str">
        <f>PROPER(TRIM(Raw_Data_Copy!E296))</f>
        <v>West Africa</v>
      </c>
      <c r="F296" t="str">
        <f>PROPER(TRIM(Raw_Data_Copy!F296))</f>
        <v>Keyboard</v>
      </c>
      <c r="G296" t="str">
        <f>PROPER(TRIM(Raw_Data_Copy!G296))</f>
        <v>Electronics</v>
      </c>
      <c r="H296" t="str">
        <f>TRIM(Raw_Data_Copy!H296)</f>
        <v>6</v>
      </c>
      <c r="I296" t="str">
        <f>TRIM(Raw_Data_Copy!I296)</f>
        <v>85.65</v>
      </c>
      <c r="J296" t="str">
        <f>TRIM(Raw_Data_Copy!J296)</f>
        <v>0.15</v>
      </c>
      <c r="K296">
        <f>ROUND(Cleaned_data!$H296*Cleaned_data!$I296*(1-Cleaned_data!$J296),2)</f>
        <v>436.82</v>
      </c>
      <c r="L296" t="str">
        <f>PROPER(TRIM(Raw_Data_Copy!L296))</f>
        <v>Mobile Money</v>
      </c>
    </row>
    <row r="297" spans="1:12" x14ac:dyDescent="0.3">
      <c r="A297" t="str">
        <f>TRIM(Raw_Data_Copy!A297)</f>
        <v>ORD-0131</v>
      </c>
      <c r="B297" s="2">
        <v>45851</v>
      </c>
      <c r="C297" t="str">
        <f>TRIM(Raw_Data_Copy!C297)</f>
        <v>CUST-0113</v>
      </c>
      <c r="D297" t="str">
        <f>PROPER(TRIM(Raw_Data_Copy!D297))</f>
        <v>Nigeria</v>
      </c>
      <c r="E297" t="str">
        <f>PROPER(TRIM(Raw_Data_Copy!E297))</f>
        <v>West Africa</v>
      </c>
      <c r="F297" t="str">
        <f>PROPER(TRIM(Raw_Data_Copy!F297))</f>
        <v>Keyboard</v>
      </c>
      <c r="G297" t="str">
        <f>PROPER(TRIM(Raw_Data_Copy!G297))</f>
        <v>Electronics</v>
      </c>
      <c r="H297" t="str">
        <f>TRIM(Raw_Data_Copy!H297)</f>
        <v>3</v>
      </c>
      <c r="I297" t="str">
        <f>TRIM(Raw_Data_Copy!I297)</f>
        <v>73.05</v>
      </c>
      <c r="J297" t="str">
        <f>TRIM(Raw_Data_Copy!J297)</f>
        <v>0.15</v>
      </c>
      <c r="K297">
        <f>ROUND(Cleaned_data!$H297*Cleaned_data!$I297*(1-Cleaned_data!$J297),2)</f>
        <v>186.28</v>
      </c>
      <c r="L297" t="str">
        <f>PROPER(TRIM(Raw_Data_Copy!L297))</f>
        <v>Mobile Money</v>
      </c>
    </row>
    <row r="298" spans="1:12" x14ac:dyDescent="0.3">
      <c r="A298" t="str">
        <f>TRIM(Raw_Data_Copy!A298)</f>
        <v>ORD-0345</v>
      </c>
      <c r="B298" s="2">
        <v>45851</v>
      </c>
      <c r="C298" t="str">
        <f>TRIM(Raw_Data_Copy!C298)</f>
        <v>CUST-0162</v>
      </c>
      <c r="D298" t="str">
        <f>PROPER(TRIM(Raw_Data_Copy!D298))</f>
        <v>South Africa</v>
      </c>
      <c r="E298" t="str">
        <f>PROPER(TRIM(Raw_Data_Copy!E298))</f>
        <v>Southern Africa</v>
      </c>
      <c r="F298" t="str">
        <f>PROPER(TRIM(Raw_Data_Copy!F298))</f>
        <v>Desk Lamp</v>
      </c>
      <c r="G298" t="str">
        <f>PROPER(TRIM(Raw_Data_Copy!G298))</f>
        <v>Furniture</v>
      </c>
      <c r="H298" t="str">
        <f>TRIM(Raw_Data_Copy!H298)</f>
        <v>4</v>
      </c>
      <c r="I298" t="str">
        <f>TRIM(Raw_Data_Copy!I298)</f>
        <v>52.08</v>
      </c>
      <c r="J298" t="str">
        <f>TRIM(Raw_Data_Copy!J298)</f>
        <v>0.2</v>
      </c>
      <c r="K298">
        <f>ROUND(Cleaned_data!$H298*Cleaned_data!$I298*(1-Cleaned_data!$J298),2)</f>
        <v>166.66</v>
      </c>
      <c r="L298" t="str">
        <f>PROPER(TRIM(Raw_Data_Copy!L298))</f>
        <v>Cash</v>
      </c>
    </row>
    <row r="299" spans="1:12" x14ac:dyDescent="0.3">
      <c r="A299" t="str">
        <f>TRIM(Raw_Data_Copy!A299)</f>
        <v>ORD-0169</v>
      </c>
      <c r="B299" s="2">
        <v>45852</v>
      </c>
      <c r="C299" t="str">
        <f>TRIM(Raw_Data_Copy!C299)</f>
        <v>CUST-0153</v>
      </c>
      <c r="D299" t="str">
        <f>PROPER(TRIM(Raw_Data_Copy!D299))</f>
        <v>United States</v>
      </c>
      <c r="E299" t="str">
        <f>PROPER(TRIM(Raw_Data_Copy!E299))</f>
        <v>North America</v>
      </c>
      <c r="F299" t="str">
        <f>PROPER(TRIM(Raw_Data_Copy!F299))</f>
        <v>Notebook</v>
      </c>
      <c r="G299" t="str">
        <f>PROPER(TRIM(Raw_Data_Copy!G299))</f>
        <v>Office Supplies</v>
      </c>
      <c r="H299" t="str">
        <f>TRIM(Raw_Data_Copy!H299)</f>
        <v>1</v>
      </c>
      <c r="I299" t="str">
        <f>TRIM(Raw_Data_Copy!I299)</f>
        <v>14.67</v>
      </c>
      <c r="J299" t="str">
        <f>TRIM(Raw_Data_Copy!J299)</f>
        <v>0.05</v>
      </c>
      <c r="K299">
        <f>ROUND(Cleaned_data!$H299*Cleaned_data!$I299*(1-Cleaned_data!$J299),2)</f>
        <v>13.94</v>
      </c>
      <c r="L299" t="str">
        <f>PROPER(TRIM(Raw_Data_Copy!L299))</f>
        <v>Mobile Money</v>
      </c>
    </row>
    <row r="300" spans="1:12" x14ac:dyDescent="0.3">
      <c r="A300" t="str">
        <f>TRIM(Raw_Data_Copy!A300)</f>
        <v>ORD-0138</v>
      </c>
      <c r="B300" s="2">
        <v>45852</v>
      </c>
      <c r="C300" t="str">
        <f>TRIM(Raw_Data_Copy!C300)</f>
        <v>CUST-0119</v>
      </c>
      <c r="D300" t="str">
        <f>PROPER(TRIM(Raw_Data_Copy!D300))</f>
        <v>Kenya</v>
      </c>
      <c r="E300" t="str">
        <f>PROPER(TRIM(Raw_Data_Copy!E300))</f>
        <v>East Africa</v>
      </c>
      <c r="F300" t="str">
        <f>PROPER(TRIM(Raw_Data_Copy!F300))</f>
        <v>Smartphone</v>
      </c>
      <c r="G300" t="str">
        <f>PROPER(TRIM(Raw_Data_Copy!G300))</f>
        <v>Electronics</v>
      </c>
      <c r="H300" t="str">
        <f>TRIM(Raw_Data_Copy!H300)</f>
        <v>1</v>
      </c>
      <c r="I300" t="str">
        <f>TRIM(Raw_Data_Copy!I300)</f>
        <v>691.27</v>
      </c>
      <c r="J300" t="str">
        <f>TRIM(Raw_Data_Copy!J300)</f>
        <v>0.05</v>
      </c>
      <c r="K300">
        <f>ROUND(Cleaned_data!$H300*Cleaned_data!$I300*(1-Cleaned_data!$J300),2)</f>
        <v>656.71</v>
      </c>
      <c r="L300" t="str">
        <f>PROPER(TRIM(Raw_Data_Copy!L300))</f>
        <v>Card</v>
      </c>
    </row>
    <row r="301" spans="1:12" x14ac:dyDescent="0.3">
      <c r="A301" t="str">
        <f>TRIM(Raw_Data_Copy!A301)</f>
        <v>ORD-0317</v>
      </c>
      <c r="B301" s="2">
        <v>45854</v>
      </c>
      <c r="C301" t="str">
        <f>TRIM(Raw_Data_Copy!C301)</f>
        <v>CUST-0051</v>
      </c>
      <c r="D301" t="str">
        <f>PROPER(TRIM(Raw_Data_Copy!D301))</f>
        <v>Nigeria</v>
      </c>
      <c r="E301" t="str">
        <f>PROPER(TRIM(Raw_Data_Copy!E301))</f>
        <v>West Africa</v>
      </c>
      <c r="F301" t="str">
        <f>PROPER(TRIM(Raw_Data_Copy!F301))</f>
        <v>Headphones</v>
      </c>
      <c r="G301" t="str">
        <f>PROPER(TRIM(Raw_Data_Copy!G301))</f>
        <v>Electronics</v>
      </c>
      <c r="H301" t="str">
        <f>TRIM(Raw_Data_Copy!H301)</f>
        <v>6</v>
      </c>
      <c r="I301" t="str">
        <f>TRIM(Raw_Data_Copy!I301)</f>
        <v>116.93</v>
      </c>
      <c r="J301" t="str">
        <f>TRIM(Raw_Data_Copy!J301)</f>
        <v>0.1</v>
      </c>
      <c r="K301">
        <f>ROUND(Cleaned_data!$H301*Cleaned_data!$I301*(1-Cleaned_data!$J301),2)</f>
        <v>631.41999999999996</v>
      </c>
      <c r="L301" t="str">
        <f>PROPER(TRIM(Raw_Data_Copy!L301))</f>
        <v>Card</v>
      </c>
    </row>
    <row r="302" spans="1:12" x14ac:dyDescent="0.3">
      <c r="A302" t="str">
        <f>TRIM(Raw_Data_Copy!A302)</f>
        <v>ORD-0163</v>
      </c>
      <c r="B302" s="2">
        <v>45855</v>
      </c>
      <c r="C302" t="str">
        <f>TRIM(Raw_Data_Copy!C302)</f>
        <v>CUST-0039</v>
      </c>
      <c r="D302" t="str">
        <f>PROPER(TRIM(Raw_Data_Copy!D302))</f>
        <v>Ghana</v>
      </c>
      <c r="E302" t="str">
        <f>PROPER(TRIM(Raw_Data_Copy!E302))</f>
        <v>West Africa</v>
      </c>
      <c r="F302" t="str">
        <f>PROPER(TRIM(Raw_Data_Copy!F302))</f>
        <v>Mouse</v>
      </c>
      <c r="G302" t="str">
        <f>PROPER(TRIM(Raw_Data_Copy!G302))</f>
        <v>Electronics</v>
      </c>
      <c r="H302" t="str">
        <f>TRIM(Raw_Data_Copy!H302)</f>
        <v>8</v>
      </c>
      <c r="I302" t="str">
        <f>TRIM(Raw_Data_Copy!I302)</f>
        <v>41.62</v>
      </c>
      <c r="J302" t="str">
        <f>TRIM(Raw_Data_Copy!J302)</f>
        <v>0.25</v>
      </c>
      <c r="K302">
        <f>ROUND(Cleaned_data!$H302*Cleaned_data!$I302*(1-Cleaned_data!$J302),2)</f>
        <v>249.72</v>
      </c>
      <c r="L302" t="str">
        <f>PROPER(TRIM(Raw_Data_Copy!L302))</f>
        <v>Bank Transfer</v>
      </c>
    </row>
    <row r="303" spans="1:12" x14ac:dyDescent="0.3">
      <c r="A303" t="str">
        <f>TRIM(Raw_Data_Copy!A303)</f>
        <v>ORD-0119</v>
      </c>
      <c r="B303" s="2">
        <v>45857</v>
      </c>
      <c r="C303" t="str">
        <f>TRIM(Raw_Data_Copy!C303)</f>
        <v>CUST-0023</v>
      </c>
      <c r="D303" t="str">
        <f>PROPER(TRIM(Raw_Data_Copy!D303))</f>
        <v>Nigeria</v>
      </c>
      <c r="E303" t="str">
        <f>PROPER(TRIM(Raw_Data_Copy!E303))</f>
        <v>West Africa</v>
      </c>
      <c r="F303" t="str">
        <f>PROPER(TRIM(Raw_Data_Copy!F303))</f>
        <v>Desk</v>
      </c>
      <c r="G303" t="str">
        <f>PROPER(TRIM(Raw_Data_Copy!G303))</f>
        <v>Furniture</v>
      </c>
      <c r="H303" t="str">
        <f>TRIM(Raw_Data_Copy!H303)</f>
        <v>4</v>
      </c>
      <c r="I303" t="str">
        <f>TRIM(Raw_Data_Copy!I303)</f>
        <v>327.71</v>
      </c>
      <c r="J303" t="str">
        <f>TRIM(Raw_Data_Copy!J303)</f>
        <v>0.25</v>
      </c>
      <c r="K303">
        <f>ROUND(Cleaned_data!$H303*Cleaned_data!$I303*(1-Cleaned_data!$J303),2)</f>
        <v>983.13</v>
      </c>
      <c r="L303" t="str">
        <f>PROPER(TRIM(Raw_Data_Copy!L303))</f>
        <v>Mobile Money</v>
      </c>
    </row>
    <row r="304" spans="1:12" x14ac:dyDescent="0.3">
      <c r="A304" t="str">
        <f>TRIM(Raw_Data_Copy!A304)</f>
        <v>ORD-0271</v>
      </c>
      <c r="B304" s="2">
        <v>45857</v>
      </c>
      <c r="C304" t="str">
        <f>TRIM(Raw_Data_Copy!C304)</f>
        <v>CUST-0087</v>
      </c>
      <c r="D304" t="str">
        <f>PROPER(TRIM(Raw_Data_Copy!D304))</f>
        <v>United States</v>
      </c>
      <c r="E304" t="str">
        <f>PROPER(TRIM(Raw_Data_Copy!E304))</f>
        <v>North America</v>
      </c>
      <c r="F304" t="str">
        <f>PROPER(TRIM(Raw_Data_Copy!F304))</f>
        <v>Desk</v>
      </c>
      <c r="G304" t="str">
        <f>PROPER(TRIM(Raw_Data_Copy!G304))</f>
        <v>Furniture</v>
      </c>
      <c r="H304" t="str">
        <f>TRIM(Raw_Data_Copy!H304)</f>
        <v>8</v>
      </c>
      <c r="I304" t="str">
        <f>TRIM(Raw_Data_Copy!I304)</f>
        <v>384.18</v>
      </c>
      <c r="J304" t="str">
        <f>TRIM(Raw_Data_Copy!J304)</f>
        <v>0.1</v>
      </c>
      <c r="K304">
        <f>ROUND(Cleaned_data!$H304*Cleaned_data!$I304*(1-Cleaned_data!$J304),2)</f>
        <v>2766.1</v>
      </c>
      <c r="L304" t="str">
        <f>PROPER(TRIM(Raw_Data_Copy!L304))</f>
        <v>Card</v>
      </c>
    </row>
    <row r="305" spans="1:12" x14ac:dyDescent="0.3">
      <c r="A305" t="str">
        <f>TRIM(Raw_Data_Copy!A305)</f>
        <v>ORD-0544</v>
      </c>
      <c r="B305" s="2">
        <v>45858</v>
      </c>
      <c r="C305" t="str">
        <f>TRIM(Raw_Data_Copy!C305)</f>
        <v>CUST-0076</v>
      </c>
      <c r="D305" t="str">
        <f>PROPER(TRIM(Raw_Data_Copy!D305))</f>
        <v>United Kingdom</v>
      </c>
      <c r="E305" t="str">
        <f>PROPER(TRIM(Raw_Data_Copy!E305))</f>
        <v>Europe</v>
      </c>
      <c r="F305" t="str">
        <f>PROPER(TRIM(Raw_Data_Copy!F305))</f>
        <v>Keyboard</v>
      </c>
      <c r="G305" t="str">
        <f>PROPER(TRIM(Raw_Data_Copy!G305))</f>
        <v>Electronics</v>
      </c>
      <c r="H305" t="str">
        <f>TRIM(Raw_Data_Copy!H305)</f>
        <v>4</v>
      </c>
      <c r="I305" t="str">
        <f>TRIM(Raw_Data_Copy!I305)</f>
        <v>72.25</v>
      </c>
      <c r="J305" t="str">
        <f>TRIM(Raw_Data_Copy!J305)</f>
        <v>0.1</v>
      </c>
      <c r="K305">
        <f>ROUND(Cleaned_data!$H305*Cleaned_data!$I305*(1-Cleaned_data!$J305),2)</f>
        <v>260.10000000000002</v>
      </c>
      <c r="L305" t="str">
        <f>PROPER(TRIM(Raw_Data_Copy!L305))</f>
        <v>Mobile Money</v>
      </c>
    </row>
    <row r="306" spans="1:12" x14ac:dyDescent="0.3">
      <c r="A306" t="str">
        <f>TRIM(Raw_Data_Copy!A306)</f>
        <v>ORD-0364</v>
      </c>
      <c r="B306" s="2">
        <v>45859</v>
      </c>
      <c r="C306" t="str">
        <f>TRIM(Raw_Data_Copy!C306)</f>
        <v>CUST-0146</v>
      </c>
      <c r="D306" t="str">
        <f>PROPER(TRIM(Raw_Data_Copy!D306))</f>
        <v>South Africa</v>
      </c>
      <c r="E306" t="str">
        <f>PROPER(TRIM(Raw_Data_Copy!E306))</f>
        <v>Southern Africa</v>
      </c>
      <c r="F306" t="str">
        <f>PROPER(TRIM(Raw_Data_Copy!F306))</f>
        <v>Desk</v>
      </c>
      <c r="G306" t="str">
        <f>PROPER(TRIM(Raw_Data_Copy!G306))</f>
        <v>Furniture</v>
      </c>
      <c r="H306" t="str">
        <f>TRIM(Raw_Data_Copy!H306)</f>
        <v>8</v>
      </c>
      <c r="I306" t="str">
        <f>TRIM(Raw_Data_Copy!I306)</f>
        <v>368.33</v>
      </c>
      <c r="J306" t="str">
        <f>TRIM(Raw_Data_Copy!J306)</f>
        <v>0.25</v>
      </c>
      <c r="K306">
        <f>ROUND(Cleaned_data!$H306*Cleaned_data!$I306*(1-Cleaned_data!$J306),2)</f>
        <v>2209.98</v>
      </c>
      <c r="L306" t="str">
        <f>PROPER(TRIM(Raw_Data_Copy!L306))</f>
        <v>Card</v>
      </c>
    </row>
    <row r="307" spans="1:12" x14ac:dyDescent="0.3">
      <c r="A307" t="str">
        <f>TRIM(Raw_Data_Copy!A307)</f>
        <v>ORD-0422</v>
      </c>
      <c r="B307" s="2">
        <v>45859</v>
      </c>
      <c r="C307" t="str">
        <f>TRIM(Raw_Data_Copy!C307)</f>
        <v>CUST-0046</v>
      </c>
      <c r="D307" t="str">
        <f>PROPER(TRIM(Raw_Data_Copy!D307))</f>
        <v>South Africa</v>
      </c>
      <c r="E307" t="str">
        <f>PROPER(TRIM(Raw_Data_Copy!E307))</f>
        <v>Southern Africa</v>
      </c>
      <c r="F307" t="str">
        <f>PROPER(TRIM(Raw_Data_Copy!F307))</f>
        <v>Desk</v>
      </c>
      <c r="G307" t="str">
        <f>PROPER(TRIM(Raw_Data_Copy!G307))</f>
        <v>Furniture</v>
      </c>
      <c r="H307" t="str">
        <f>TRIM(Raw_Data_Copy!H307)</f>
        <v>6</v>
      </c>
      <c r="I307" t="str">
        <f>TRIM(Raw_Data_Copy!I307)</f>
        <v>334.23</v>
      </c>
      <c r="J307" t="str">
        <f>TRIM(Raw_Data_Copy!J307)</f>
        <v>0.2</v>
      </c>
      <c r="K307">
        <f>ROUND(Cleaned_data!$H307*Cleaned_data!$I307*(1-Cleaned_data!$J307),2)</f>
        <v>1604.3</v>
      </c>
      <c r="L307" t="str">
        <f>PROPER(TRIM(Raw_Data_Copy!L307))</f>
        <v>Mobile Money</v>
      </c>
    </row>
    <row r="308" spans="1:12" x14ac:dyDescent="0.3">
      <c r="A308" t="str">
        <f>TRIM(Raw_Data_Copy!A308)</f>
        <v>ORD-0575</v>
      </c>
      <c r="B308" s="2">
        <v>45860</v>
      </c>
      <c r="C308" t="str">
        <f>TRIM(Raw_Data_Copy!C308)</f>
        <v>CUST-0061</v>
      </c>
      <c r="D308" t="str">
        <f>PROPER(TRIM(Raw_Data_Copy!D308))</f>
        <v>South Africa</v>
      </c>
      <c r="E308" t="str">
        <f>PROPER(TRIM(Raw_Data_Copy!E308))</f>
        <v>Southern Africa</v>
      </c>
      <c r="F308" t="str">
        <f>PROPER(TRIM(Raw_Data_Copy!F308))</f>
        <v>Keyboard</v>
      </c>
      <c r="G308" t="str">
        <f>PROPER(TRIM(Raw_Data_Copy!G308))</f>
        <v>Electronics</v>
      </c>
      <c r="H308" t="str">
        <f>TRIM(Raw_Data_Copy!H308)</f>
        <v>2</v>
      </c>
      <c r="I308" t="str">
        <f>TRIM(Raw_Data_Copy!I308)</f>
        <v>80.97</v>
      </c>
      <c r="J308" t="str">
        <f>TRIM(Raw_Data_Copy!J308)</f>
        <v>0.25</v>
      </c>
      <c r="K308">
        <f>ROUND(Cleaned_data!$H308*Cleaned_data!$I308*(1-Cleaned_data!$J308),2)</f>
        <v>121.46</v>
      </c>
      <c r="L308" t="str">
        <f>PROPER(TRIM(Raw_Data_Copy!L308))</f>
        <v>Card</v>
      </c>
    </row>
    <row r="309" spans="1:12" x14ac:dyDescent="0.3">
      <c r="A309" t="str">
        <f>TRIM(Raw_Data_Copy!A309)</f>
        <v>ORD-0051</v>
      </c>
      <c r="B309" s="2">
        <v>45861</v>
      </c>
      <c r="C309" t="str">
        <f>TRIM(Raw_Data_Copy!C309)</f>
        <v>CUST-0144</v>
      </c>
      <c r="D309" t="str">
        <f>PROPER(TRIM(Raw_Data_Copy!D309))</f>
        <v>Ghana</v>
      </c>
      <c r="E309" t="str">
        <f>PROPER(TRIM(Raw_Data_Copy!E309))</f>
        <v>West Africa</v>
      </c>
      <c r="F309" t="str">
        <f>PROPER(TRIM(Raw_Data_Copy!F309))</f>
        <v>Desk</v>
      </c>
      <c r="G309" t="str">
        <f>PROPER(TRIM(Raw_Data_Copy!G309))</f>
        <v>Furniture</v>
      </c>
      <c r="H309" t="str">
        <f>TRIM(Raw_Data_Copy!H309)</f>
        <v>7</v>
      </c>
      <c r="I309" t="str">
        <f>TRIM(Raw_Data_Copy!I309)</f>
        <v>317.85</v>
      </c>
      <c r="J309" t="str">
        <f>TRIM(Raw_Data_Copy!J309)</f>
        <v>0.2</v>
      </c>
      <c r="K309">
        <f>ROUND(Cleaned_data!$H309*Cleaned_data!$I309*(1-Cleaned_data!$J309),2)</f>
        <v>1779.96</v>
      </c>
      <c r="L309" t="str">
        <f>PROPER(TRIM(Raw_Data_Copy!L309))</f>
        <v>Bank Transfer</v>
      </c>
    </row>
    <row r="310" spans="1:12" x14ac:dyDescent="0.3">
      <c r="A310" t="str">
        <f>TRIM(Raw_Data_Copy!A310)</f>
        <v>ORD-0212</v>
      </c>
      <c r="B310" s="2">
        <v>45861</v>
      </c>
      <c r="C310" t="str">
        <f>TRIM(Raw_Data_Copy!C310)</f>
        <v>CUST-0165</v>
      </c>
      <c r="D310" t="str">
        <f>PROPER(TRIM(Raw_Data_Copy!D310))</f>
        <v>Nigeria</v>
      </c>
      <c r="E310" t="str">
        <f>PROPER(TRIM(Raw_Data_Copy!E310))</f>
        <v>West Africa</v>
      </c>
      <c r="F310" t="str">
        <f>PROPER(TRIM(Raw_Data_Copy!F310))</f>
        <v>Backpack</v>
      </c>
      <c r="G310" t="str">
        <f>PROPER(TRIM(Raw_Data_Copy!G310))</f>
        <v>Accessories</v>
      </c>
      <c r="H310" t="str">
        <f>TRIM(Raw_Data_Copy!H310)</f>
        <v>4</v>
      </c>
      <c r="I310" t="str">
        <f>TRIM(Raw_Data_Copy!I310)</f>
        <v>73.19</v>
      </c>
      <c r="J310" t="str">
        <f>TRIM(Raw_Data_Copy!J310)</f>
        <v>0.15</v>
      </c>
      <c r="K310">
        <f>ROUND(Cleaned_data!$H310*Cleaned_data!$I310*(1-Cleaned_data!$J310),2)</f>
        <v>248.85</v>
      </c>
      <c r="L310" t="str">
        <f>PROPER(TRIM(Raw_Data_Copy!L310))</f>
        <v>Card</v>
      </c>
    </row>
    <row r="311" spans="1:12" x14ac:dyDescent="0.3">
      <c r="A311" t="str">
        <f>TRIM(Raw_Data_Copy!A311)</f>
        <v>ORD-0394</v>
      </c>
      <c r="B311" s="2">
        <v>45862</v>
      </c>
      <c r="C311" t="str">
        <f>TRIM(Raw_Data_Copy!C311)</f>
        <v>CUST-0059</v>
      </c>
      <c r="D311" t="str">
        <f>PROPER(TRIM(Raw_Data_Copy!D311))</f>
        <v>South Africa</v>
      </c>
      <c r="E311" t="str">
        <f>PROPER(TRIM(Raw_Data_Copy!E311))</f>
        <v>Southern Africa</v>
      </c>
      <c r="F311" t="str">
        <f>PROPER(TRIM(Raw_Data_Copy!F311))</f>
        <v>Office Chair</v>
      </c>
      <c r="G311" t="str">
        <f>PROPER(TRIM(Raw_Data_Copy!G311))</f>
        <v>Furniture</v>
      </c>
      <c r="H311" t="str">
        <f>TRIM(Raw_Data_Copy!H311)</f>
        <v>5</v>
      </c>
      <c r="I311" t="str">
        <f>TRIM(Raw_Data_Copy!I311)</f>
        <v>233.37</v>
      </c>
      <c r="J311" t="str">
        <f>TRIM(Raw_Data_Copy!J311)</f>
        <v>0.1</v>
      </c>
      <c r="K311">
        <f>ROUND(Cleaned_data!$H311*Cleaned_data!$I311*(1-Cleaned_data!$J311),2)</f>
        <v>1050.17</v>
      </c>
      <c r="L311" t="str">
        <f>PROPER(TRIM(Raw_Data_Copy!L311))</f>
        <v>Mobile Money</v>
      </c>
    </row>
    <row r="312" spans="1:12" x14ac:dyDescent="0.3">
      <c r="A312" t="str">
        <f>TRIM(Raw_Data_Copy!A312)</f>
        <v>ORD-0415</v>
      </c>
      <c r="B312" s="2">
        <v>45862</v>
      </c>
      <c r="C312" t="str">
        <f>TRIM(Raw_Data_Copy!C312)</f>
        <v>CUST-0079</v>
      </c>
      <c r="D312" t="str">
        <f>PROPER(TRIM(Raw_Data_Copy!D312))</f>
        <v>Nigeria</v>
      </c>
      <c r="E312" t="str">
        <f>PROPER(TRIM(Raw_Data_Copy!E312))</f>
        <v>West Africa</v>
      </c>
      <c r="F312" t="str">
        <f>PROPER(TRIM(Raw_Data_Copy!F312))</f>
        <v>Office Chair</v>
      </c>
      <c r="G312" t="str">
        <f>PROPER(TRIM(Raw_Data_Copy!G312))</f>
        <v>Furniture</v>
      </c>
      <c r="H312" t="str">
        <f>TRIM(Raw_Data_Copy!H312)</f>
        <v>8</v>
      </c>
      <c r="I312" t="str">
        <f>TRIM(Raw_Data_Copy!I312)</f>
        <v>200.89</v>
      </c>
      <c r="J312" t="str">
        <f>TRIM(Raw_Data_Copy!J312)</f>
        <v>0.05</v>
      </c>
      <c r="K312">
        <f>ROUND(Cleaned_data!$H312*Cleaned_data!$I312*(1-Cleaned_data!$J312),2)</f>
        <v>1526.76</v>
      </c>
      <c r="L312" t="str">
        <f>PROPER(TRIM(Raw_Data_Copy!L312))</f>
        <v>Card</v>
      </c>
    </row>
    <row r="313" spans="1:12" x14ac:dyDescent="0.3">
      <c r="A313" t="str">
        <f>TRIM(Raw_Data_Copy!A313)</f>
        <v>ORD-0088</v>
      </c>
      <c r="B313" s="2">
        <v>45862</v>
      </c>
      <c r="C313" t="str">
        <f>TRIM(Raw_Data_Copy!C313)</f>
        <v>CUST-0126</v>
      </c>
      <c r="D313" t="str">
        <f>PROPER(TRIM(Raw_Data_Copy!D313))</f>
        <v>Kenya</v>
      </c>
      <c r="E313" t="str">
        <f>PROPER(TRIM(Raw_Data_Copy!E313))</f>
        <v>East Africa</v>
      </c>
      <c r="F313" t="str">
        <f>PROPER(TRIM(Raw_Data_Copy!F313))</f>
        <v>Desk Lamp</v>
      </c>
      <c r="G313" t="str">
        <f>PROPER(TRIM(Raw_Data_Copy!G313))</f>
        <v>Furniture</v>
      </c>
      <c r="H313" t="str">
        <f>TRIM(Raw_Data_Copy!H313)</f>
        <v>4</v>
      </c>
      <c r="I313" t="str">
        <f>TRIM(Raw_Data_Copy!I313)</f>
        <v>54.55</v>
      </c>
      <c r="J313" t="str">
        <f>TRIM(Raw_Data_Copy!J313)</f>
        <v>0.3</v>
      </c>
      <c r="K313">
        <f>ROUND(Cleaned_data!$H313*Cleaned_data!$I313*(1-Cleaned_data!$J313),2)</f>
        <v>152.74</v>
      </c>
      <c r="L313" t="str">
        <f>PROPER(TRIM(Raw_Data_Copy!L313))</f>
        <v>Mobile Money</v>
      </c>
    </row>
    <row r="314" spans="1:12" x14ac:dyDescent="0.3">
      <c r="A314" t="str">
        <f>TRIM(Raw_Data_Copy!A314)</f>
        <v>ORD-0445</v>
      </c>
      <c r="B314" s="2">
        <v>45863</v>
      </c>
      <c r="C314" t="str">
        <f>TRIM(Raw_Data_Copy!C314)</f>
        <v>CUST-0126</v>
      </c>
      <c r="D314" t="str">
        <f>PROPER(TRIM(Raw_Data_Copy!D314))</f>
        <v>United Kingdom</v>
      </c>
      <c r="E314" t="str">
        <f>PROPER(TRIM(Raw_Data_Copy!E314))</f>
        <v>Europe</v>
      </c>
      <c r="F314" t="str">
        <f>PROPER(TRIM(Raw_Data_Copy!F314))</f>
        <v>Monitor</v>
      </c>
      <c r="G314" t="str">
        <f>PROPER(TRIM(Raw_Data_Copy!G314))</f>
        <v>Electronics</v>
      </c>
      <c r="H314" t="str">
        <f>TRIM(Raw_Data_Copy!H314)</f>
        <v>2</v>
      </c>
      <c r="I314" t="str">
        <f>TRIM(Raw_Data_Copy!I314)</f>
        <v>288.18</v>
      </c>
      <c r="J314" t="str">
        <f>TRIM(Raw_Data_Copy!J314)</f>
        <v>0.05</v>
      </c>
      <c r="K314">
        <f>ROUND(Cleaned_data!$H314*Cleaned_data!$I314*(1-Cleaned_data!$J314),2)</f>
        <v>547.54</v>
      </c>
      <c r="L314" t="str">
        <f>PROPER(TRIM(Raw_Data_Copy!L314))</f>
        <v>Bank Transfer</v>
      </c>
    </row>
    <row r="315" spans="1:12" x14ac:dyDescent="0.3">
      <c r="A315" t="str">
        <f>TRIM(Raw_Data_Copy!A315)</f>
        <v>ORD-0332</v>
      </c>
      <c r="B315" s="2">
        <v>45864</v>
      </c>
      <c r="C315" t="str">
        <f>TRIM(Raw_Data_Copy!C315)</f>
        <v>CUST-0115</v>
      </c>
      <c r="D315" t="str">
        <f>PROPER(TRIM(Raw_Data_Copy!D315))</f>
        <v>United Kingdom</v>
      </c>
      <c r="E315" t="str">
        <f>PROPER(TRIM(Raw_Data_Copy!E315))</f>
        <v>Europe</v>
      </c>
      <c r="F315" t="str">
        <f>PROPER(TRIM(Raw_Data_Copy!F315))</f>
        <v>Office Chair</v>
      </c>
      <c r="G315" t="str">
        <f>PROPER(TRIM(Raw_Data_Copy!G315))</f>
        <v>Furniture</v>
      </c>
      <c r="H315" t="str">
        <f>TRIM(Raw_Data_Copy!H315)</f>
        <v>4</v>
      </c>
      <c r="I315" t="str">
        <f>TRIM(Raw_Data_Copy!I315)</f>
        <v>208.24</v>
      </c>
      <c r="J315" t="str">
        <f>TRIM(Raw_Data_Copy!J315)</f>
        <v>0.2</v>
      </c>
      <c r="K315">
        <f>ROUND(Cleaned_data!$H315*Cleaned_data!$I315*(1-Cleaned_data!$J315),2)</f>
        <v>666.37</v>
      </c>
      <c r="L315" t="str">
        <f>PROPER(TRIM(Raw_Data_Copy!L315))</f>
        <v>Card</v>
      </c>
    </row>
    <row r="316" spans="1:12" x14ac:dyDescent="0.3">
      <c r="A316" t="str">
        <f>TRIM(Raw_Data_Copy!A316)</f>
        <v>ORD-0198</v>
      </c>
      <c r="B316" s="2">
        <v>45865</v>
      </c>
      <c r="C316" t="str">
        <f>TRIM(Raw_Data_Copy!C316)</f>
        <v>CUST-0132</v>
      </c>
      <c r="D316" t="str">
        <f>PROPER(TRIM(Raw_Data_Copy!D316))</f>
        <v>South Africa</v>
      </c>
      <c r="E316" t="str">
        <f>PROPER(TRIM(Raw_Data_Copy!E316))</f>
        <v>Southern Africa</v>
      </c>
      <c r="F316" t="str">
        <f>PROPER(TRIM(Raw_Data_Copy!F316))</f>
        <v>Office Chair</v>
      </c>
      <c r="G316" t="str">
        <f>PROPER(TRIM(Raw_Data_Copy!G316))</f>
        <v>Furniture</v>
      </c>
      <c r="H316" t="str">
        <f>TRIM(Raw_Data_Copy!H316)</f>
        <v>6</v>
      </c>
      <c r="I316" t="str">
        <f>TRIM(Raw_Data_Copy!I316)</f>
        <v>224.94</v>
      </c>
      <c r="J316" t="str">
        <f>TRIM(Raw_Data_Copy!J316)</f>
        <v>0.1</v>
      </c>
      <c r="K316">
        <f>ROUND(Cleaned_data!$H316*Cleaned_data!$I316*(1-Cleaned_data!$J316),2)</f>
        <v>1214.68</v>
      </c>
      <c r="L316" t="str">
        <f>PROPER(TRIM(Raw_Data_Copy!L316))</f>
        <v>Mobile Money</v>
      </c>
    </row>
    <row r="317" spans="1:12" x14ac:dyDescent="0.3">
      <c r="A317" t="str">
        <f>TRIM(Raw_Data_Copy!A317)</f>
        <v>ORD-0589</v>
      </c>
      <c r="B317" s="2">
        <v>45865</v>
      </c>
      <c r="C317" t="str">
        <f>TRIM(Raw_Data_Copy!C317)</f>
        <v>CUST-0144</v>
      </c>
      <c r="D317" t="str">
        <f>PROPER(TRIM(Raw_Data_Copy!D317))</f>
        <v>Kenya</v>
      </c>
      <c r="E317" t="str">
        <f>PROPER(TRIM(Raw_Data_Copy!E317))</f>
        <v>East Africa</v>
      </c>
      <c r="F317" t="str">
        <f>PROPER(TRIM(Raw_Data_Copy!F317))</f>
        <v>Desk</v>
      </c>
      <c r="G317" t="str">
        <f>PROPER(TRIM(Raw_Data_Copy!G317))</f>
        <v>Furniture</v>
      </c>
      <c r="H317" t="str">
        <f>TRIM(Raw_Data_Copy!H317)</f>
        <v>8</v>
      </c>
      <c r="I317" t="str">
        <f>TRIM(Raw_Data_Copy!I317)</f>
        <v>330.19</v>
      </c>
      <c r="J317" t="str">
        <f>TRIM(Raw_Data_Copy!J317)</f>
        <v>0.05</v>
      </c>
      <c r="K317">
        <f>ROUND(Cleaned_data!$H317*Cleaned_data!$I317*(1-Cleaned_data!$J317),2)</f>
        <v>2509.44</v>
      </c>
      <c r="L317" t="str">
        <f>PROPER(TRIM(Raw_Data_Copy!L317))</f>
        <v>Mobile Money</v>
      </c>
    </row>
    <row r="318" spans="1:12" x14ac:dyDescent="0.3">
      <c r="A318" t="str">
        <f>TRIM(Raw_Data_Copy!A318)</f>
        <v>ORD-0548</v>
      </c>
      <c r="B318" s="2">
        <v>45865</v>
      </c>
      <c r="C318" t="str">
        <f>TRIM(Raw_Data_Copy!C318)</f>
        <v>CUST-0150</v>
      </c>
      <c r="D318" t="str">
        <f>PROPER(TRIM(Raw_Data_Copy!D318))</f>
        <v>United States</v>
      </c>
      <c r="E318" t="str">
        <f>PROPER(TRIM(Raw_Data_Copy!E318))</f>
        <v>North America</v>
      </c>
      <c r="F318" t="str">
        <f>PROPER(TRIM(Raw_Data_Copy!F318))</f>
        <v>Desk</v>
      </c>
      <c r="G318" t="str">
        <f>PROPER(TRIM(Raw_Data_Copy!G318))</f>
        <v>Furniture</v>
      </c>
      <c r="H318" t="str">
        <f>TRIM(Raw_Data_Copy!H318)</f>
        <v>6</v>
      </c>
      <c r="I318" t="str">
        <f>TRIM(Raw_Data_Copy!I318)</f>
        <v>374.8</v>
      </c>
      <c r="J318" t="str">
        <f>TRIM(Raw_Data_Copy!J318)</f>
        <v>0.1</v>
      </c>
      <c r="K318">
        <f>ROUND(Cleaned_data!$H318*Cleaned_data!$I318*(1-Cleaned_data!$J318),2)</f>
        <v>2023.92</v>
      </c>
      <c r="L318" t="str">
        <f>PROPER(TRIM(Raw_Data_Copy!L318))</f>
        <v>Card</v>
      </c>
    </row>
    <row r="319" spans="1:12" x14ac:dyDescent="0.3">
      <c r="A319" t="str">
        <f>TRIM(Raw_Data_Copy!A319)</f>
        <v>ORD-0554</v>
      </c>
      <c r="B319" s="2">
        <v>45867</v>
      </c>
      <c r="C319" t="str">
        <f>TRIM(Raw_Data_Copy!C319)</f>
        <v>CUST-0145</v>
      </c>
      <c r="D319" t="str">
        <f>PROPER(TRIM(Raw_Data_Copy!D319))</f>
        <v>Kenya</v>
      </c>
      <c r="E319" t="str">
        <f>PROPER(TRIM(Raw_Data_Copy!E319))</f>
        <v>East Africa</v>
      </c>
      <c r="F319" t="str">
        <f>PROPER(TRIM(Raw_Data_Copy!F319))</f>
        <v>Laptop</v>
      </c>
      <c r="G319" t="str">
        <f>PROPER(TRIM(Raw_Data_Copy!G319))</f>
        <v>Electronics</v>
      </c>
      <c r="H319" t="str">
        <f>TRIM(Raw_Data_Copy!H319)</f>
        <v>4</v>
      </c>
      <c r="I319" t="str">
        <f>TRIM(Raw_Data_Copy!I319)</f>
        <v>946.9</v>
      </c>
      <c r="J319" t="str">
        <f>TRIM(Raw_Data_Copy!J319)</f>
        <v>0</v>
      </c>
      <c r="K319">
        <f>ROUND(Cleaned_data!$H319*Cleaned_data!$I319*(1-Cleaned_data!$J319),2)</f>
        <v>3787.6</v>
      </c>
      <c r="L319" t="str">
        <f>PROPER(TRIM(Raw_Data_Copy!L319))</f>
        <v>Mobile Money</v>
      </c>
    </row>
    <row r="320" spans="1:12" x14ac:dyDescent="0.3">
      <c r="A320" t="str">
        <f>TRIM(Raw_Data_Copy!A320)</f>
        <v>ORD-0180</v>
      </c>
      <c r="B320" s="2">
        <v>45867</v>
      </c>
      <c r="C320" t="str">
        <f>TRIM(Raw_Data_Copy!C320)</f>
        <v>CUST-0050</v>
      </c>
      <c r="D320" t="str">
        <f>PROPER(TRIM(Raw_Data_Copy!D320))</f>
        <v>United Kingdom</v>
      </c>
      <c r="E320" t="str">
        <f>PROPER(TRIM(Raw_Data_Copy!E320))</f>
        <v>Europe</v>
      </c>
      <c r="F320" t="str">
        <f>PROPER(TRIM(Raw_Data_Copy!F320))</f>
        <v>Laptop</v>
      </c>
      <c r="G320" t="str">
        <f>PROPER(TRIM(Raw_Data_Copy!G320))</f>
        <v>Electronics</v>
      </c>
      <c r="H320" t="str">
        <f>TRIM(Raw_Data_Copy!H320)</f>
        <v>2</v>
      </c>
      <c r="I320" t="str">
        <f>TRIM(Raw_Data_Copy!I320)</f>
        <v>895.24</v>
      </c>
      <c r="J320" t="str">
        <f>TRIM(Raw_Data_Copy!J320)</f>
        <v>0</v>
      </c>
      <c r="K320">
        <f>ROUND(Cleaned_data!$H320*Cleaned_data!$I320*(1-Cleaned_data!$J320),2)</f>
        <v>1790.48</v>
      </c>
      <c r="L320" t="str">
        <f>PROPER(TRIM(Raw_Data_Copy!L320))</f>
        <v>Card</v>
      </c>
    </row>
    <row r="321" spans="1:12" x14ac:dyDescent="0.3">
      <c r="A321" t="str">
        <f>TRIM(Raw_Data_Copy!A321)</f>
        <v>ORD-0565</v>
      </c>
      <c r="B321" s="2">
        <v>45867</v>
      </c>
      <c r="C321" t="str">
        <f>TRIM(Raw_Data_Copy!C321)</f>
        <v>CUST-0048</v>
      </c>
      <c r="D321" t="str">
        <f>PROPER(TRIM(Raw_Data_Copy!D321))</f>
        <v>Nigeria</v>
      </c>
      <c r="E321" t="str">
        <f>PROPER(TRIM(Raw_Data_Copy!E321))</f>
        <v>West Africa</v>
      </c>
      <c r="F321" t="str">
        <f>PROPER(TRIM(Raw_Data_Copy!F321))</f>
        <v>Headphones</v>
      </c>
      <c r="G321" t="str">
        <f>PROPER(TRIM(Raw_Data_Copy!G321))</f>
        <v>Electronics</v>
      </c>
      <c r="H321" t="str">
        <f>TRIM(Raw_Data_Copy!H321)</f>
        <v>6</v>
      </c>
      <c r="I321" t="str">
        <f>TRIM(Raw_Data_Copy!I321)</f>
        <v/>
      </c>
      <c r="J321" t="str">
        <f>TRIM(Raw_Data_Copy!J321)</f>
        <v>0.1</v>
      </c>
      <c r="K321" t="e">
        <f>ROUND(Cleaned_data!$H321*Cleaned_data!$I321*(1-Cleaned_data!$J321),2)</f>
        <v>#VALUE!</v>
      </c>
      <c r="L321" t="str">
        <f>PROPER(TRIM(Raw_Data_Copy!L321))</f>
        <v>Card</v>
      </c>
    </row>
    <row r="322" spans="1:12" x14ac:dyDescent="0.3">
      <c r="A322" t="str">
        <f>TRIM(Raw_Data_Copy!A322)</f>
        <v>ORD-0346</v>
      </c>
      <c r="B322" s="2">
        <v>45867</v>
      </c>
      <c r="C322" t="str">
        <f>TRIM(Raw_Data_Copy!C322)</f>
        <v>CUST-0145</v>
      </c>
      <c r="D322" t="str">
        <f>PROPER(TRIM(Raw_Data_Copy!D322))</f>
        <v>Kenya</v>
      </c>
      <c r="E322" t="str">
        <f>PROPER(TRIM(Raw_Data_Copy!E322))</f>
        <v>East Africa</v>
      </c>
      <c r="F322" t="str">
        <f>PROPER(TRIM(Raw_Data_Copy!F322))</f>
        <v>Mouse</v>
      </c>
      <c r="G322" t="str">
        <f>PROPER(TRIM(Raw_Data_Copy!G322))</f>
        <v>Electronics</v>
      </c>
      <c r="H322" t="str">
        <f>TRIM(Raw_Data_Copy!H322)</f>
        <v>1</v>
      </c>
      <c r="I322" t="str">
        <f>TRIM(Raw_Data_Copy!I322)</f>
        <v>42.92</v>
      </c>
      <c r="J322" t="str">
        <f>TRIM(Raw_Data_Copy!J322)</f>
        <v>0.1</v>
      </c>
      <c r="K322">
        <f>ROUND(Cleaned_data!$H322*Cleaned_data!$I322*(1-Cleaned_data!$J322),2)</f>
        <v>38.630000000000003</v>
      </c>
      <c r="L322" t="str">
        <f>PROPER(TRIM(Raw_Data_Copy!L322))</f>
        <v>Bank Transfer</v>
      </c>
    </row>
    <row r="323" spans="1:12" x14ac:dyDescent="0.3">
      <c r="A323" t="str">
        <f>TRIM(Raw_Data_Copy!A323)</f>
        <v>ORD-0568</v>
      </c>
      <c r="B323" s="2">
        <v>45868</v>
      </c>
      <c r="C323" t="str">
        <f>TRIM(Raw_Data_Copy!C323)</f>
        <v>CUST-0067</v>
      </c>
      <c r="D323" t="str">
        <f>PROPER(TRIM(Raw_Data_Copy!D323))</f>
        <v>Nigeria</v>
      </c>
      <c r="E323" t="str">
        <f>PROPER(TRIM(Raw_Data_Copy!E323))</f>
        <v>West Africa</v>
      </c>
      <c r="F323" t="str">
        <f>PROPER(TRIM(Raw_Data_Copy!F323))</f>
        <v>Backpack</v>
      </c>
      <c r="G323" t="str">
        <f>PROPER(TRIM(Raw_Data_Copy!G323))</f>
        <v>Accessories</v>
      </c>
      <c r="H323" t="str">
        <f>TRIM(Raw_Data_Copy!H323)</f>
        <v>2</v>
      </c>
      <c r="I323" t="str">
        <f>TRIM(Raw_Data_Copy!I323)</f>
        <v>81.07</v>
      </c>
      <c r="J323" t="str">
        <f>TRIM(Raw_Data_Copy!J323)</f>
        <v>0.15</v>
      </c>
      <c r="K323">
        <f>ROUND(Cleaned_data!$H323*Cleaned_data!$I323*(1-Cleaned_data!$J323),2)</f>
        <v>137.82</v>
      </c>
      <c r="L323" t="str">
        <f>PROPER(TRIM(Raw_Data_Copy!L323))</f>
        <v>Card</v>
      </c>
    </row>
    <row r="324" spans="1:12" x14ac:dyDescent="0.3">
      <c r="A324" t="str">
        <f>TRIM(Raw_Data_Copy!A324)</f>
        <v>ORD-0201</v>
      </c>
      <c r="B324" s="2">
        <v>45868</v>
      </c>
      <c r="C324" t="str">
        <f>TRIM(Raw_Data_Copy!C324)</f>
        <v>CUST-0150</v>
      </c>
      <c r="D324" t="str">
        <f>PROPER(TRIM(Raw_Data_Copy!D324))</f>
        <v>United States</v>
      </c>
      <c r="E324" t="str">
        <f>PROPER(TRIM(Raw_Data_Copy!E324))</f>
        <v>North America</v>
      </c>
      <c r="F324" t="str">
        <f>PROPER(TRIM(Raw_Data_Copy!F324))</f>
        <v>Desk</v>
      </c>
      <c r="G324" t="str">
        <f>PROPER(TRIM(Raw_Data_Copy!G324))</f>
        <v>Furniture</v>
      </c>
      <c r="H324" t="str">
        <f>TRIM(Raw_Data_Copy!H324)</f>
        <v>7</v>
      </c>
      <c r="I324" t="str">
        <f>TRIM(Raw_Data_Copy!I324)</f>
        <v>318.06</v>
      </c>
      <c r="J324" t="str">
        <f>TRIM(Raw_Data_Copy!J324)</f>
        <v>0</v>
      </c>
      <c r="K324">
        <f>ROUND(Cleaned_data!$H324*Cleaned_data!$I324*(1-Cleaned_data!$J324),2)</f>
        <v>2226.42</v>
      </c>
      <c r="L324" t="str">
        <f>PROPER(TRIM(Raw_Data_Copy!L324))</f>
        <v>Card</v>
      </c>
    </row>
    <row r="325" spans="1:12" x14ac:dyDescent="0.3">
      <c r="A325" t="str">
        <f>TRIM(Raw_Data_Copy!A325)</f>
        <v>ORD-0076</v>
      </c>
      <c r="B325" s="2">
        <v>45869</v>
      </c>
      <c r="C325" t="str">
        <f>TRIM(Raw_Data_Copy!C325)</f>
        <v>CUST-0157</v>
      </c>
      <c r="D325" t="str">
        <f>PROPER(TRIM(Raw_Data_Copy!D325))</f>
        <v>Ghana</v>
      </c>
      <c r="E325" t="str">
        <f>PROPER(TRIM(Raw_Data_Copy!E325))</f>
        <v>West Africa</v>
      </c>
      <c r="F325" t="str">
        <f>PROPER(TRIM(Raw_Data_Copy!F325))</f>
        <v>Mouse</v>
      </c>
      <c r="G325" t="str">
        <f>PROPER(TRIM(Raw_Data_Copy!G325))</f>
        <v>Electronics</v>
      </c>
      <c r="H325" t="str">
        <f>TRIM(Raw_Data_Copy!H325)</f>
        <v>4</v>
      </c>
      <c r="I325" t="str">
        <f>TRIM(Raw_Data_Copy!I325)</f>
        <v>49.38</v>
      </c>
      <c r="J325" t="str">
        <f>TRIM(Raw_Data_Copy!J325)</f>
        <v>0.15</v>
      </c>
      <c r="K325">
        <f>ROUND(Cleaned_data!$H325*Cleaned_data!$I325*(1-Cleaned_data!$J325),2)</f>
        <v>167.89</v>
      </c>
      <c r="L325" t="str">
        <f>PROPER(TRIM(Raw_Data_Copy!L325))</f>
        <v>Mobile Money</v>
      </c>
    </row>
    <row r="326" spans="1:12" x14ac:dyDescent="0.3">
      <c r="A326" t="str">
        <f>TRIM(Raw_Data_Copy!A326)</f>
        <v>ORD-0473</v>
      </c>
      <c r="B326" s="2">
        <v>45869</v>
      </c>
      <c r="C326" t="str">
        <f>TRIM(Raw_Data_Copy!C326)</f>
        <v>CUST-0168</v>
      </c>
      <c r="D326" t="str">
        <f>PROPER(TRIM(Raw_Data_Copy!D326))</f>
        <v>Ghana</v>
      </c>
      <c r="E326" t="str">
        <f>PROPER(TRIM(Raw_Data_Copy!E326))</f>
        <v>West Africa</v>
      </c>
      <c r="F326" t="str">
        <f>PROPER(TRIM(Raw_Data_Copy!F326))</f>
        <v>Keyboard</v>
      </c>
      <c r="G326" t="str">
        <f>PROPER(TRIM(Raw_Data_Copy!G326))</f>
        <v>Electronics</v>
      </c>
      <c r="H326" t="str">
        <f>TRIM(Raw_Data_Copy!H326)</f>
        <v>4</v>
      </c>
      <c r="I326" t="str">
        <f>TRIM(Raw_Data_Copy!I326)</f>
        <v>81.81</v>
      </c>
      <c r="J326" t="str">
        <f>TRIM(Raw_Data_Copy!J326)</f>
        <v>0.15</v>
      </c>
      <c r="K326">
        <f>ROUND(Cleaned_data!$H326*Cleaned_data!$I326*(1-Cleaned_data!$J326),2)</f>
        <v>278.14999999999998</v>
      </c>
      <c r="L326" t="str">
        <f>PROPER(TRIM(Raw_Data_Copy!L326))</f>
        <v>Card</v>
      </c>
    </row>
    <row r="327" spans="1:12" x14ac:dyDescent="0.3">
      <c r="A327" t="str">
        <f>TRIM(Raw_Data_Copy!A327)</f>
        <v>ORD-0443</v>
      </c>
      <c r="B327" s="2">
        <v>45869</v>
      </c>
      <c r="C327" t="str">
        <f>TRIM(Raw_Data_Copy!C327)</f>
        <v>CUST-0003</v>
      </c>
      <c r="D327" t="str">
        <f>PROPER(TRIM(Raw_Data_Copy!D327))</f>
        <v>Nigeria</v>
      </c>
      <c r="E327" t="str">
        <f>PROPER(TRIM(Raw_Data_Copy!E327))</f>
        <v>West Africa</v>
      </c>
      <c r="F327" t="str">
        <f>PROPER(TRIM(Raw_Data_Copy!F327))</f>
        <v>Mouse</v>
      </c>
      <c r="G327" t="str">
        <f>PROPER(TRIM(Raw_Data_Copy!G327))</f>
        <v>Electronics</v>
      </c>
      <c r="H327" t="str">
        <f>TRIM(Raw_Data_Copy!H327)</f>
        <v>2</v>
      </c>
      <c r="I327" t="str">
        <f>TRIM(Raw_Data_Copy!I327)</f>
        <v>42.31</v>
      </c>
      <c r="J327" t="str">
        <f>TRIM(Raw_Data_Copy!J327)</f>
        <v>0.05</v>
      </c>
      <c r="K327">
        <f>ROUND(Cleaned_data!$H327*Cleaned_data!$I327*(1-Cleaned_data!$J327),2)</f>
        <v>80.39</v>
      </c>
      <c r="L327" t="str">
        <f>PROPER(TRIM(Raw_Data_Copy!L327))</f>
        <v>Card</v>
      </c>
    </row>
    <row r="328" spans="1:12" x14ac:dyDescent="0.3">
      <c r="A328" t="str">
        <f>TRIM(Raw_Data_Copy!A328)</f>
        <v>ORD-0563</v>
      </c>
      <c r="B328" s="2">
        <v>45871</v>
      </c>
      <c r="C328" t="str">
        <f>TRIM(Raw_Data_Copy!C328)</f>
        <v>CUST-0177</v>
      </c>
      <c r="D328" t="str">
        <f>PROPER(TRIM(Raw_Data_Copy!D328))</f>
        <v>Ghana</v>
      </c>
      <c r="E328" t="str">
        <f>PROPER(TRIM(Raw_Data_Copy!E328))</f>
        <v>West Africa</v>
      </c>
      <c r="F328" t="str">
        <f>PROPER(TRIM(Raw_Data_Copy!F328))</f>
        <v>Desk Lamp</v>
      </c>
      <c r="G328" t="str">
        <f>PROPER(TRIM(Raw_Data_Copy!G328))</f>
        <v>Furniture</v>
      </c>
      <c r="H328" t="str">
        <f>TRIM(Raw_Data_Copy!H328)</f>
        <v>2</v>
      </c>
      <c r="I328" t="str">
        <f>TRIM(Raw_Data_Copy!I328)</f>
        <v>56.32</v>
      </c>
      <c r="J328" t="str">
        <f>TRIM(Raw_Data_Copy!J328)</f>
        <v>0.1</v>
      </c>
      <c r="K328">
        <f>ROUND(Cleaned_data!$H328*Cleaned_data!$I328*(1-Cleaned_data!$J328),2)</f>
        <v>101.38</v>
      </c>
      <c r="L328" t="str">
        <f>PROPER(TRIM(Raw_Data_Copy!L328))</f>
        <v>Mobile Money</v>
      </c>
    </row>
    <row r="329" spans="1:12" x14ac:dyDescent="0.3">
      <c r="A329" t="str">
        <f>TRIM(Raw_Data_Copy!A329)</f>
        <v>ORD-0314</v>
      </c>
      <c r="B329" s="2">
        <v>45871</v>
      </c>
      <c r="C329" t="str">
        <f>TRIM(Raw_Data_Copy!C329)</f>
        <v>CUST-0143</v>
      </c>
      <c r="D329" t="str">
        <f>PROPER(TRIM(Raw_Data_Copy!D329))</f>
        <v>Ghana</v>
      </c>
      <c r="E329" t="str">
        <f>PROPER(TRIM(Raw_Data_Copy!E329))</f>
        <v>West Africa</v>
      </c>
      <c r="F329" t="str">
        <f>PROPER(TRIM(Raw_Data_Copy!F329))</f>
        <v>Monitor</v>
      </c>
      <c r="G329" t="str">
        <f>PROPER(TRIM(Raw_Data_Copy!G329))</f>
        <v>Electronics</v>
      </c>
      <c r="H329" t="str">
        <f>TRIM(Raw_Data_Copy!H329)</f>
        <v>5</v>
      </c>
      <c r="I329" t="str">
        <f>TRIM(Raw_Data_Copy!I329)</f>
        <v>279.88</v>
      </c>
      <c r="J329" t="str">
        <f>TRIM(Raw_Data_Copy!J329)</f>
        <v>0.05</v>
      </c>
      <c r="K329">
        <f>ROUND(Cleaned_data!$H329*Cleaned_data!$I329*(1-Cleaned_data!$J329),2)</f>
        <v>1329.43</v>
      </c>
      <c r="L329" t="str">
        <f>PROPER(TRIM(Raw_Data_Copy!L329))</f>
        <v>Bank Transfer</v>
      </c>
    </row>
    <row r="330" spans="1:12" x14ac:dyDescent="0.3">
      <c r="A330" t="str">
        <f>TRIM(Raw_Data_Copy!A330)</f>
        <v>ORD-0155</v>
      </c>
      <c r="B330" s="2">
        <v>45872</v>
      </c>
      <c r="C330" t="str">
        <f>TRIM(Raw_Data_Copy!C330)</f>
        <v>CUST-0082</v>
      </c>
      <c r="D330" t="str">
        <f>PROPER(TRIM(Raw_Data_Copy!D330))</f>
        <v>United States</v>
      </c>
      <c r="E330" t="str">
        <f>PROPER(TRIM(Raw_Data_Copy!E330))</f>
        <v>North America</v>
      </c>
      <c r="F330" t="str">
        <f>PROPER(TRIM(Raw_Data_Copy!F330))</f>
        <v>Desk</v>
      </c>
      <c r="G330" t="str">
        <f>PROPER(TRIM(Raw_Data_Copy!G330))</f>
        <v>Furniture</v>
      </c>
      <c r="H330" t="str">
        <f>TRIM(Raw_Data_Copy!H330)</f>
        <v>7</v>
      </c>
      <c r="I330" t="str">
        <f>TRIM(Raw_Data_Copy!I330)</f>
        <v>335.81</v>
      </c>
      <c r="J330" t="str">
        <f>TRIM(Raw_Data_Copy!J330)</f>
        <v>0.25</v>
      </c>
      <c r="K330">
        <f>ROUND(Cleaned_data!$H330*Cleaned_data!$I330*(1-Cleaned_data!$J330),2)</f>
        <v>1763</v>
      </c>
      <c r="L330" t="str">
        <f>PROPER(TRIM(Raw_Data_Copy!L330))</f>
        <v>Cash</v>
      </c>
    </row>
    <row r="331" spans="1:12" x14ac:dyDescent="0.3">
      <c r="A331" t="str">
        <f>TRIM(Raw_Data_Copy!A331)</f>
        <v>ORD-0507</v>
      </c>
      <c r="B331" s="2">
        <v>45872</v>
      </c>
      <c r="C331" t="str">
        <f>TRIM(Raw_Data_Copy!C331)</f>
        <v>CUST-0131</v>
      </c>
      <c r="D331" t="str">
        <f>PROPER(TRIM(Raw_Data_Copy!D331))</f>
        <v>United Kingdom</v>
      </c>
      <c r="E331" t="str">
        <f>PROPER(TRIM(Raw_Data_Copy!E331))</f>
        <v>Europe</v>
      </c>
      <c r="F331" t="str">
        <f>PROPER(TRIM(Raw_Data_Copy!F331))</f>
        <v>Monitor</v>
      </c>
      <c r="G331" t="str">
        <f>PROPER(TRIM(Raw_Data_Copy!G331))</f>
        <v>Electronics</v>
      </c>
      <c r="H331" t="str">
        <f>TRIM(Raw_Data_Copy!H331)</f>
        <v>4</v>
      </c>
      <c r="I331" t="str">
        <f>TRIM(Raw_Data_Copy!I331)</f>
        <v>281.7</v>
      </c>
      <c r="J331" t="str">
        <f>TRIM(Raw_Data_Copy!J331)</f>
        <v>0.2</v>
      </c>
      <c r="K331">
        <f>ROUND(Cleaned_data!$H331*Cleaned_data!$I331*(1-Cleaned_data!$J331),2)</f>
        <v>901.44</v>
      </c>
      <c r="L331" t="str">
        <f>PROPER(TRIM(Raw_Data_Copy!L331))</f>
        <v>Bank Transfer</v>
      </c>
    </row>
    <row r="332" spans="1:12" x14ac:dyDescent="0.3">
      <c r="A332" t="str">
        <f>TRIM(Raw_Data_Copy!A332)</f>
        <v>ORD-0390</v>
      </c>
      <c r="B332" s="2">
        <v>45872</v>
      </c>
      <c r="C332" t="str">
        <f>TRIM(Raw_Data_Copy!C332)</f>
        <v>CUST-0120</v>
      </c>
      <c r="D332" t="str">
        <f>PROPER(TRIM(Raw_Data_Copy!D332))</f>
        <v>Ghana</v>
      </c>
      <c r="E332" t="str">
        <f>PROPER(TRIM(Raw_Data_Copy!E332))</f>
        <v>West Africa</v>
      </c>
      <c r="F332" t="str">
        <f>PROPER(TRIM(Raw_Data_Copy!F332))</f>
        <v>Keyboard</v>
      </c>
      <c r="G332" t="str">
        <f>PROPER(TRIM(Raw_Data_Copy!G332))</f>
        <v>Electronics</v>
      </c>
      <c r="H332" t="str">
        <f>TRIM(Raw_Data_Copy!H332)</f>
        <v>7</v>
      </c>
      <c r="I332" t="str">
        <f>TRIM(Raw_Data_Copy!I332)</f>
        <v>75.38</v>
      </c>
      <c r="J332" t="str">
        <f>TRIM(Raw_Data_Copy!J332)</f>
        <v>0.2</v>
      </c>
      <c r="K332">
        <f>ROUND(Cleaned_data!$H332*Cleaned_data!$I332*(1-Cleaned_data!$J332),2)</f>
        <v>422.13</v>
      </c>
      <c r="L332" t="str">
        <f>PROPER(TRIM(Raw_Data_Copy!L332))</f>
        <v>Card</v>
      </c>
    </row>
    <row r="333" spans="1:12" x14ac:dyDescent="0.3">
      <c r="A333" t="str">
        <f>TRIM(Raw_Data_Copy!A333)</f>
        <v>ORD-0419</v>
      </c>
      <c r="B333" s="2">
        <v>45873</v>
      </c>
      <c r="C333" t="str">
        <f>TRIM(Raw_Data_Copy!C333)</f>
        <v>CUST-0057</v>
      </c>
      <c r="D333" t="str">
        <f>PROPER(TRIM(Raw_Data_Copy!D333))</f>
        <v>Nigeria</v>
      </c>
      <c r="E333" t="str">
        <f>PROPER(TRIM(Raw_Data_Copy!E333))</f>
        <v>West Africa</v>
      </c>
      <c r="F333" t="str">
        <f>PROPER(TRIM(Raw_Data_Copy!F333))</f>
        <v>Desk Lamp</v>
      </c>
      <c r="G333" t="str">
        <f>PROPER(TRIM(Raw_Data_Copy!G333))</f>
        <v>Furniture</v>
      </c>
      <c r="H333" t="str">
        <f>TRIM(Raw_Data_Copy!H333)</f>
        <v>3</v>
      </c>
      <c r="I333" t="str">
        <f>TRIM(Raw_Data_Copy!I333)</f>
        <v>52.36</v>
      </c>
      <c r="J333" t="str">
        <f>TRIM(Raw_Data_Copy!J333)</f>
        <v>0.05</v>
      </c>
      <c r="K333">
        <f>ROUND(Cleaned_data!$H333*Cleaned_data!$I333*(1-Cleaned_data!$J333),2)</f>
        <v>149.22999999999999</v>
      </c>
      <c r="L333" t="str">
        <f>PROPER(TRIM(Raw_Data_Copy!L333))</f>
        <v>Cash</v>
      </c>
    </row>
    <row r="334" spans="1:12" x14ac:dyDescent="0.3">
      <c r="A334" t="str">
        <f>TRIM(Raw_Data_Copy!A334)</f>
        <v>ORD-0061</v>
      </c>
      <c r="B334" s="2">
        <v>45874</v>
      </c>
      <c r="C334" t="str">
        <f>TRIM(Raw_Data_Copy!C334)</f>
        <v>CUST-0086</v>
      </c>
      <c r="D334" t="str">
        <f>PROPER(TRIM(Raw_Data_Copy!D334))</f>
        <v>United Kingdom</v>
      </c>
      <c r="E334" t="str">
        <f>PROPER(TRIM(Raw_Data_Copy!E334))</f>
        <v>Europe</v>
      </c>
      <c r="F334" t="str">
        <f>PROPER(TRIM(Raw_Data_Copy!F334))</f>
        <v>Headphones</v>
      </c>
      <c r="G334" t="str">
        <f>PROPER(TRIM(Raw_Data_Copy!G334))</f>
        <v>Electronics</v>
      </c>
      <c r="H334" t="str">
        <f>TRIM(Raw_Data_Copy!H334)</f>
        <v>1</v>
      </c>
      <c r="I334" t="str">
        <f>TRIM(Raw_Data_Copy!I334)</f>
        <v>117.07</v>
      </c>
      <c r="J334" t="str">
        <f>TRIM(Raw_Data_Copy!J334)</f>
        <v>0.1</v>
      </c>
      <c r="K334">
        <f>ROUND(Cleaned_data!$H334*Cleaned_data!$I334*(1-Cleaned_data!$J334),2)</f>
        <v>105.36</v>
      </c>
      <c r="L334" t="str">
        <f>PROPER(TRIM(Raw_Data_Copy!L334))</f>
        <v>Mobile Money</v>
      </c>
    </row>
    <row r="335" spans="1:12" x14ac:dyDescent="0.3">
      <c r="A335" t="str">
        <f>TRIM(Raw_Data_Copy!A335)</f>
        <v>ORD-0058</v>
      </c>
      <c r="B335" s="2">
        <v>45874</v>
      </c>
      <c r="C335" t="str">
        <f>TRIM(Raw_Data_Copy!C335)</f>
        <v>CUST-0021</v>
      </c>
      <c r="D335" t="str">
        <f>PROPER(TRIM(Raw_Data_Copy!D335))</f>
        <v>Nigeria</v>
      </c>
      <c r="E335" t="str">
        <f>PROPER(TRIM(Raw_Data_Copy!E335))</f>
        <v>West Africa</v>
      </c>
      <c r="F335" t="str">
        <f>PROPER(TRIM(Raw_Data_Copy!F335))</f>
        <v>Monitor</v>
      </c>
      <c r="G335" t="str">
        <f>PROPER(TRIM(Raw_Data_Copy!G335))</f>
        <v>Electronics</v>
      </c>
      <c r="H335" t="str">
        <f>TRIM(Raw_Data_Copy!H335)</f>
        <v>4</v>
      </c>
      <c r="I335" t="str">
        <f>TRIM(Raw_Data_Copy!I335)</f>
        <v>311.57</v>
      </c>
      <c r="J335" t="str">
        <f>TRIM(Raw_Data_Copy!J335)</f>
        <v>0.05</v>
      </c>
      <c r="K335">
        <f>ROUND(Cleaned_data!$H335*Cleaned_data!$I335*(1-Cleaned_data!$J335),2)</f>
        <v>1183.97</v>
      </c>
      <c r="L335" t="str">
        <f>PROPER(TRIM(Raw_Data_Copy!L335))</f>
        <v>Cash</v>
      </c>
    </row>
    <row r="336" spans="1:12" x14ac:dyDescent="0.3">
      <c r="A336" t="str">
        <f>TRIM(Raw_Data_Copy!A336)</f>
        <v>ORD-0463</v>
      </c>
      <c r="B336" s="2">
        <v>45876</v>
      </c>
      <c r="C336" t="str">
        <f>TRIM(Raw_Data_Copy!C336)</f>
        <v>CUST-0177</v>
      </c>
      <c r="D336" t="str">
        <f>PROPER(TRIM(Raw_Data_Copy!D336))</f>
        <v>Ghana</v>
      </c>
      <c r="E336" t="str">
        <f>PROPER(TRIM(Raw_Data_Copy!E336))</f>
        <v>West Africa</v>
      </c>
      <c r="F336" t="str">
        <f>PROPER(TRIM(Raw_Data_Copy!F336))</f>
        <v>Printer</v>
      </c>
      <c r="G336" t="str">
        <f>PROPER(TRIM(Raw_Data_Copy!G336))</f>
        <v>Office Supplies</v>
      </c>
      <c r="H336" t="str">
        <f>TRIM(Raw_Data_Copy!H336)</f>
        <v>5</v>
      </c>
      <c r="I336" t="str">
        <f>TRIM(Raw_Data_Copy!I336)</f>
        <v>273.95</v>
      </c>
      <c r="J336" t="str">
        <f>TRIM(Raw_Data_Copy!J336)</f>
        <v>0.1</v>
      </c>
      <c r="K336">
        <f>ROUND(Cleaned_data!$H336*Cleaned_data!$I336*(1-Cleaned_data!$J336),2)</f>
        <v>1232.78</v>
      </c>
      <c r="L336" t="str">
        <f>PROPER(TRIM(Raw_Data_Copy!L336))</f>
        <v>Card</v>
      </c>
    </row>
    <row r="337" spans="1:12" x14ac:dyDescent="0.3">
      <c r="A337" t="str">
        <f>TRIM(Raw_Data_Copy!A337)</f>
        <v>ORD-0578</v>
      </c>
      <c r="B337" s="2">
        <v>45877</v>
      </c>
      <c r="C337" t="str">
        <f>TRIM(Raw_Data_Copy!C337)</f>
        <v>CUST-0122</v>
      </c>
      <c r="D337" t="str">
        <f>PROPER(TRIM(Raw_Data_Copy!D337))</f>
        <v>Ghana</v>
      </c>
      <c r="E337" t="str">
        <f>PROPER(TRIM(Raw_Data_Copy!E337))</f>
        <v>West Africa</v>
      </c>
      <c r="F337" t="str">
        <f>PROPER(TRIM(Raw_Data_Copy!F337))</f>
        <v>Printer</v>
      </c>
      <c r="G337" t="str">
        <f>PROPER(TRIM(Raw_Data_Copy!G337))</f>
        <v>Office Supplies</v>
      </c>
      <c r="H337" t="str">
        <f>TRIM(Raw_Data_Copy!H337)</f>
        <v>5</v>
      </c>
      <c r="I337" t="str">
        <f>TRIM(Raw_Data_Copy!I337)</f>
        <v>253.4</v>
      </c>
      <c r="J337" t="str">
        <f>TRIM(Raw_Data_Copy!J337)</f>
        <v>0.05</v>
      </c>
      <c r="K337">
        <f>ROUND(Cleaned_data!$H337*Cleaned_data!$I337*(1-Cleaned_data!$J337),2)</f>
        <v>1203.6500000000001</v>
      </c>
      <c r="L337" t="str">
        <f>PROPER(TRIM(Raw_Data_Copy!L337))</f>
        <v>Cash</v>
      </c>
    </row>
    <row r="338" spans="1:12" x14ac:dyDescent="0.3">
      <c r="A338" t="str">
        <f>TRIM(Raw_Data_Copy!A338)</f>
        <v>ORD-0274</v>
      </c>
      <c r="B338" s="2">
        <v>45877</v>
      </c>
      <c r="C338" t="str">
        <f>TRIM(Raw_Data_Copy!C338)</f>
        <v>CUST-0081</v>
      </c>
      <c r="D338" t="str">
        <f>PROPER(TRIM(Raw_Data_Copy!D338))</f>
        <v>Kenya</v>
      </c>
      <c r="E338" t="str">
        <f>PROPER(TRIM(Raw_Data_Copy!E338))</f>
        <v>East Africa</v>
      </c>
      <c r="F338" t="str">
        <f>PROPER(TRIM(Raw_Data_Copy!F338))</f>
        <v>Backpack</v>
      </c>
      <c r="G338" t="str">
        <f>PROPER(TRIM(Raw_Data_Copy!G338))</f>
        <v>Accessories</v>
      </c>
      <c r="H338" t="str">
        <f>TRIM(Raw_Data_Copy!H338)</f>
        <v>8</v>
      </c>
      <c r="I338" t="str">
        <f>TRIM(Raw_Data_Copy!I338)</f>
        <v>68.53</v>
      </c>
      <c r="J338" t="str">
        <f>TRIM(Raw_Data_Copy!J338)</f>
        <v>0.1</v>
      </c>
      <c r="K338">
        <f>ROUND(Cleaned_data!$H338*Cleaned_data!$I338*(1-Cleaned_data!$J338),2)</f>
        <v>493.42</v>
      </c>
      <c r="L338" t="str">
        <f>PROPER(TRIM(Raw_Data_Copy!L338))</f>
        <v>Card</v>
      </c>
    </row>
    <row r="339" spans="1:12" x14ac:dyDescent="0.3">
      <c r="A339" t="str">
        <f>TRIM(Raw_Data_Copy!A339)</f>
        <v>ORD-0303</v>
      </c>
      <c r="B339" s="2">
        <v>45877</v>
      </c>
      <c r="C339" t="str">
        <f>TRIM(Raw_Data_Copy!C339)</f>
        <v>CUST-0135</v>
      </c>
      <c r="D339" t="str">
        <f>PROPER(TRIM(Raw_Data_Copy!D339))</f>
        <v>South Africa</v>
      </c>
      <c r="E339" t="str">
        <f>PROPER(TRIM(Raw_Data_Copy!E339))</f>
        <v>Southern Africa</v>
      </c>
      <c r="F339" t="str">
        <f>PROPER(TRIM(Raw_Data_Copy!F339))</f>
        <v>Office Chair</v>
      </c>
      <c r="G339" t="str">
        <f>PROPER(TRIM(Raw_Data_Copy!G339))</f>
        <v>Furniture</v>
      </c>
      <c r="H339" t="str">
        <f>TRIM(Raw_Data_Copy!H339)</f>
        <v>5</v>
      </c>
      <c r="I339" t="str">
        <f>TRIM(Raw_Data_Copy!I339)</f>
        <v>201.03</v>
      </c>
      <c r="J339" t="str">
        <f>TRIM(Raw_Data_Copy!J339)</f>
        <v>0</v>
      </c>
      <c r="K339">
        <f>ROUND(Cleaned_data!$H339*Cleaned_data!$I339*(1-Cleaned_data!$J339),2)</f>
        <v>1005.15</v>
      </c>
      <c r="L339" t="str">
        <f>PROPER(TRIM(Raw_Data_Copy!L339))</f>
        <v>Card</v>
      </c>
    </row>
    <row r="340" spans="1:12" x14ac:dyDescent="0.3">
      <c r="A340" t="str">
        <f>TRIM(Raw_Data_Copy!A340)</f>
        <v>ORD-0436</v>
      </c>
      <c r="B340" s="2">
        <v>45878</v>
      </c>
      <c r="C340" t="str">
        <f>TRIM(Raw_Data_Copy!C340)</f>
        <v>CUST-0068</v>
      </c>
      <c r="D340" t="str">
        <f>PROPER(TRIM(Raw_Data_Copy!D340))</f>
        <v>Ghana</v>
      </c>
      <c r="E340" t="str">
        <f>PROPER(TRIM(Raw_Data_Copy!E340))</f>
        <v>West Africa</v>
      </c>
      <c r="F340" t="str">
        <f>PROPER(TRIM(Raw_Data_Copy!F340))</f>
        <v>Printer</v>
      </c>
      <c r="G340" t="str">
        <f>PROPER(TRIM(Raw_Data_Copy!G340))</f>
        <v>Office Supplies</v>
      </c>
      <c r="H340" t="str">
        <f>TRIM(Raw_Data_Copy!H340)</f>
        <v>1</v>
      </c>
      <c r="I340" t="str">
        <f>TRIM(Raw_Data_Copy!I340)</f>
        <v>233.76</v>
      </c>
      <c r="J340" t="str">
        <f>TRIM(Raw_Data_Copy!J340)</f>
        <v>0.2</v>
      </c>
      <c r="K340">
        <f>ROUND(Cleaned_data!$H340*Cleaned_data!$I340*(1-Cleaned_data!$J340),2)</f>
        <v>187.01</v>
      </c>
      <c r="L340" t="str">
        <f>PROPER(TRIM(Raw_Data_Copy!L340))</f>
        <v>Card</v>
      </c>
    </row>
    <row r="341" spans="1:12" x14ac:dyDescent="0.3">
      <c r="A341" t="str">
        <f>TRIM(Raw_Data_Copy!A341)</f>
        <v>ORD-0592</v>
      </c>
      <c r="B341" s="2">
        <v>45878</v>
      </c>
      <c r="C341" t="str">
        <f>TRIM(Raw_Data_Copy!C341)</f>
        <v>CUST-0167</v>
      </c>
      <c r="D341" t="str">
        <f>PROPER(TRIM(Raw_Data_Copy!D341))</f>
        <v>South Africa</v>
      </c>
      <c r="E341" t="str">
        <f>PROPER(TRIM(Raw_Data_Copy!E341))</f>
        <v>Southern Africa</v>
      </c>
      <c r="F341" t="str">
        <f>PROPER(TRIM(Raw_Data_Copy!F341))</f>
        <v>Headphones</v>
      </c>
      <c r="G341" t="str">
        <f>PROPER(TRIM(Raw_Data_Copy!G341))</f>
        <v>Electronics</v>
      </c>
      <c r="H341" t="str">
        <f>TRIM(Raw_Data_Copy!H341)</f>
        <v>6</v>
      </c>
      <c r="I341" t="str">
        <f>TRIM(Raw_Data_Copy!I341)</f>
        <v>126.06</v>
      </c>
      <c r="J341" t="str">
        <f>TRIM(Raw_Data_Copy!J341)</f>
        <v>0.1</v>
      </c>
      <c r="K341">
        <f>ROUND(Cleaned_data!$H341*Cleaned_data!$I341*(1-Cleaned_data!$J341),2)</f>
        <v>680.72</v>
      </c>
      <c r="L341" t="str">
        <f>PROPER(TRIM(Raw_Data_Copy!L341))</f>
        <v>Mobile Money</v>
      </c>
    </row>
    <row r="342" spans="1:12" x14ac:dyDescent="0.3">
      <c r="A342" t="str">
        <f>TRIM(Raw_Data_Copy!A342)</f>
        <v>ORD-0016</v>
      </c>
      <c r="B342" s="2">
        <v>45879</v>
      </c>
      <c r="C342" t="str">
        <f>TRIM(Raw_Data_Copy!C342)</f>
        <v>CUST-0151</v>
      </c>
      <c r="D342" t="str">
        <f>PROPER(TRIM(Raw_Data_Copy!D342))</f>
        <v>Kenya</v>
      </c>
      <c r="E342" t="str">
        <f>PROPER(TRIM(Raw_Data_Copy!E342))</f>
        <v>East Africa</v>
      </c>
      <c r="F342" t="str">
        <f>PROPER(TRIM(Raw_Data_Copy!F342))</f>
        <v>Headphones</v>
      </c>
      <c r="G342" t="str">
        <f>PROPER(TRIM(Raw_Data_Copy!G342))</f>
        <v>Electronics</v>
      </c>
      <c r="H342" t="str">
        <f>TRIM(Raw_Data_Copy!H342)</f>
        <v>7</v>
      </c>
      <c r="I342" t="str">
        <f>TRIM(Raw_Data_Copy!I342)</f>
        <v>129.5</v>
      </c>
      <c r="J342" t="str">
        <f>TRIM(Raw_Data_Copy!J342)</f>
        <v>0.1</v>
      </c>
      <c r="K342">
        <f>ROUND(Cleaned_data!$H342*Cleaned_data!$I342*(1-Cleaned_data!$J342),2)</f>
        <v>815.85</v>
      </c>
      <c r="L342" t="str">
        <f>PROPER(TRIM(Raw_Data_Copy!L342))</f>
        <v>Mobile Money</v>
      </c>
    </row>
    <row r="343" spans="1:12" x14ac:dyDescent="0.3">
      <c r="A343" t="str">
        <f>TRIM(Raw_Data_Copy!A343)</f>
        <v>ORD-0136</v>
      </c>
      <c r="B343" s="2">
        <v>45880</v>
      </c>
      <c r="C343" t="str">
        <f>TRIM(Raw_Data_Copy!C343)</f>
        <v>CUST-0055</v>
      </c>
      <c r="D343" t="str">
        <f>PROPER(TRIM(Raw_Data_Copy!D343))</f>
        <v>United States</v>
      </c>
      <c r="E343" t="str">
        <f>PROPER(TRIM(Raw_Data_Copy!E343))</f>
        <v>North America</v>
      </c>
      <c r="F343" t="str">
        <f>PROPER(TRIM(Raw_Data_Copy!F343))</f>
        <v>Keyboard</v>
      </c>
      <c r="G343" t="str">
        <f>PROPER(TRIM(Raw_Data_Copy!G343))</f>
        <v>Electronics</v>
      </c>
      <c r="H343" t="str">
        <f>TRIM(Raw_Data_Copy!H343)</f>
        <v>6</v>
      </c>
      <c r="I343" t="str">
        <f>TRIM(Raw_Data_Copy!I343)</f>
        <v>85.28</v>
      </c>
      <c r="J343" t="str">
        <f>TRIM(Raw_Data_Copy!J343)</f>
        <v>0.1</v>
      </c>
      <c r="K343">
        <f>ROUND(Cleaned_data!$H343*Cleaned_data!$I343*(1-Cleaned_data!$J343),2)</f>
        <v>460.51</v>
      </c>
      <c r="L343" t="str">
        <f>PROPER(TRIM(Raw_Data_Copy!L343))</f>
        <v>Mobile Money</v>
      </c>
    </row>
    <row r="344" spans="1:12" x14ac:dyDescent="0.3">
      <c r="A344" t="str">
        <f>TRIM(Raw_Data_Copy!A344)</f>
        <v>ORD-0023</v>
      </c>
      <c r="B344" s="2">
        <v>45881</v>
      </c>
      <c r="C344" t="str">
        <f>TRIM(Raw_Data_Copy!C344)</f>
        <v>CUST-0129</v>
      </c>
      <c r="D344" t="str">
        <f>PROPER(TRIM(Raw_Data_Copy!D344))</f>
        <v>United States</v>
      </c>
      <c r="E344" t="str">
        <f>PROPER(TRIM(Raw_Data_Copy!E344))</f>
        <v>North America</v>
      </c>
      <c r="F344" t="str">
        <f>PROPER(TRIM(Raw_Data_Copy!F344))</f>
        <v>Notebook</v>
      </c>
      <c r="G344" t="str">
        <f>PROPER(TRIM(Raw_Data_Copy!G344))</f>
        <v>Office Supplies</v>
      </c>
      <c r="H344" t="str">
        <f>TRIM(Raw_Data_Copy!H344)</f>
        <v>1</v>
      </c>
      <c r="I344" t="str">
        <f>TRIM(Raw_Data_Copy!I344)</f>
        <v>16.43</v>
      </c>
      <c r="J344" t="str">
        <f>TRIM(Raw_Data_Copy!J344)</f>
        <v>0.1</v>
      </c>
      <c r="K344">
        <f>ROUND(Cleaned_data!$H344*Cleaned_data!$I344*(1-Cleaned_data!$J344),2)</f>
        <v>14.79</v>
      </c>
      <c r="L344" t="str">
        <f>PROPER(TRIM(Raw_Data_Copy!L344))</f>
        <v>Card</v>
      </c>
    </row>
    <row r="345" spans="1:12" x14ac:dyDescent="0.3">
      <c r="A345" t="str">
        <f>TRIM(Raw_Data_Copy!A345)</f>
        <v>ORD-0129</v>
      </c>
      <c r="B345" s="2">
        <v>45881</v>
      </c>
      <c r="C345" t="str">
        <f>TRIM(Raw_Data_Copy!C345)</f>
        <v>CUST-0141</v>
      </c>
      <c r="D345" t="str">
        <f>PROPER(TRIM(Raw_Data_Copy!D345))</f>
        <v>Kenya</v>
      </c>
      <c r="E345" t="str">
        <f>PROPER(TRIM(Raw_Data_Copy!E345))</f>
        <v>East Africa</v>
      </c>
      <c r="F345" t="str">
        <f>PROPER(TRIM(Raw_Data_Copy!F345))</f>
        <v>Backpack</v>
      </c>
      <c r="G345" t="str">
        <f>PROPER(TRIM(Raw_Data_Copy!G345))</f>
        <v>Accessories</v>
      </c>
      <c r="H345" t="str">
        <f>TRIM(Raw_Data_Copy!H345)</f>
        <v>4</v>
      </c>
      <c r="I345" t="str">
        <f>TRIM(Raw_Data_Copy!I345)</f>
        <v>75.53</v>
      </c>
      <c r="J345" t="str">
        <f>TRIM(Raw_Data_Copy!J345)</f>
        <v>0</v>
      </c>
      <c r="K345">
        <f>ROUND(Cleaned_data!$H345*Cleaned_data!$I345*(1-Cleaned_data!$J345),2)</f>
        <v>302.12</v>
      </c>
      <c r="L345" t="str">
        <f>PROPER(TRIM(Raw_Data_Copy!L345))</f>
        <v>Card</v>
      </c>
    </row>
    <row r="346" spans="1:12" x14ac:dyDescent="0.3">
      <c r="A346" t="str">
        <f>TRIM(Raw_Data_Copy!A346)</f>
        <v>ORD-0140</v>
      </c>
      <c r="B346" s="2">
        <v>45881</v>
      </c>
      <c r="C346" t="str">
        <f>TRIM(Raw_Data_Copy!C346)</f>
        <v>CUST-0114</v>
      </c>
      <c r="D346" t="str">
        <f>PROPER(TRIM(Raw_Data_Copy!D346))</f>
        <v>United Kingdom</v>
      </c>
      <c r="E346" t="str">
        <f>PROPER(TRIM(Raw_Data_Copy!E346))</f>
        <v>Europe</v>
      </c>
      <c r="F346" t="str">
        <f>PROPER(TRIM(Raw_Data_Copy!F346))</f>
        <v>Laptop</v>
      </c>
      <c r="G346" t="str">
        <f>PROPER(TRIM(Raw_Data_Copy!G346))</f>
        <v>Electronics</v>
      </c>
      <c r="H346" t="str">
        <f>TRIM(Raw_Data_Copy!H346)</f>
        <v>2</v>
      </c>
      <c r="I346" t="str">
        <f>TRIM(Raw_Data_Copy!I346)</f>
        <v>911.84</v>
      </c>
      <c r="J346" t="str">
        <f>TRIM(Raw_Data_Copy!J346)</f>
        <v>0.3</v>
      </c>
      <c r="K346">
        <f>ROUND(Cleaned_data!$H346*Cleaned_data!$I346*(1-Cleaned_data!$J346),2)</f>
        <v>1276.58</v>
      </c>
      <c r="L346" t="str">
        <f>PROPER(TRIM(Raw_Data_Copy!L346))</f>
        <v>Mobile Money</v>
      </c>
    </row>
    <row r="347" spans="1:12" x14ac:dyDescent="0.3">
      <c r="A347" t="str">
        <f>TRIM(Raw_Data_Copy!A347)</f>
        <v>ORD-0412</v>
      </c>
      <c r="B347" s="2">
        <v>45881</v>
      </c>
      <c r="C347" t="str">
        <f>TRIM(Raw_Data_Copy!C347)</f>
        <v>CUST-0153</v>
      </c>
      <c r="D347" t="str">
        <f>PROPER(TRIM(Raw_Data_Copy!D347))</f>
        <v>South Africa</v>
      </c>
      <c r="E347" t="str">
        <f>PROPER(TRIM(Raw_Data_Copy!E347))</f>
        <v>Southern Africa</v>
      </c>
      <c r="F347" t="str">
        <f>PROPER(TRIM(Raw_Data_Copy!F347))</f>
        <v>Printer</v>
      </c>
      <c r="G347" t="str">
        <f>PROPER(TRIM(Raw_Data_Copy!G347))</f>
        <v>Office Supplies</v>
      </c>
      <c r="H347" t="str">
        <f>TRIM(Raw_Data_Copy!H347)</f>
        <v>3</v>
      </c>
      <c r="I347" t="str">
        <f>TRIM(Raw_Data_Copy!I347)</f>
        <v>244.13</v>
      </c>
      <c r="J347" t="str">
        <f>TRIM(Raw_Data_Copy!J347)</f>
        <v>0.05</v>
      </c>
      <c r="K347">
        <f>ROUND(Cleaned_data!$H347*Cleaned_data!$I347*(1-Cleaned_data!$J347),2)</f>
        <v>695.77</v>
      </c>
      <c r="L347" t="str">
        <f>PROPER(TRIM(Raw_Data_Copy!L347))</f>
        <v>Card</v>
      </c>
    </row>
    <row r="348" spans="1:12" x14ac:dyDescent="0.3">
      <c r="A348" t="str">
        <f>TRIM(Raw_Data_Copy!A348)</f>
        <v>ORD-0113</v>
      </c>
      <c r="B348" s="2">
        <v>45882</v>
      </c>
      <c r="C348" t="str">
        <f>TRIM(Raw_Data_Copy!C348)</f>
        <v>CUST-0053</v>
      </c>
      <c r="D348" t="str">
        <f>PROPER(TRIM(Raw_Data_Copy!D348))</f>
        <v>United States</v>
      </c>
      <c r="E348" t="str">
        <f>PROPER(TRIM(Raw_Data_Copy!E348))</f>
        <v>North America</v>
      </c>
      <c r="F348" t="str">
        <f>PROPER(TRIM(Raw_Data_Copy!F348))</f>
        <v>Backpack</v>
      </c>
      <c r="G348" t="str">
        <f>PROPER(TRIM(Raw_Data_Copy!G348))</f>
        <v>Accessories</v>
      </c>
      <c r="H348" t="str">
        <f>TRIM(Raw_Data_Copy!H348)</f>
        <v>1</v>
      </c>
      <c r="I348" t="str">
        <f>TRIM(Raw_Data_Copy!I348)</f>
        <v>78.71</v>
      </c>
      <c r="J348" t="str">
        <f>TRIM(Raw_Data_Copy!J348)</f>
        <v>0.1</v>
      </c>
      <c r="K348">
        <f>ROUND(Cleaned_data!$H348*Cleaned_data!$I348*(1-Cleaned_data!$J348),2)</f>
        <v>70.84</v>
      </c>
      <c r="L348" t="str">
        <f>PROPER(TRIM(Raw_Data_Copy!L348))</f>
        <v>Card</v>
      </c>
    </row>
    <row r="349" spans="1:12" x14ac:dyDescent="0.3">
      <c r="A349" t="str">
        <f>TRIM(Raw_Data_Copy!A349)</f>
        <v>ORD-0414</v>
      </c>
      <c r="B349" s="2">
        <v>45882</v>
      </c>
      <c r="C349" t="str">
        <f>TRIM(Raw_Data_Copy!C349)</f>
        <v>CUST-0045</v>
      </c>
      <c r="D349" t="str">
        <f>PROPER(TRIM(Raw_Data_Copy!D349))</f>
        <v>South Africa</v>
      </c>
      <c r="E349" t="str">
        <f>PROPER(TRIM(Raw_Data_Copy!E349))</f>
        <v>Southern Africa</v>
      </c>
      <c r="F349" t="str">
        <f>PROPER(TRIM(Raw_Data_Copy!F349))</f>
        <v>Monitor</v>
      </c>
      <c r="G349" t="str">
        <f>PROPER(TRIM(Raw_Data_Copy!G349))</f>
        <v>Electronics</v>
      </c>
      <c r="H349" t="str">
        <f>TRIM(Raw_Data_Copy!H349)</f>
        <v>4</v>
      </c>
      <c r="I349" t="str">
        <f>TRIM(Raw_Data_Copy!I349)</f>
        <v>320.82</v>
      </c>
      <c r="J349" t="str">
        <f>TRIM(Raw_Data_Copy!J349)</f>
        <v>0</v>
      </c>
      <c r="K349">
        <f>ROUND(Cleaned_data!$H349*Cleaned_data!$I349*(1-Cleaned_data!$J349),2)</f>
        <v>1283.28</v>
      </c>
      <c r="L349" t="str">
        <f>PROPER(TRIM(Raw_Data_Copy!L349))</f>
        <v>Bank Transfer</v>
      </c>
    </row>
    <row r="350" spans="1:12" x14ac:dyDescent="0.3">
      <c r="A350" t="str">
        <f>TRIM(Raw_Data_Copy!A350)</f>
        <v>ORD-0474</v>
      </c>
      <c r="B350" s="2">
        <v>45882</v>
      </c>
      <c r="C350" t="str">
        <f>TRIM(Raw_Data_Copy!C350)</f>
        <v>CUST-0110</v>
      </c>
      <c r="D350" t="str">
        <f>PROPER(TRIM(Raw_Data_Copy!D350))</f>
        <v>South Africa</v>
      </c>
      <c r="E350" t="str">
        <f>PROPER(TRIM(Raw_Data_Copy!E350))</f>
        <v>Southern Africa</v>
      </c>
      <c r="F350" t="str">
        <f>PROPER(TRIM(Raw_Data_Copy!F350))</f>
        <v>Desk</v>
      </c>
      <c r="G350" t="str">
        <f>PROPER(TRIM(Raw_Data_Copy!G350))</f>
        <v>Furniture</v>
      </c>
      <c r="H350" t="str">
        <f>TRIM(Raw_Data_Copy!H350)</f>
        <v>7</v>
      </c>
      <c r="I350" t="str">
        <f>TRIM(Raw_Data_Copy!I350)</f>
        <v>318.5</v>
      </c>
      <c r="J350" t="str">
        <f>TRIM(Raw_Data_Copy!J350)</f>
        <v>0.25</v>
      </c>
      <c r="K350">
        <f>ROUND(Cleaned_data!$H350*Cleaned_data!$I350*(1-Cleaned_data!$J350),2)</f>
        <v>1672.13</v>
      </c>
      <c r="L350" t="str">
        <f>PROPER(TRIM(Raw_Data_Copy!L350))</f>
        <v>Card</v>
      </c>
    </row>
    <row r="351" spans="1:12" x14ac:dyDescent="0.3">
      <c r="A351" t="str">
        <f>TRIM(Raw_Data_Copy!A351)</f>
        <v>ORD-0170</v>
      </c>
      <c r="B351" s="2">
        <v>45883</v>
      </c>
      <c r="C351" t="str">
        <f>TRIM(Raw_Data_Copy!C351)</f>
        <v>CUST-0124</v>
      </c>
      <c r="D351" t="str">
        <f>PROPER(TRIM(Raw_Data_Copy!D351))</f>
        <v>United States</v>
      </c>
      <c r="E351" t="str">
        <f>PROPER(TRIM(Raw_Data_Copy!E351))</f>
        <v>North America</v>
      </c>
      <c r="F351" t="str">
        <f>PROPER(TRIM(Raw_Data_Copy!F351))</f>
        <v>Printer</v>
      </c>
      <c r="G351" t="str">
        <f>PROPER(TRIM(Raw_Data_Copy!G351))</f>
        <v>Office Supplies</v>
      </c>
      <c r="H351" t="str">
        <f>TRIM(Raw_Data_Copy!H351)</f>
        <v>1</v>
      </c>
      <c r="I351" t="str">
        <f>TRIM(Raw_Data_Copy!I351)</f>
        <v>241.45</v>
      </c>
      <c r="J351" t="str">
        <f>TRIM(Raw_Data_Copy!J351)</f>
        <v>0.25</v>
      </c>
      <c r="K351">
        <f>ROUND(Cleaned_data!$H351*Cleaned_data!$I351*(1-Cleaned_data!$J351),2)</f>
        <v>181.09</v>
      </c>
      <c r="L351" t="str">
        <f>PROPER(TRIM(Raw_Data_Copy!L351))</f>
        <v>Bank Transfer</v>
      </c>
    </row>
    <row r="352" spans="1:12" x14ac:dyDescent="0.3">
      <c r="A352" t="str">
        <f>TRIM(Raw_Data_Copy!A352)</f>
        <v>ORD-0148</v>
      </c>
      <c r="B352" s="2">
        <v>45884</v>
      </c>
      <c r="C352" t="str">
        <f>TRIM(Raw_Data_Copy!C352)</f>
        <v>CUST-0081</v>
      </c>
      <c r="D352" t="str">
        <f>PROPER(TRIM(Raw_Data_Copy!D352))</f>
        <v>United States</v>
      </c>
      <c r="E352" t="str">
        <f>PROPER(TRIM(Raw_Data_Copy!E352))</f>
        <v>North America</v>
      </c>
      <c r="F352" t="str">
        <f>PROPER(TRIM(Raw_Data_Copy!F352))</f>
        <v>Desk</v>
      </c>
      <c r="G352" t="str">
        <f>PROPER(TRIM(Raw_Data_Copy!G352))</f>
        <v>Furniture</v>
      </c>
      <c r="H352" t="str">
        <f>TRIM(Raw_Data_Copy!H352)</f>
        <v>8</v>
      </c>
      <c r="I352" t="str">
        <f>TRIM(Raw_Data_Copy!I352)</f>
        <v>330.05</v>
      </c>
      <c r="J352" t="str">
        <f>TRIM(Raw_Data_Copy!J352)</f>
        <v>0</v>
      </c>
      <c r="K352">
        <f>ROUND(Cleaned_data!$H352*Cleaned_data!$I352*(1-Cleaned_data!$J352),2)</f>
        <v>2640.4</v>
      </c>
      <c r="L352" t="str">
        <f>PROPER(TRIM(Raw_Data_Copy!L352))</f>
        <v>Card</v>
      </c>
    </row>
    <row r="353" spans="1:12" x14ac:dyDescent="0.3">
      <c r="A353" t="str">
        <f>TRIM(Raw_Data_Copy!A353)</f>
        <v>ORD-0072</v>
      </c>
      <c r="B353" s="2">
        <v>45884</v>
      </c>
      <c r="C353" t="str">
        <f>TRIM(Raw_Data_Copy!C353)</f>
        <v>CUST-0147</v>
      </c>
      <c r="D353" t="str">
        <f>PROPER(TRIM(Raw_Data_Copy!D353))</f>
        <v>United Kingdom</v>
      </c>
      <c r="E353" t="str">
        <f>PROPER(TRIM(Raw_Data_Copy!E353))</f>
        <v>Europe</v>
      </c>
      <c r="F353" t="str">
        <f>PROPER(TRIM(Raw_Data_Copy!F353))</f>
        <v>Desk</v>
      </c>
      <c r="G353" t="str">
        <f>PROPER(TRIM(Raw_Data_Copy!G353))</f>
        <v>Furniture</v>
      </c>
      <c r="H353" t="str">
        <f>TRIM(Raw_Data_Copy!H353)</f>
        <v>8</v>
      </c>
      <c r="I353" t="str">
        <f>TRIM(Raw_Data_Copy!I353)</f>
        <v>351.94</v>
      </c>
      <c r="J353" t="str">
        <f>TRIM(Raw_Data_Copy!J353)</f>
        <v>0.3</v>
      </c>
      <c r="K353">
        <f>ROUND(Cleaned_data!$H353*Cleaned_data!$I353*(1-Cleaned_data!$J353),2)</f>
        <v>1970.86</v>
      </c>
      <c r="L353" t="str">
        <f>PROPER(TRIM(Raw_Data_Copy!L353))</f>
        <v>Card</v>
      </c>
    </row>
    <row r="354" spans="1:12" x14ac:dyDescent="0.3">
      <c r="A354" t="str">
        <f>TRIM(Raw_Data_Copy!A354)</f>
        <v>ORD-0290</v>
      </c>
      <c r="B354" s="2">
        <v>45884</v>
      </c>
      <c r="C354" t="str">
        <f>TRIM(Raw_Data_Copy!C354)</f>
        <v>CUST-0154</v>
      </c>
      <c r="D354" t="str">
        <f>PROPER(TRIM(Raw_Data_Copy!D354))</f>
        <v>Kenya</v>
      </c>
      <c r="E354" t="str">
        <f>PROPER(TRIM(Raw_Data_Copy!E354))</f>
        <v>East Africa</v>
      </c>
      <c r="F354" t="str">
        <f>PROPER(TRIM(Raw_Data_Copy!F354))</f>
        <v>Printer</v>
      </c>
      <c r="G354" t="str">
        <f>PROPER(TRIM(Raw_Data_Copy!G354))</f>
        <v>Office Supplies</v>
      </c>
      <c r="H354" t="str">
        <f>TRIM(Raw_Data_Copy!H354)</f>
        <v>4</v>
      </c>
      <c r="I354" t="str">
        <f>TRIM(Raw_Data_Copy!I354)</f>
        <v>244.27</v>
      </c>
      <c r="J354" t="str">
        <f>TRIM(Raw_Data_Copy!J354)</f>
        <v>0.15</v>
      </c>
      <c r="K354">
        <f>ROUND(Cleaned_data!$H354*Cleaned_data!$I354*(1-Cleaned_data!$J354),2)</f>
        <v>830.52</v>
      </c>
      <c r="L354" t="str">
        <f>PROPER(TRIM(Raw_Data_Copy!L354))</f>
        <v>Bank Transfer</v>
      </c>
    </row>
    <row r="355" spans="1:12" x14ac:dyDescent="0.3">
      <c r="A355" t="str">
        <f>TRIM(Raw_Data_Copy!A355)</f>
        <v>ORD-0102</v>
      </c>
      <c r="B355" s="2">
        <v>45886</v>
      </c>
      <c r="C355" t="str">
        <f>TRIM(Raw_Data_Copy!C355)</f>
        <v>CUST-0036</v>
      </c>
      <c r="D355" t="str">
        <f>PROPER(TRIM(Raw_Data_Copy!D355))</f>
        <v>United States</v>
      </c>
      <c r="E355" t="str">
        <f>PROPER(TRIM(Raw_Data_Copy!E355))</f>
        <v>North America</v>
      </c>
      <c r="F355" t="str">
        <f>PROPER(TRIM(Raw_Data_Copy!F355))</f>
        <v>Keyboard</v>
      </c>
      <c r="G355" t="str">
        <f>PROPER(TRIM(Raw_Data_Copy!G355))</f>
        <v>Electronics</v>
      </c>
      <c r="H355" t="str">
        <f>TRIM(Raw_Data_Copy!H355)</f>
        <v>7</v>
      </c>
      <c r="I355" t="str">
        <f>TRIM(Raw_Data_Copy!I355)</f>
        <v>85.48</v>
      </c>
      <c r="J355" t="str">
        <f>TRIM(Raw_Data_Copy!J355)</f>
        <v>0</v>
      </c>
      <c r="K355">
        <f>ROUND(Cleaned_data!$H355*Cleaned_data!$I355*(1-Cleaned_data!$J355),2)</f>
        <v>598.36</v>
      </c>
      <c r="L355" t="str">
        <f>PROPER(TRIM(Raw_Data_Copy!L355))</f>
        <v>Card</v>
      </c>
    </row>
    <row r="356" spans="1:12" x14ac:dyDescent="0.3">
      <c r="A356" t="str">
        <f>TRIM(Raw_Data_Copy!A356)</f>
        <v>ORD-0150</v>
      </c>
      <c r="B356" s="2">
        <v>45886</v>
      </c>
      <c r="C356" t="str">
        <f>TRIM(Raw_Data_Copy!C356)</f>
        <v>CUST-0108</v>
      </c>
      <c r="D356" t="str">
        <f>PROPER(TRIM(Raw_Data_Copy!D356))</f>
        <v>Nigeria</v>
      </c>
      <c r="E356" t="str">
        <f>PROPER(TRIM(Raw_Data_Copy!E356))</f>
        <v>West Africa</v>
      </c>
      <c r="F356" t="str">
        <f>PROPER(TRIM(Raw_Data_Copy!F356))</f>
        <v>Notebook</v>
      </c>
      <c r="G356" t="str">
        <f>PROPER(TRIM(Raw_Data_Copy!G356))</f>
        <v>Office Supplies</v>
      </c>
      <c r="H356" t="str">
        <f>TRIM(Raw_Data_Copy!H356)</f>
        <v>8</v>
      </c>
      <c r="I356" t="str">
        <f>TRIM(Raw_Data_Copy!I356)</f>
        <v>14.8</v>
      </c>
      <c r="J356" t="str">
        <f>TRIM(Raw_Data_Copy!J356)</f>
        <v>0.05</v>
      </c>
      <c r="K356">
        <f>ROUND(Cleaned_data!$H356*Cleaned_data!$I356*(1-Cleaned_data!$J356),2)</f>
        <v>112.48</v>
      </c>
      <c r="L356" t="str">
        <f>PROPER(TRIM(Raw_Data_Copy!L356))</f>
        <v>Bank Transfer</v>
      </c>
    </row>
    <row r="357" spans="1:12" x14ac:dyDescent="0.3">
      <c r="A357" t="str">
        <f>TRIM(Raw_Data_Copy!A357)</f>
        <v>ORD-0292</v>
      </c>
      <c r="B357" s="2">
        <v>45886</v>
      </c>
      <c r="C357" t="str">
        <f>TRIM(Raw_Data_Copy!C357)</f>
        <v>CUST-0080</v>
      </c>
      <c r="D357" t="str">
        <f>PROPER(TRIM(Raw_Data_Copy!D357))</f>
        <v>Nigeria</v>
      </c>
      <c r="E357" t="str">
        <f>PROPER(TRIM(Raw_Data_Copy!E357))</f>
        <v>West Africa</v>
      </c>
      <c r="F357" t="str">
        <f>PROPER(TRIM(Raw_Data_Copy!F357))</f>
        <v>Laptop</v>
      </c>
      <c r="G357" t="str">
        <f>PROPER(TRIM(Raw_Data_Copy!G357))</f>
        <v>Electronics</v>
      </c>
      <c r="H357" t="str">
        <f>TRIM(Raw_Data_Copy!H357)</f>
        <v>7</v>
      </c>
      <c r="I357" t="str">
        <f>TRIM(Raw_Data_Copy!I357)</f>
        <v>967.37</v>
      </c>
      <c r="J357" t="str">
        <f>TRIM(Raw_Data_Copy!J357)</f>
        <v>0.1</v>
      </c>
      <c r="K357">
        <f>ROUND(Cleaned_data!$H357*Cleaned_data!$I357*(1-Cleaned_data!$J357),2)</f>
        <v>6094.43</v>
      </c>
      <c r="L357" t="str">
        <f>PROPER(TRIM(Raw_Data_Copy!L357))</f>
        <v>Bank Transfer</v>
      </c>
    </row>
    <row r="358" spans="1:12" x14ac:dyDescent="0.3">
      <c r="A358" t="str">
        <f>TRIM(Raw_Data_Copy!A358)</f>
        <v>ORD-0465</v>
      </c>
      <c r="B358" s="2">
        <v>45887</v>
      </c>
      <c r="C358" t="str">
        <f>TRIM(Raw_Data_Copy!C358)</f>
        <v>CUST-0020</v>
      </c>
      <c r="D358" t="str">
        <f>PROPER(TRIM(Raw_Data_Copy!D358))</f>
        <v>South Africa</v>
      </c>
      <c r="E358" t="str">
        <f>PROPER(TRIM(Raw_Data_Copy!E358))</f>
        <v>Southern Africa</v>
      </c>
      <c r="F358" t="str">
        <f>PROPER(TRIM(Raw_Data_Copy!F358))</f>
        <v>Backpack</v>
      </c>
      <c r="G358" t="str">
        <f>PROPER(TRIM(Raw_Data_Copy!G358))</f>
        <v>Accessories</v>
      </c>
      <c r="H358" t="str">
        <f>TRIM(Raw_Data_Copy!H358)</f>
        <v>2</v>
      </c>
      <c r="I358" t="str">
        <f>TRIM(Raw_Data_Copy!I358)</f>
        <v>76.55</v>
      </c>
      <c r="J358" t="str">
        <f>TRIM(Raw_Data_Copy!J358)</f>
        <v>0</v>
      </c>
      <c r="K358">
        <f>ROUND(Cleaned_data!$H358*Cleaned_data!$I358*(1-Cleaned_data!$J358),2)</f>
        <v>153.1</v>
      </c>
      <c r="L358" t="str">
        <f>PROPER(TRIM(Raw_Data_Copy!L358))</f>
        <v>Card</v>
      </c>
    </row>
    <row r="359" spans="1:12" x14ac:dyDescent="0.3">
      <c r="A359" t="str">
        <f>TRIM(Raw_Data_Copy!A359)</f>
        <v>ORD-0529</v>
      </c>
      <c r="B359" s="2">
        <v>45887</v>
      </c>
      <c r="C359" t="str">
        <f>TRIM(Raw_Data_Copy!C359)</f>
        <v>CUST-0066</v>
      </c>
      <c r="D359" t="str">
        <f>PROPER(TRIM(Raw_Data_Copy!D359))</f>
        <v>Kenya</v>
      </c>
      <c r="E359" t="str">
        <f>PROPER(TRIM(Raw_Data_Copy!E359))</f>
        <v>East Africa</v>
      </c>
      <c r="F359" t="str">
        <f>PROPER(TRIM(Raw_Data_Copy!F359))</f>
        <v>Keyboard</v>
      </c>
      <c r="G359" t="str">
        <f>PROPER(TRIM(Raw_Data_Copy!G359))</f>
        <v>Electronics</v>
      </c>
      <c r="H359" t="str">
        <f>TRIM(Raw_Data_Copy!H359)</f>
        <v>2</v>
      </c>
      <c r="I359" t="str">
        <f>TRIM(Raw_Data_Copy!I359)</f>
        <v>78.43</v>
      </c>
      <c r="J359" t="str">
        <f>TRIM(Raw_Data_Copy!J359)</f>
        <v>0</v>
      </c>
      <c r="K359">
        <f>ROUND(Cleaned_data!$H359*Cleaned_data!$I359*(1-Cleaned_data!$J359),2)</f>
        <v>156.86000000000001</v>
      </c>
      <c r="L359" t="str">
        <f>PROPER(TRIM(Raw_Data_Copy!L359))</f>
        <v>Mobile Money</v>
      </c>
    </row>
    <row r="360" spans="1:12" x14ac:dyDescent="0.3">
      <c r="A360" t="str">
        <f>TRIM(Raw_Data_Copy!A360)</f>
        <v>ORD-0097</v>
      </c>
      <c r="B360" s="2">
        <v>45888</v>
      </c>
      <c r="C360" t="str">
        <f>TRIM(Raw_Data_Copy!C360)</f>
        <v>CUST-0086</v>
      </c>
      <c r="D360" t="str">
        <f>PROPER(TRIM(Raw_Data_Copy!D360))</f>
        <v>Kenya</v>
      </c>
      <c r="E360" t="str">
        <f>PROPER(TRIM(Raw_Data_Copy!E360))</f>
        <v>East Africa</v>
      </c>
      <c r="F360" t="str">
        <f>PROPER(TRIM(Raw_Data_Copy!F360))</f>
        <v>Mouse</v>
      </c>
      <c r="G360" t="str">
        <f>PROPER(TRIM(Raw_Data_Copy!G360))</f>
        <v>Electronics</v>
      </c>
      <c r="H360" t="str">
        <f>TRIM(Raw_Data_Copy!H360)</f>
        <v>7</v>
      </c>
      <c r="I360" t="str">
        <f>TRIM(Raw_Data_Copy!I360)</f>
        <v>43.9</v>
      </c>
      <c r="J360" t="str">
        <f>TRIM(Raw_Data_Copy!J360)</f>
        <v>0</v>
      </c>
      <c r="K360">
        <f>ROUND(Cleaned_data!$H360*Cleaned_data!$I360*(1-Cleaned_data!$J360),2)</f>
        <v>307.3</v>
      </c>
      <c r="L360" t="str">
        <f>PROPER(TRIM(Raw_Data_Copy!L360))</f>
        <v>Card</v>
      </c>
    </row>
    <row r="361" spans="1:12" x14ac:dyDescent="0.3">
      <c r="A361" t="str">
        <f>TRIM(Raw_Data_Copy!A361)</f>
        <v>ORD-0272</v>
      </c>
      <c r="B361" s="2">
        <v>45889</v>
      </c>
      <c r="C361" t="str">
        <f>TRIM(Raw_Data_Copy!C361)</f>
        <v>CUST-0058</v>
      </c>
      <c r="D361" t="str">
        <f>PROPER(TRIM(Raw_Data_Copy!D361))</f>
        <v>South Africa</v>
      </c>
      <c r="E361" t="str">
        <f>PROPER(TRIM(Raw_Data_Copy!E361))</f>
        <v>Southern Africa</v>
      </c>
      <c r="F361" t="str">
        <f>PROPER(TRIM(Raw_Data_Copy!F361))</f>
        <v>Headphones</v>
      </c>
      <c r="G361" t="str">
        <f>PROPER(TRIM(Raw_Data_Copy!G361))</f>
        <v>Electronics</v>
      </c>
      <c r="H361" t="str">
        <f>TRIM(Raw_Data_Copy!H361)</f>
        <v>8</v>
      </c>
      <c r="I361" t="str">
        <f>TRIM(Raw_Data_Copy!I361)</f>
        <v>110.53</v>
      </c>
      <c r="J361" t="str">
        <f>TRIM(Raw_Data_Copy!J361)</f>
        <v>0</v>
      </c>
      <c r="K361">
        <f>ROUND(Cleaned_data!$H361*Cleaned_data!$I361*(1-Cleaned_data!$J361),2)</f>
        <v>884.24</v>
      </c>
      <c r="L361" t="str">
        <f>PROPER(TRIM(Raw_Data_Copy!L361))</f>
        <v>Mobile Money</v>
      </c>
    </row>
    <row r="362" spans="1:12" x14ac:dyDescent="0.3">
      <c r="A362" t="str">
        <f>TRIM(Raw_Data_Copy!A362)</f>
        <v>ORD-0269</v>
      </c>
      <c r="B362" s="2">
        <v>45889</v>
      </c>
      <c r="C362" t="str">
        <f>TRIM(Raw_Data_Copy!C362)</f>
        <v>CUST-0021</v>
      </c>
      <c r="D362" t="str">
        <f>PROPER(TRIM(Raw_Data_Copy!D362))</f>
        <v>United States</v>
      </c>
      <c r="E362" t="str">
        <f>PROPER(TRIM(Raw_Data_Copy!E362))</f>
        <v>North America</v>
      </c>
      <c r="F362" t="str">
        <f>PROPER(TRIM(Raw_Data_Copy!F362))</f>
        <v>Smartphone</v>
      </c>
      <c r="G362" t="str">
        <f>PROPER(TRIM(Raw_Data_Copy!G362))</f>
        <v>Electronics</v>
      </c>
      <c r="H362" t="str">
        <f>TRIM(Raw_Data_Copy!H362)</f>
        <v>4</v>
      </c>
      <c r="I362" t="str">
        <f>TRIM(Raw_Data_Copy!I362)</f>
        <v>594.93</v>
      </c>
      <c r="J362" t="str">
        <f>TRIM(Raw_Data_Copy!J362)</f>
        <v>0.05</v>
      </c>
      <c r="K362">
        <f>ROUND(Cleaned_data!$H362*Cleaned_data!$I362*(1-Cleaned_data!$J362),2)</f>
        <v>2260.73</v>
      </c>
      <c r="L362" t="str">
        <f>PROPER(TRIM(Raw_Data_Copy!L362))</f>
        <v>Cash</v>
      </c>
    </row>
    <row r="363" spans="1:12" x14ac:dyDescent="0.3">
      <c r="A363" t="str">
        <f>TRIM(Raw_Data_Copy!A363)</f>
        <v>ORD-0391</v>
      </c>
      <c r="B363" s="2">
        <v>45890</v>
      </c>
      <c r="C363" t="str">
        <f>TRIM(Raw_Data_Copy!C363)</f>
        <v>CUST-0158</v>
      </c>
      <c r="D363" t="str">
        <f>PROPER(TRIM(Raw_Data_Copy!D363))</f>
        <v>Nigeria</v>
      </c>
      <c r="E363" t="str">
        <f>PROPER(TRIM(Raw_Data_Copy!E363))</f>
        <v>West Africa</v>
      </c>
      <c r="F363" t="str">
        <f>PROPER(TRIM(Raw_Data_Copy!F363))</f>
        <v>Notebook</v>
      </c>
      <c r="G363" t="str">
        <f>PROPER(TRIM(Raw_Data_Copy!G363))</f>
        <v>Office Supplies</v>
      </c>
      <c r="H363" t="str">
        <f>TRIM(Raw_Data_Copy!H363)</f>
        <v>6</v>
      </c>
      <c r="I363" t="str">
        <f>TRIM(Raw_Data_Copy!I363)</f>
        <v>14.46</v>
      </c>
      <c r="J363" t="str">
        <f>TRIM(Raw_Data_Copy!J363)</f>
        <v>0.1</v>
      </c>
      <c r="K363">
        <f>ROUND(Cleaned_data!$H363*Cleaned_data!$I363*(1-Cleaned_data!$J363),2)</f>
        <v>78.08</v>
      </c>
      <c r="L363" t="str">
        <f>PROPER(TRIM(Raw_Data_Copy!L363))</f>
        <v>Card</v>
      </c>
    </row>
    <row r="364" spans="1:12" x14ac:dyDescent="0.3">
      <c r="A364" t="str">
        <f>TRIM(Raw_Data_Copy!A364)</f>
        <v>ORD-0267</v>
      </c>
      <c r="B364" s="2">
        <v>45890</v>
      </c>
      <c r="C364" t="str">
        <f>TRIM(Raw_Data_Copy!C364)</f>
        <v>CUST-0180</v>
      </c>
      <c r="D364" t="str">
        <f>PROPER(TRIM(Raw_Data_Copy!D364))</f>
        <v>Kenya</v>
      </c>
      <c r="E364" t="str">
        <f>PROPER(TRIM(Raw_Data_Copy!E364))</f>
        <v>East Africa</v>
      </c>
      <c r="F364" t="str">
        <f>PROPER(TRIM(Raw_Data_Copy!F364))</f>
        <v>Office Chair</v>
      </c>
      <c r="G364" t="str">
        <f>PROPER(TRIM(Raw_Data_Copy!G364))</f>
        <v>Furniture</v>
      </c>
      <c r="H364" t="str">
        <f>TRIM(Raw_Data_Copy!H364)</f>
        <v>2</v>
      </c>
      <c r="I364" t="str">
        <f>TRIM(Raw_Data_Copy!I364)</f>
        <v>212.29</v>
      </c>
      <c r="J364" t="str">
        <f>TRIM(Raw_Data_Copy!J364)</f>
        <v>0.15</v>
      </c>
      <c r="K364">
        <f>ROUND(Cleaned_data!$H364*Cleaned_data!$I364*(1-Cleaned_data!$J364),2)</f>
        <v>360.89</v>
      </c>
      <c r="L364" t="str">
        <f>PROPER(TRIM(Raw_Data_Copy!L364))</f>
        <v>Mobile Money</v>
      </c>
    </row>
    <row r="365" spans="1:12" x14ac:dyDescent="0.3">
      <c r="A365" t="str">
        <f>TRIM(Raw_Data_Copy!A365)</f>
        <v>ORD-0177</v>
      </c>
      <c r="B365" s="2">
        <v>45890</v>
      </c>
      <c r="C365" t="str">
        <f>TRIM(Raw_Data_Copy!C365)</f>
        <v>CUST-0017</v>
      </c>
      <c r="D365" t="str">
        <f>PROPER(TRIM(Raw_Data_Copy!D365))</f>
        <v>Kenya</v>
      </c>
      <c r="E365" t="str">
        <f>PROPER(TRIM(Raw_Data_Copy!E365))</f>
        <v>East Africa</v>
      </c>
      <c r="F365" t="str">
        <f>PROPER(TRIM(Raw_Data_Copy!F365))</f>
        <v>Desk Lamp</v>
      </c>
      <c r="G365" t="str">
        <f>PROPER(TRIM(Raw_Data_Copy!G365))</f>
        <v>Furniture</v>
      </c>
      <c r="H365" t="str">
        <f>TRIM(Raw_Data_Copy!H365)</f>
        <v>7</v>
      </c>
      <c r="I365" t="str">
        <f>TRIM(Raw_Data_Copy!I365)</f>
        <v>51.62</v>
      </c>
      <c r="J365" t="str">
        <f>TRIM(Raw_Data_Copy!J365)</f>
        <v>0</v>
      </c>
      <c r="K365">
        <f>ROUND(Cleaned_data!$H365*Cleaned_data!$I365*(1-Cleaned_data!$J365),2)</f>
        <v>361.34</v>
      </c>
      <c r="L365" t="str">
        <f>PROPER(TRIM(Raw_Data_Copy!L365))</f>
        <v>Card</v>
      </c>
    </row>
    <row r="366" spans="1:12" x14ac:dyDescent="0.3">
      <c r="A366" t="str">
        <f>TRIM(Raw_Data_Copy!A366)</f>
        <v>ORD-0217</v>
      </c>
      <c r="B366" s="2">
        <v>45891</v>
      </c>
      <c r="C366" t="str">
        <f>TRIM(Raw_Data_Copy!C366)</f>
        <v>CUST-0124</v>
      </c>
      <c r="D366" t="str">
        <f>PROPER(TRIM(Raw_Data_Copy!D366))</f>
        <v>South Africa</v>
      </c>
      <c r="E366" t="str">
        <f>PROPER(TRIM(Raw_Data_Copy!E366))</f>
        <v>Southern Africa</v>
      </c>
      <c r="F366" t="str">
        <f>PROPER(TRIM(Raw_Data_Copy!F366))</f>
        <v>Office Chair</v>
      </c>
      <c r="G366" t="str">
        <f>PROPER(TRIM(Raw_Data_Copy!G366))</f>
        <v>Furniture</v>
      </c>
      <c r="H366" t="str">
        <f>TRIM(Raw_Data_Copy!H366)</f>
        <v>7</v>
      </c>
      <c r="I366" t="str">
        <f>TRIM(Raw_Data_Copy!I366)</f>
        <v>199.32</v>
      </c>
      <c r="J366" t="str">
        <f>TRIM(Raw_Data_Copy!J366)</f>
        <v>0.05</v>
      </c>
      <c r="K366">
        <f>ROUND(Cleaned_data!$H366*Cleaned_data!$I366*(1-Cleaned_data!$J366),2)</f>
        <v>1325.48</v>
      </c>
      <c r="L366" t="str">
        <f>PROPER(TRIM(Raw_Data_Copy!L366))</f>
        <v>Bank Transfer</v>
      </c>
    </row>
    <row r="367" spans="1:12" x14ac:dyDescent="0.3">
      <c r="A367" t="str">
        <f>TRIM(Raw_Data_Copy!A367)</f>
        <v>ORD-0531</v>
      </c>
      <c r="B367" s="2">
        <v>45892</v>
      </c>
      <c r="C367" t="str">
        <f>TRIM(Raw_Data_Copy!C367)</f>
        <v>CUST-0007</v>
      </c>
      <c r="D367" t="str">
        <f>PROPER(TRIM(Raw_Data_Copy!D367))</f>
        <v>Kenya</v>
      </c>
      <c r="E367" t="str">
        <f>PROPER(TRIM(Raw_Data_Copy!E367))</f>
        <v>East Africa</v>
      </c>
      <c r="F367" t="str">
        <f>PROPER(TRIM(Raw_Data_Copy!F367))</f>
        <v>Laptop</v>
      </c>
      <c r="G367" t="str">
        <f>PROPER(TRIM(Raw_Data_Copy!G367))</f>
        <v>Electronics</v>
      </c>
      <c r="H367" t="str">
        <f>TRIM(Raw_Data_Copy!H367)</f>
        <v>8</v>
      </c>
      <c r="I367" t="str">
        <f>TRIM(Raw_Data_Copy!I367)</f>
        <v>920.94</v>
      </c>
      <c r="J367" t="str">
        <f>TRIM(Raw_Data_Copy!J367)</f>
        <v>0.05</v>
      </c>
      <c r="K367">
        <f>ROUND(Cleaned_data!$H367*Cleaned_data!$I367*(1-Cleaned_data!$J367),2)</f>
        <v>6999.14</v>
      </c>
      <c r="L367" t="str">
        <f>PROPER(TRIM(Raw_Data_Copy!L367))</f>
        <v>Mobile Money</v>
      </c>
    </row>
    <row r="368" spans="1:12" x14ac:dyDescent="0.3">
      <c r="A368" t="str">
        <f>TRIM(Raw_Data_Copy!A368)</f>
        <v>ORD-0189</v>
      </c>
      <c r="B368" s="2">
        <v>45893</v>
      </c>
      <c r="C368" t="str">
        <f>TRIM(Raw_Data_Copy!C368)</f>
        <v>CUST-0084</v>
      </c>
      <c r="D368" t="str">
        <f>PROPER(TRIM(Raw_Data_Copy!D368))</f>
        <v>United States</v>
      </c>
      <c r="E368" t="str">
        <f>PROPER(TRIM(Raw_Data_Copy!E368))</f>
        <v>North America</v>
      </c>
      <c r="F368" t="str">
        <f>PROPER(TRIM(Raw_Data_Copy!F368))</f>
        <v>Office Chair</v>
      </c>
      <c r="G368" t="str">
        <f>PROPER(TRIM(Raw_Data_Copy!G368))</f>
        <v>Furniture</v>
      </c>
      <c r="H368" t="str">
        <f>TRIM(Raw_Data_Copy!H368)</f>
        <v>6</v>
      </c>
      <c r="I368" t="str">
        <f>TRIM(Raw_Data_Copy!I368)</f>
        <v>218.33</v>
      </c>
      <c r="J368" t="str">
        <f>TRIM(Raw_Data_Copy!J368)</f>
        <v>0</v>
      </c>
      <c r="K368">
        <f>ROUND(Cleaned_data!$H368*Cleaned_data!$I368*(1-Cleaned_data!$J368),2)</f>
        <v>1309.98</v>
      </c>
      <c r="L368" t="str">
        <f>PROPER(TRIM(Raw_Data_Copy!L368))</f>
        <v>Mobile Money</v>
      </c>
    </row>
    <row r="369" spans="1:12" x14ac:dyDescent="0.3">
      <c r="A369" t="str">
        <f>TRIM(Raw_Data_Copy!A369)</f>
        <v>ORD-0099</v>
      </c>
      <c r="B369" s="2">
        <v>45893</v>
      </c>
      <c r="C369" t="str">
        <f>TRIM(Raw_Data_Copy!C369)</f>
        <v>CUST-0083</v>
      </c>
      <c r="D369" t="str">
        <f>PROPER(TRIM(Raw_Data_Copy!D369))</f>
        <v>Kenya</v>
      </c>
      <c r="E369" t="str">
        <f>PROPER(TRIM(Raw_Data_Copy!E369))</f>
        <v>East Africa</v>
      </c>
      <c r="F369" t="str">
        <f>PROPER(TRIM(Raw_Data_Copy!F369))</f>
        <v>Office Chair</v>
      </c>
      <c r="G369" t="str">
        <f>PROPER(TRIM(Raw_Data_Copy!G369))</f>
        <v>Furniture</v>
      </c>
      <c r="H369" t="str">
        <f>TRIM(Raw_Data_Copy!H369)</f>
        <v>7</v>
      </c>
      <c r="I369" t="str">
        <f>TRIM(Raw_Data_Copy!I369)</f>
        <v>230.42</v>
      </c>
      <c r="J369" t="str">
        <f>TRIM(Raw_Data_Copy!J369)</f>
        <v>0.1</v>
      </c>
      <c r="K369">
        <f>ROUND(Cleaned_data!$H369*Cleaned_data!$I369*(1-Cleaned_data!$J369),2)</f>
        <v>1451.65</v>
      </c>
      <c r="L369" t="str">
        <f>PROPER(TRIM(Raw_Data_Copy!L369))</f>
        <v>Mobile Money</v>
      </c>
    </row>
    <row r="370" spans="1:12" x14ac:dyDescent="0.3">
      <c r="A370" t="str">
        <f>TRIM(Raw_Data_Copy!A370)</f>
        <v>ORD-0250</v>
      </c>
      <c r="B370" s="2">
        <v>45894</v>
      </c>
      <c r="C370" t="str">
        <f>TRIM(Raw_Data_Copy!C370)</f>
        <v>CUST-0066</v>
      </c>
      <c r="D370" t="str">
        <f>PROPER(TRIM(Raw_Data_Copy!D370))</f>
        <v>Kenya</v>
      </c>
      <c r="E370" t="str">
        <f>PROPER(TRIM(Raw_Data_Copy!E370))</f>
        <v>East Africa</v>
      </c>
      <c r="F370" t="str">
        <f>PROPER(TRIM(Raw_Data_Copy!F370))</f>
        <v>Office Chair</v>
      </c>
      <c r="G370" t="str">
        <f>PROPER(TRIM(Raw_Data_Copy!G370))</f>
        <v>Furniture</v>
      </c>
      <c r="H370" t="str">
        <f>TRIM(Raw_Data_Copy!H370)</f>
        <v>2</v>
      </c>
      <c r="I370" t="str">
        <f>TRIM(Raw_Data_Copy!I370)</f>
        <v>200.78</v>
      </c>
      <c r="J370" t="str">
        <f>TRIM(Raw_Data_Copy!J370)</f>
        <v>0</v>
      </c>
      <c r="K370">
        <f>ROUND(Cleaned_data!$H370*Cleaned_data!$I370*(1-Cleaned_data!$J370),2)</f>
        <v>401.56</v>
      </c>
      <c r="L370" t="str">
        <f>PROPER(TRIM(Raw_Data_Copy!L370))</f>
        <v>Card</v>
      </c>
    </row>
    <row r="371" spans="1:12" x14ac:dyDescent="0.3">
      <c r="A371" t="str">
        <f>TRIM(Raw_Data_Copy!A371)</f>
        <v>ORD-0485</v>
      </c>
      <c r="B371" s="2">
        <v>45894</v>
      </c>
      <c r="C371" t="str">
        <f>TRIM(Raw_Data_Copy!C371)</f>
        <v>CUST-0055</v>
      </c>
      <c r="D371" t="str">
        <f>PROPER(TRIM(Raw_Data_Copy!D371))</f>
        <v>Kenya</v>
      </c>
      <c r="E371" t="str">
        <f>PROPER(TRIM(Raw_Data_Copy!E371))</f>
        <v>East Africa</v>
      </c>
      <c r="F371" t="str">
        <f>PROPER(TRIM(Raw_Data_Copy!F371))</f>
        <v>Mouse</v>
      </c>
      <c r="G371" t="str">
        <f>PROPER(TRIM(Raw_Data_Copy!G371))</f>
        <v>Electronics</v>
      </c>
      <c r="H371" t="str">
        <f>TRIM(Raw_Data_Copy!H371)</f>
        <v>5</v>
      </c>
      <c r="I371" t="str">
        <f>TRIM(Raw_Data_Copy!I371)</f>
        <v>47.18</v>
      </c>
      <c r="J371" t="str">
        <f>TRIM(Raw_Data_Copy!J371)</f>
        <v>0</v>
      </c>
      <c r="K371">
        <f>ROUND(Cleaned_data!$H371*Cleaned_data!$I371*(1-Cleaned_data!$J371),2)</f>
        <v>235.9</v>
      </c>
      <c r="L371" t="str">
        <f>PROPER(TRIM(Raw_Data_Copy!L371))</f>
        <v>Bank Transfer</v>
      </c>
    </row>
    <row r="372" spans="1:12" x14ac:dyDescent="0.3">
      <c r="A372" t="str">
        <f>TRIM(Raw_Data_Copy!A372)</f>
        <v>ORD-0144</v>
      </c>
      <c r="B372" s="2">
        <v>45894</v>
      </c>
      <c r="C372" t="str">
        <f>TRIM(Raw_Data_Copy!C372)</f>
        <v>CUST-0053</v>
      </c>
      <c r="D372" t="str">
        <f>PROPER(TRIM(Raw_Data_Copy!D372))</f>
        <v>Ghana</v>
      </c>
      <c r="E372" t="str">
        <f>PROPER(TRIM(Raw_Data_Copy!E372))</f>
        <v>West Africa</v>
      </c>
      <c r="F372" t="str">
        <f>PROPER(TRIM(Raw_Data_Copy!F372))</f>
        <v>Notebook</v>
      </c>
      <c r="G372" t="str">
        <f>PROPER(TRIM(Raw_Data_Copy!G372))</f>
        <v>Office Supplies</v>
      </c>
      <c r="H372" t="str">
        <f>TRIM(Raw_Data_Copy!H372)</f>
        <v>1</v>
      </c>
      <c r="I372" t="str">
        <f>TRIM(Raw_Data_Copy!I372)</f>
        <v>14.3</v>
      </c>
      <c r="J372" t="str">
        <f>TRIM(Raw_Data_Copy!J372)</f>
        <v>0.15</v>
      </c>
      <c r="K372">
        <f>ROUND(Cleaned_data!$H372*Cleaned_data!$I372*(1-Cleaned_data!$J372),2)</f>
        <v>12.16</v>
      </c>
      <c r="L372" t="str">
        <f>PROPER(TRIM(Raw_Data_Copy!L372))</f>
        <v>Card</v>
      </c>
    </row>
    <row r="373" spans="1:12" x14ac:dyDescent="0.3">
      <c r="A373" t="str">
        <f>TRIM(Raw_Data_Copy!A373)</f>
        <v>ORD-0509</v>
      </c>
      <c r="B373" s="2">
        <v>45894</v>
      </c>
      <c r="C373" t="str">
        <f>TRIM(Raw_Data_Copy!C373)</f>
        <v>CUST-0130</v>
      </c>
      <c r="D373" t="str">
        <f>PROPER(TRIM(Raw_Data_Copy!D373))</f>
        <v>Nigeria</v>
      </c>
      <c r="E373" t="str">
        <f>PROPER(TRIM(Raw_Data_Copy!E373))</f>
        <v>West Africa</v>
      </c>
      <c r="F373" t="str">
        <f>PROPER(TRIM(Raw_Data_Copy!F373))</f>
        <v>Notebook</v>
      </c>
      <c r="G373" t="str">
        <f>PROPER(TRIM(Raw_Data_Copy!G373))</f>
        <v>Office Supplies</v>
      </c>
      <c r="H373" t="str">
        <f>TRIM(Raw_Data_Copy!H373)</f>
        <v>6</v>
      </c>
      <c r="I373" t="str">
        <f>TRIM(Raw_Data_Copy!I373)</f>
        <v>14.66</v>
      </c>
      <c r="J373" t="str">
        <f>TRIM(Raw_Data_Copy!J373)</f>
        <v>0.1</v>
      </c>
      <c r="K373">
        <f>ROUND(Cleaned_data!$H373*Cleaned_data!$I373*(1-Cleaned_data!$J373),2)</f>
        <v>79.16</v>
      </c>
      <c r="L373" t="str">
        <f>PROPER(TRIM(Raw_Data_Copy!L373))</f>
        <v>Card</v>
      </c>
    </row>
    <row r="374" spans="1:12" x14ac:dyDescent="0.3">
      <c r="A374" t="str">
        <f>TRIM(Raw_Data_Copy!A374)</f>
        <v>ORD-0586</v>
      </c>
      <c r="B374" s="2">
        <v>45896</v>
      </c>
      <c r="C374" t="str">
        <f>TRIM(Raw_Data_Copy!C374)</f>
        <v>CUST-0163</v>
      </c>
      <c r="D374" t="str">
        <f>PROPER(TRIM(Raw_Data_Copy!D374))</f>
        <v>United Kingdom</v>
      </c>
      <c r="E374" t="str">
        <f>PROPER(TRIM(Raw_Data_Copy!E374))</f>
        <v>Europe</v>
      </c>
      <c r="F374" t="str">
        <f>PROPER(TRIM(Raw_Data_Copy!F374))</f>
        <v>Monitor</v>
      </c>
      <c r="G374" t="str">
        <f>PROPER(TRIM(Raw_Data_Copy!G374))</f>
        <v>Electronics</v>
      </c>
      <c r="H374" t="str">
        <f>TRIM(Raw_Data_Copy!H374)</f>
        <v>8</v>
      </c>
      <c r="I374" t="str">
        <f>TRIM(Raw_Data_Copy!I374)</f>
        <v>284.35</v>
      </c>
      <c r="J374" t="str">
        <f>TRIM(Raw_Data_Copy!J374)</f>
        <v>0.1</v>
      </c>
      <c r="K374">
        <f>ROUND(Cleaned_data!$H374*Cleaned_data!$I374*(1-Cleaned_data!$J374),2)</f>
        <v>2047.32</v>
      </c>
      <c r="L374" t="str">
        <f>PROPER(TRIM(Raw_Data_Copy!L374))</f>
        <v>Bank Transfer</v>
      </c>
    </row>
    <row r="375" spans="1:12" x14ac:dyDescent="0.3">
      <c r="A375" t="str">
        <f>TRIM(Raw_Data_Copy!A375)</f>
        <v>ORD-0444</v>
      </c>
      <c r="B375" s="2">
        <v>45896</v>
      </c>
      <c r="C375" t="str">
        <f>TRIM(Raw_Data_Copy!C375)</f>
        <v>CUST-0169</v>
      </c>
      <c r="D375" t="str">
        <f>PROPER(TRIM(Raw_Data_Copy!D375))</f>
        <v>United States</v>
      </c>
      <c r="E375" t="str">
        <f>PROPER(TRIM(Raw_Data_Copy!E375))</f>
        <v>North America</v>
      </c>
      <c r="F375" t="str">
        <f>PROPER(TRIM(Raw_Data_Copy!F375))</f>
        <v>Backpack</v>
      </c>
      <c r="G375" t="str">
        <f>PROPER(TRIM(Raw_Data_Copy!G375))</f>
        <v>Accessories</v>
      </c>
      <c r="H375" t="str">
        <f>TRIM(Raw_Data_Copy!H375)</f>
        <v>7</v>
      </c>
      <c r="I375" t="str">
        <f>TRIM(Raw_Data_Copy!I375)</f>
        <v>70.37</v>
      </c>
      <c r="J375" t="str">
        <f>TRIM(Raw_Data_Copy!J375)</f>
        <v>0.05</v>
      </c>
      <c r="K375">
        <f>ROUND(Cleaned_data!$H375*Cleaned_data!$I375*(1-Cleaned_data!$J375),2)</f>
        <v>467.96</v>
      </c>
      <c r="L375" t="str">
        <f>PROPER(TRIM(Raw_Data_Copy!L375))</f>
        <v>Bank Transfer</v>
      </c>
    </row>
    <row r="376" spans="1:12" x14ac:dyDescent="0.3">
      <c r="A376" t="str">
        <f>TRIM(Raw_Data_Copy!A376)</f>
        <v>ORD-0065</v>
      </c>
      <c r="B376" s="2">
        <v>45896</v>
      </c>
      <c r="C376" t="str">
        <f>TRIM(Raw_Data_Copy!C376)</f>
        <v>CUST-0076</v>
      </c>
      <c r="D376" t="str">
        <f>PROPER(TRIM(Raw_Data_Copy!D376))</f>
        <v>United States</v>
      </c>
      <c r="E376" t="str">
        <f>PROPER(TRIM(Raw_Data_Copy!E376))</f>
        <v>North America</v>
      </c>
      <c r="F376" t="str">
        <f>PROPER(TRIM(Raw_Data_Copy!F376))</f>
        <v>Printer</v>
      </c>
      <c r="G376" t="str">
        <f>PROPER(TRIM(Raw_Data_Copy!G376))</f>
        <v>Office Supplies</v>
      </c>
      <c r="H376" t="str">
        <f>TRIM(Raw_Data_Copy!H376)</f>
        <v>5</v>
      </c>
      <c r="I376" t="str">
        <f>TRIM(Raw_Data_Copy!I376)</f>
        <v>261.85</v>
      </c>
      <c r="J376" t="str">
        <f>TRIM(Raw_Data_Copy!J376)</f>
        <v>0.1</v>
      </c>
      <c r="K376">
        <f>ROUND(Cleaned_data!$H376*Cleaned_data!$I376*(1-Cleaned_data!$J376),2)</f>
        <v>1178.33</v>
      </c>
      <c r="L376" t="str">
        <f>PROPER(TRIM(Raw_Data_Copy!L376))</f>
        <v>Bank Transfer</v>
      </c>
    </row>
    <row r="377" spans="1:12" x14ac:dyDescent="0.3">
      <c r="A377" t="str">
        <f>TRIM(Raw_Data_Copy!A377)</f>
        <v>ORD-0025</v>
      </c>
      <c r="B377" s="2">
        <v>45897</v>
      </c>
      <c r="C377" t="str">
        <f>TRIM(Raw_Data_Copy!C377)</f>
        <v>CUST-0144</v>
      </c>
      <c r="D377" t="str">
        <f>PROPER(TRIM(Raw_Data_Copy!D377))</f>
        <v>Nigeria</v>
      </c>
      <c r="E377" t="str">
        <f>PROPER(TRIM(Raw_Data_Copy!E377))</f>
        <v>West Africa</v>
      </c>
      <c r="F377" t="str">
        <f>PROPER(TRIM(Raw_Data_Copy!F377))</f>
        <v>Backpack</v>
      </c>
      <c r="G377" t="str">
        <f>PROPER(TRIM(Raw_Data_Copy!G377))</f>
        <v>Accessories</v>
      </c>
      <c r="H377" t="str">
        <f>TRIM(Raw_Data_Copy!H377)</f>
        <v>8</v>
      </c>
      <c r="I377" t="str">
        <f>TRIM(Raw_Data_Copy!I377)</f>
        <v>74.55</v>
      </c>
      <c r="J377" t="str">
        <f>TRIM(Raw_Data_Copy!J377)</f>
        <v>0.3</v>
      </c>
      <c r="K377">
        <f>ROUND(Cleaned_data!$H377*Cleaned_data!$I377*(1-Cleaned_data!$J377),2)</f>
        <v>417.48</v>
      </c>
      <c r="L377" t="str">
        <f>PROPER(TRIM(Raw_Data_Copy!L377))</f>
        <v>Card</v>
      </c>
    </row>
    <row r="378" spans="1:12" x14ac:dyDescent="0.3">
      <c r="A378" t="str">
        <f>TRIM(Raw_Data_Copy!A378)</f>
        <v>ORD-0482</v>
      </c>
      <c r="B378" s="2">
        <v>45899</v>
      </c>
      <c r="C378" t="str">
        <f>TRIM(Raw_Data_Copy!C378)</f>
        <v>CUST-0121</v>
      </c>
      <c r="D378" t="str">
        <f>PROPER(TRIM(Raw_Data_Copy!D378))</f>
        <v>Ghana</v>
      </c>
      <c r="E378" t="str">
        <f>PROPER(TRIM(Raw_Data_Copy!E378))</f>
        <v>West Africa</v>
      </c>
      <c r="F378" t="str">
        <f>PROPER(TRIM(Raw_Data_Copy!F378))</f>
        <v>Backpack</v>
      </c>
      <c r="G378" t="str">
        <f>PROPER(TRIM(Raw_Data_Copy!G378))</f>
        <v>Accessories</v>
      </c>
      <c r="H378" t="str">
        <f>TRIM(Raw_Data_Copy!H378)</f>
        <v>8</v>
      </c>
      <c r="I378" t="str">
        <f>TRIM(Raw_Data_Copy!I378)</f>
        <v>81.41</v>
      </c>
      <c r="J378" t="str">
        <f>TRIM(Raw_Data_Copy!J378)</f>
        <v>0</v>
      </c>
      <c r="K378">
        <f>ROUND(Cleaned_data!$H378*Cleaned_data!$I378*(1-Cleaned_data!$J378),2)</f>
        <v>651.28</v>
      </c>
      <c r="L378" t="str">
        <f>PROPER(TRIM(Raw_Data_Copy!L378))</f>
        <v>Bank Transfer</v>
      </c>
    </row>
    <row r="379" spans="1:12" x14ac:dyDescent="0.3">
      <c r="A379" t="str">
        <f>TRIM(Raw_Data_Copy!A379)</f>
        <v>ORD-0379</v>
      </c>
      <c r="B379" s="2">
        <v>45899</v>
      </c>
      <c r="C379" t="str">
        <f>TRIM(Raw_Data_Copy!C379)</f>
        <v>CUST-0179</v>
      </c>
      <c r="D379" t="str">
        <f>PROPER(TRIM(Raw_Data_Copy!D379))</f>
        <v>Kenya</v>
      </c>
      <c r="E379" t="str">
        <f>PROPER(TRIM(Raw_Data_Copy!E379))</f>
        <v>East Africa</v>
      </c>
      <c r="F379" t="str">
        <f>PROPER(TRIM(Raw_Data_Copy!F379))</f>
        <v>Keyboard</v>
      </c>
      <c r="G379" t="str">
        <f>PROPER(TRIM(Raw_Data_Copy!G379))</f>
        <v>Electronics</v>
      </c>
      <c r="H379" t="str">
        <f>TRIM(Raw_Data_Copy!H379)</f>
        <v>7</v>
      </c>
      <c r="I379" t="str">
        <f>TRIM(Raw_Data_Copy!I379)</f>
        <v>78.18</v>
      </c>
      <c r="J379" t="str">
        <f>TRIM(Raw_Data_Copy!J379)</f>
        <v>0.1</v>
      </c>
      <c r="K379">
        <f>ROUND(Cleaned_data!$H379*Cleaned_data!$I379*(1-Cleaned_data!$J379),2)</f>
        <v>492.53</v>
      </c>
      <c r="L379" t="str">
        <f>PROPER(TRIM(Raw_Data_Copy!L379))</f>
        <v>Mobile Money</v>
      </c>
    </row>
    <row r="380" spans="1:12" x14ac:dyDescent="0.3">
      <c r="A380" t="str">
        <f>TRIM(Raw_Data_Copy!A380)</f>
        <v>ORD-0205</v>
      </c>
      <c r="B380" s="2">
        <v>45900</v>
      </c>
      <c r="C380" t="str">
        <f>TRIM(Raw_Data_Copy!C380)</f>
        <v>CUST-0115</v>
      </c>
      <c r="D380" t="str">
        <f>PROPER(TRIM(Raw_Data_Copy!D380))</f>
        <v>Nigeria</v>
      </c>
      <c r="E380" t="str">
        <f>PROPER(TRIM(Raw_Data_Copy!E380))</f>
        <v>West Africa</v>
      </c>
      <c r="F380" t="str">
        <f>PROPER(TRIM(Raw_Data_Copy!F380))</f>
        <v>Office Chair</v>
      </c>
      <c r="G380" t="str">
        <f>PROPER(TRIM(Raw_Data_Copy!G380))</f>
        <v>Furniture</v>
      </c>
      <c r="H380" t="str">
        <f>TRIM(Raw_Data_Copy!H380)</f>
        <v>2</v>
      </c>
      <c r="I380" t="str">
        <f>TRIM(Raw_Data_Copy!I380)</f>
        <v>224.3</v>
      </c>
      <c r="J380" t="str">
        <f>TRIM(Raw_Data_Copy!J380)</f>
        <v>0.2</v>
      </c>
      <c r="K380">
        <f>ROUND(Cleaned_data!$H380*Cleaned_data!$I380*(1-Cleaned_data!$J380),2)</f>
        <v>358.88</v>
      </c>
      <c r="L380" t="str">
        <f>PROPER(TRIM(Raw_Data_Copy!L380))</f>
        <v>Mobile Money</v>
      </c>
    </row>
    <row r="381" spans="1:12" x14ac:dyDescent="0.3">
      <c r="A381" t="str">
        <f>TRIM(Raw_Data_Copy!A381)</f>
        <v>ORD-0368</v>
      </c>
      <c r="B381" s="2">
        <v>45902</v>
      </c>
      <c r="C381" t="str">
        <f>TRIM(Raw_Data_Copy!C381)</f>
        <v>CUST-0030</v>
      </c>
      <c r="D381" t="str">
        <f>PROPER(TRIM(Raw_Data_Copy!D381))</f>
        <v>Ghana</v>
      </c>
      <c r="E381" t="str">
        <f>PROPER(TRIM(Raw_Data_Copy!E381))</f>
        <v>West Africa</v>
      </c>
      <c r="F381" t="str">
        <f>PROPER(TRIM(Raw_Data_Copy!F381))</f>
        <v>Notebook</v>
      </c>
      <c r="G381" t="str">
        <f>PROPER(TRIM(Raw_Data_Copy!G381))</f>
        <v>Office Supplies</v>
      </c>
      <c r="H381" t="str">
        <f>TRIM(Raw_Data_Copy!H381)</f>
        <v>2</v>
      </c>
      <c r="I381" t="str">
        <f>TRIM(Raw_Data_Copy!I381)</f>
        <v>14.69</v>
      </c>
      <c r="J381" t="str">
        <f>TRIM(Raw_Data_Copy!J381)</f>
        <v>0.05</v>
      </c>
      <c r="K381">
        <f>ROUND(Cleaned_data!$H381*Cleaned_data!$I381*(1-Cleaned_data!$J381),2)</f>
        <v>27.91</v>
      </c>
      <c r="L381" t="str">
        <f>PROPER(TRIM(Raw_Data_Copy!L381))</f>
        <v>Card</v>
      </c>
    </row>
    <row r="382" spans="1:12" x14ac:dyDescent="0.3">
      <c r="A382" t="str">
        <f>TRIM(Raw_Data_Copy!A382)</f>
        <v>ORD-0349</v>
      </c>
      <c r="B382" s="2">
        <v>45902</v>
      </c>
      <c r="C382" t="str">
        <f>TRIM(Raw_Data_Copy!C382)</f>
        <v>CUST-0177</v>
      </c>
      <c r="D382" t="str">
        <f>PROPER(TRIM(Raw_Data_Copy!D382))</f>
        <v>Ghana</v>
      </c>
      <c r="E382" t="str">
        <f>PROPER(TRIM(Raw_Data_Copy!E382))</f>
        <v>West Africa</v>
      </c>
      <c r="F382" t="str">
        <f>PROPER(TRIM(Raw_Data_Copy!F382))</f>
        <v>Keyboard</v>
      </c>
      <c r="G382" t="str">
        <f>PROPER(TRIM(Raw_Data_Copy!G382))</f>
        <v>Electronics</v>
      </c>
      <c r="H382" t="str">
        <f>TRIM(Raw_Data_Copy!H382)</f>
        <v>3</v>
      </c>
      <c r="I382" t="str">
        <f>TRIM(Raw_Data_Copy!I382)</f>
        <v>85.5</v>
      </c>
      <c r="J382" t="str">
        <f>TRIM(Raw_Data_Copy!J382)</f>
        <v>0.05</v>
      </c>
      <c r="K382">
        <f>ROUND(Cleaned_data!$H382*Cleaned_data!$I382*(1-Cleaned_data!$J382),2)</f>
        <v>243.68</v>
      </c>
      <c r="L382" t="str">
        <f>PROPER(TRIM(Raw_Data_Copy!L382))</f>
        <v>Mobile Money</v>
      </c>
    </row>
    <row r="383" spans="1:12" x14ac:dyDescent="0.3">
      <c r="A383" t="str">
        <f>TRIM(Raw_Data_Copy!A383)</f>
        <v>ORD-0583</v>
      </c>
      <c r="B383" s="2">
        <v>45902</v>
      </c>
      <c r="C383" t="str">
        <f>TRIM(Raw_Data_Copy!C383)</f>
        <v>CUST-0163</v>
      </c>
      <c r="D383" t="str">
        <f>PROPER(TRIM(Raw_Data_Copy!D383))</f>
        <v>Nigeria</v>
      </c>
      <c r="E383" t="str">
        <f>PROPER(TRIM(Raw_Data_Copy!E383))</f>
        <v>West Africa</v>
      </c>
      <c r="F383" t="str">
        <f>PROPER(TRIM(Raw_Data_Copy!F383))</f>
        <v>Keyboard</v>
      </c>
      <c r="G383" t="str">
        <f>PROPER(TRIM(Raw_Data_Copy!G383))</f>
        <v>Electronics</v>
      </c>
      <c r="H383" t="str">
        <f>TRIM(Raw_Data_Copy!H383)</f>
        <v>5</v>
      </c>
      <c r="I383" t="str">
        <f>TRIM(Raw_Data_Copy!I383)</f>
        <v>81.22</v>
      </c>
      <c r="J383" t="str">
        <f>TRIM(Raw_Data_Copy!J383)</f>
        <v>0.15</v>
      </c>
      <c r="K383">
        <f>ROUND(Cleaned_data!$H383*Cleaned_data!$I383*(1-Cleaned_data!$J383),2)</f>
        <v>345.19</v>
      </c>
      <c r="L383" t="str">
        <f>PROPER(TRIM(Raw_Data_Copy!L383))</f>
        <v>Bank Transfer</v>
      </c>
    </row>
    <row r="384" spans="1:12" x14ac:dyDescent="0.3">
      <c r="A384" t="str">
        <f>TRIM(Raw_Data_Copy!A384)</f>
        <v>ORD-0321</v>
      </c>
      <c r="B384" s="2">
        <v>45903</v>
      </c>
      <c r="C384" t="str">
        <f>TRIM(Raw_Data_Copy!C384)</f>
        <v>CUST-0019</v>
      </c>
      <c r="D384" t="str">
        <f>PROPER(TRIM(Raw_Data_Copy!D384))</f>
        <v>United States</v>
      </c>
      <c r="E384" t="str">
        <f>PROPER(TRIM(Raw_Data_Copy!E384))</f>
        <v>North America</v>
      </c>
      <c r="F384" t="str">
        <f>PROPER(TRIM(Raw_Data_Copy!F384))</f>
        <v>Desk Lamp</v>
      </c>
      <c r="G384" t="str">
        <f>PROPER(TRIM(Raw_Data_Copy!G384))</f>
        <v>Furniture</v>
      </c>
      <c r="H384" t="str">
        <f>TRIM(Raw_Data_Copy!H384)</f>
        <v>8</v>
      </c>
      <c r="I384" t="str">
        <f>TRIM(Raw_Data_Copy!I384)</f>
        <v>51.17</v>
      </c>
      <c r="J384" t="str">
        <f>TRIM(Raw_Data_Copy!J384)</f>
        <v>0.1</v>
      </c>
      <c r="K384">
        <f>ROUND(Cleaned_data!$H384*Cleaned_data!$I384*(1-Cleaned_data!$J384),2)</f>
        <v>368.42</v>
      </c>
      <c r="L384" t="str">
        <f>PROPER(TRIM(Raw_Data_Copy!L384))</f>
        <v>Mobile Money</v>
      </c>
    </row>
    <row r="385" spans="1:12" x14ac:dyDescent="0.3">
      <c r="A385" t="str">
        <f>TRIM(Raw_Data_Copy!A385)</f>
        <v>ORD-0376</v>
      </c>
      <c r="B385" s="2">
        <v>45903</v>
      </c>
      <c r="C385" t="str">
        <f>TRIM(Raw_Data_Copy!C385)</f>
        <v>CUST-0149</v>
      </c>
      <c r="D385" t="str">
        <f>PROPER(TRIM(Raw_Data_Copy!D385))</f>
        <v>Nigeria</v>
      </c>
      <c r="E385" t="str">
        <f>PROPER(TRIM(Raw_Data_Copy!E385))</f>
        <v>West Africa</v>
      </c>
      <c r="F385" t="str">
        <f>PROPER(TRIM(Raw_Data_Copy!F385))</f>
        <v>Notebook</v>
      </c>
      <c r="G385" t="str">
        <f>PROPER(TRIM(Raw_Data_Copy!G385))</f>
        <v>Office Supplies</v>
      </c>
      <c r="H385" t="str">
        <f>TRIM(Raw_Data_Copy!H385)</f>
        <v>5</v>
      </c>
      <c r="I385" t="str">
        <f>TRIM(Raw_Data_Copy!I385)</f>
        <v>15.3</v>
      </c>
      <c r="J385" t="str">
        <f>TRIM(Raw_Data_Copy!J385)</f>
        <v>0.05</v>
      </c>
      <c r="K385">
        <f>ROUND(Cleaned_data!$H385*Cleaned_data!$I385*(1-Cleaned_data!$J385),2)</f>
        <v>72.680000000000007</v>
      </c>
      <c r="L385" t="str">
        <f>PROPER(TRIM(Raw_Data_Copy!L385))</f>
        <v>Mobile Money</v>
      </c>
    </row>
    <row r="386" spans="1:12" x14ac:dyDescent="0.3">
      <c r="A386" t="str">
        <f>TRIM(Raw_Data_Copy!A386)</f>
        <v>ORD-0490</v>
      </c>
      <c r="B386" s="2">
        <v>45903</v>
      </c>
      <c r="C386" t="str">
        <f>TRIM(Raw_Data_Copy!C386)</f>
        <v>CUST-0033</v>
      </c>
      <c r="D386" t="str">
        <f>PROPER(TRIM(Raw_Data_Copy!D386))</f>
        <v>United Kingdom</v>
      </c>
      <c r="E386" t="str">
        <f>PROPER(TRIM(Raw_Data_Copy!E386))</f>
        <v>Europe</v>
      </c>
      <c r="F386" t="str">
        <f>PROPER(TRIM(Raw_Data_Copy!F386))</f>
        <v>Desk</v>
      </c>
      <c r="G386" t="str">
        <f>PROPER(TRIM(Raw_Data_Copy!G386))</f>
        <v>Furniture</v>
      </c>
      <c r="H386" t="str">
        <f>TRIM(Raw_Data_Copy!H386)</f>
        <v>2</v>
      </c>
      <c r="I386" t="str">
        <f>TRIM(Raw_Data_Copy!I386)</f>
        <v>352.23</v>
      </c>
      <c r="J386" t="str">
        <f>TRIM(Raw_Data_Copy!J386)</f>
        <v>0.2</v>
      </c>
      <c r="K386">
        <f>ROUND(Cleaned_data!$H386*Cleaned_data!$I386*(1-Cleaned_data!$J386),2)</f>
        <v>563.57000000000005</v>
      </c>
      <c r="L386" t="str">
        <f>PROPER(TRIM(Raw_Data_Copy!L386))</f>
        <v>Card</v>
      </c>
    </row>
    <row r="387" spans="1:12" x14ac:dyDescent="0.3">
      <c r="A387" t="str">
        <f>TRIM(Raw_Data_Copy!A387)</f>
        <v>ORD-0564</v>
      </c>
      <c r="B387" s="2">
        <v>45904</v>
      </c>
      <c r="C387" t="str">
        <f>TRIM(Raw_Data_Copy!C387)</f>
        <v>CUST-0083</v>
      </c>
      <c r="D387" t="str">
        <f>PROPER(TRIM(Raw_Data_Copy!D387))</f>
        <v>Nigeria</v>
      </c>
      <c r="E387" t="str">
        <f>PROPER(TRIM(Raw_Data_Copy!E387))</f>
        <v>West Africa</v>
      </c>
      <c r="F387" t="str">
        <f>PROPER(TRIM(Raw_Data_Copy!F387))</f>
        <v>Printer</v>
      </c>
      <c r="G387" t="str">
        <f>PROPER(TRIM(Raw_Data_Copy!G387))</f>
        <v>Office Supplies</v>
      </c>
      <c r="H387" t="str">
        <f>TRIM(Raw_Data_Copy!H387)</f>
        <v>5</v>
      </c>
      <c r="I387" t="str">
        <f>TRIM(Raw_Data_Copy!I387)</f>
        <v>225.51</v>
      </c>
      <c r="J387" t="str">
        <f>TRIM(Raw_Data_Copy!J387)</f>
        <v>0.15</v>
      </c>
      <c r="K387">
        <f>ROUND(Cleaned_data!$H387*Cleaned_data!$I387*(1-Cleaned_data!$J387),2)</f>
        <v>958.42</v>
      </c>
      <c r="L387" t="str">
        <f>PROPER(TRIM(Raw_Data_Copy!L387))</f>
        <v>Bank Transfer</v>
      </c>
    </row>
    <row r="388" spans="1:12" x14ac:dyDescent="0.3">
      <c r="A388" t="str">
        <f>TRIM(Raw_Data_Copy!A388)</f>
        <v>ORD-0427</v>
      </c>
      <c r="B388" s="2">
        <v>45904</v>
      </c>
      <c r="C388" t="str">
        <f>TRIM(Raw_Data_Copy!C388)</f>
        <v>CUST-0008</v>
      </c>
      <c r="D388" t="str">
        <f>PROPER(TRIM(Raw_Data_Copy!D388))</f>
        <v>United Kingdom</v>
      </c>
      <c r="E388" t="str">
        <f>PROPER(TRIM(Raw_Data_Copy!E388))</f>
        <v>Europe</v>
      </c>
      <c r="F388" t="str">
        <f>PROPER(TRIM(Raw_Data_Copy!F388))</f>
        <v>Notebook</v>
      </c>
      <c r="G388" t="str">
        <f>PROPER(TRIM(Raw_Data_Copy!G388))</f>
        <v>Office Supplies</v>
      </c>
      <c r="H388" t="str">
        <f>TRIM(Raw_Data_Copy!H388)</f>
        <v>5</v>
      </c>
      <c r="I388" t="str">
        <f>TRIM(Raw_Data_Copy!I388)</f>
        <v>16.33</v>
      </c>
      <c r="J388" t="str">
        <f>TRIM(Raw_Data_Copy!J388)</f>
        <v>0.25</v>
      </c>
      <c r="K388">
        <f>ROUND(Cleaned_data!$H388*Cleaned_data!$I388*(1-Cleaned_data!$J388),2)</f>
        <v>61.24</v>
      </c>
      <c r="L388" t="str">
        <f>PROPER(TRIM(Raw_Data_Copy!L388))</f>
        <v>Mobile Money</v>
      </c>
    </row>
    <row r="389" spans="1:12" x14ac:dyDescent="0.3">
      <c r="A389" t="str">
        <f>TRIM(Raw_Data_Copy!A389)</f>
        <v>ORD-0596</v>
      </c>
      <c r="B389" s="2">
        <v>45904</v>
      </c>
      <c r="C389" t="str">
        <f>TRIM(Raw_Data_Copy!C389)</f>
        <v>CUST-0011</v>
      </c>
      <c r="D389" t="str">
        <f>PROPER(TRIM(Raw_Data_Copy!D389))</f>
        <v>Ghana</v>
      </c>
      <c r="E389" t="str">
        <f>PROPER(TRIM(Raw_Data_Copy!E389))</f>
        <v>West Africa</v>
      </c>
      <c r="F389" t="str">
        <f>PROPER(TRIM(Raw_Data_Copy!F389))</f>
        <v>Backpack</v>
      </c>
      <c r="G389" t="str">
        <f>PROPER(TRIM(Raw_Data_Copy!G389))</f>
        <v>Accessories</v>
      </c>
      <c r="H389" t="str">
        <f>TRIM(Raw_Data_Copy!H389)</f>
        <v>8</v>
      </c>
      <c r="I389" t="str">
        <f>TRIM(Raw_Data_Copy!I389)</f>
        <v>79.58</v>
      </c>
      <c r="J389" t="str">
        <f>TRIM(Raw_Data_Copy!J389)</f>
        <v>0.25</v>
      </c>
      <c r="K389">
        <f>ROUND(Cleaned_data!$H389*Cleaned_data!$I389*(1-Cleaned_data!$J389),2)</f>
        <v>477.48</v>
      </c>
      <c r="L389" t="str">
        <f>PROPER(TRIM(Raw_Data_Copy!L389))</f>
        <v>Card</v>
      </c>
    </row>
    <row r="390" spans="1:12" x14ac:dyDescent="0.3">
      <c r="A390" t="str">
        <f>TRIM(Raw_Data_Copy!A390)</f>
        <v>ORD-0248</v>
      </c>
      <c r="B390" s="2">
        <v>45905</v>
      </c>
      <c r="C390" t="str">
        <f>TRIM(Raw_Data_Copy!C390)</f>
        <v>CUST-0108</v>
      </c>
      <c r="D390" t="str">
        <f>PROPER(TRIM(Raw_Data_Copy!D390))</f>
        <v>United States</v>
      </c>
      <c r="E390" t="str">
        <f>PROPER(TRIM(Raw_Data_Copy!E390))</f>
        <v>North America</v>
      </c>
      <c r="F390" t="str">
        <f>PROPER(TRIM(Raw_Data_Copy!F390))</f>
        <v>Monitor</v>
      </c>
      <c r="G390" t="str">
        <f>PROPER(TRIM(Raw_Data_Copy!G390))</f>
        <v>Electronics</v>
      </c>
      <c r="H390" t="str">
        <f>TRIM(Raw_Data_Copy!H390)</f>
        <v>4</v>
      </c>
      <c r="I390" t="str">
        <f>TRIM(Raw_Data_Copy!I390)</f>
        <v>328.45</v>
      </c>
      <c r="J390" t="str">
        <f>TRIM(Raw_Data_Copy!J390)</f>
        <v>0</v>
      </c>
      <c r="K390">
        <f>ROUND(Cleaned_data!$H390*Cleaned_data!$I390*(1-Cleaned_data!$J390),2)</f>
        <v>1313.8</v>
      </c>
      <c r="L390" t="str">
        <f>PROPER(TRIM(Raw_Data_Copy!L390))</f>
        <v>Bank Transfer</v>
      </c>
    </row>
    <row r="391" spans="1:12" x14ac:dyDescent="0.3">
      <c r="A391" t="str">
        <f>TRIM(Raw_Data_Copy!A391)</f>
        <v>ORD-0329</v>
      </c>
      <c r="B391" s="2">
        <v>45905</v>
      </c>
      <c r="C391" t="str">
        <f>TRIM(Raw_Data_Copy!C391)</f>
        <v>CUST-0156</v>
      </c>
      <c r="D391" t="str">
        <f>PROPER(TRIM(Raw_Data_Copy!D391))</f>
        <v>Nigeria</v>
      </c>
      <c r="E391" t="str">
        <f>PROPER(TRIM(Raw_Data_Copy!E391))</f>
        <v>West Africa</v>
      </c>
      <c r="F391" t="str">
        <f>PROPER(TRIM(Raw_Data_Copy!F391))</f>
        <v>Laptop</v>
      </c>
      <c r="G391" t="str">
        <f>PROPER(TRIM(Raw_Data_Copy!G391))</f>
        <v>Electronics</v>
      </c>
      <c r="H391" t="str">
        <f>TRIM(Raw_Data_Copy!H391)</f>
        <v>4</v>
      </c>
      <c r="I391" t="str">
        <f>TRIM(Raw_Data_Copy!I391)</f>
        <v>943.07</v>
      </c>
      <c r="J391" t="str">
        <f>TRIM(Raw_Data_Copy!J391)</f>
        <v>0</v>
      </c>
      <c r="K391">
        <f>ROUND(Cleaned_data!$H391*Cleaned_data!$I391*(1-Cleaned_data!$J391),2)</f>
        <v>3772.28</v>
      </c>
      <c r="L391" t="str">
        <f>PROPER(TRIM(Raw_Data_Copy!L391))</f>
        <v>Card</v>
      </c>
    </row>
    <row r="392" spans="1:12" x14ac:dyDescent="0.3">
      <c r="A392" t="str">
        <f>TRIM(Raw_Data_Copy!A392)</f>
        <v>ORD-0442</v>
      </c>
      <c r="B392" s="2">
        <v>45906</v>
      </c>
      <c r="C392" t="str">
        <f>TRIM(Raw_Data_Copy!C392)</f>
        <v>CUST-0054</v>
      </c>
      <c r="D392" t="str">
        <f>PROPER(TRIM(Raw_Data_Copy!D392))</f>
        <v>Kenya</v>
      </c>
      <c r="E392" t="str">
        <f>PROPER(TRIM(Raw_Data_Copy!E392))</f>
        <v>East Africa</v>
      </c>
      <c r="F392" t="str">
        <f>PROPER(TRIM(Raw_Data_Copy!F392))</f>
        <v>Desk</v>
      </c>
      <c r="G392" t="str">
        <f>PROPER(TRIM(Raw_Data_Copy!G392))</f>
        <v>Furniture</v>
      </c>
      <c r="H392" t="str">
        <f>TRIM(Raw_Data_Copy!H392)</f>
        <v>7</v>
      </c>
      <c r="I392" t="str">
        <f>TRIM(Raw_Data_Copy!I392)</f>
        <v>323.95</v>
      </c>
      <c r="J392" t="str">
        <f>TRIM(Raw_Data_Copy!J392)</f>
        <v>0.15</v>
      </c>
      <c r="K392">
        <f>ROUND(Cleaned_data!$H392*Cleaned_data!$I392*(1-Cleaned_data!$J392),2)</f>
        <v>1927.5</v>
      </c>
      <c r="L392" t="str">
        <f>PROPER(TRIM(Raw_Data_Copy!L392))</f>
        <v>Card</v>
      </c>
    </row>
    <row r="393" spans="1:12" x14ac:dyDescent="0.3">
      <c r="A393" t="str">
        <f>TRIM(Raw_Data_Copy!A393)</f>
        <v>ORD-0585</v>
      </c>
      <c r="B393" s="2">
        <v>45906</v>
      </c>
      <c r="C393" t="str">
        <f>TRIM(Raw_Data_Copy!C393)</f>
        <v>CUST-0014</v>
      </c>
      <c r="D393" t="str">
        <f>PROPER(TRIM(Raw_Data_Copy!D393))</f>
        <v>Nigeria</v>
      </c>
      <c r="E393" t="str">
        <f>PROPER(TRIM(Raw_Data_Copy!E393))</f>
        <v>West Africa</v>
      </c>
      <c r="F393" t="str">
        <f>PROPER(TRIM(Raw_Data_Copy!F393))</f>
        <v>Backpack</v>
      </c>
      <c r="G393" t="str">
        <f>PROPER(TRIM(Raw_Data_Copy!G393))</f>
        <v>Accessories</v>
      </c>
      <c r="H393" t="str">
        <f>TRIM(Raw_Data_Copy!H393)</f>
        <v>6</v>
      </c>
      <c r="I393" t="str">
        <f>TRIM(Raw_Data_Copy!I393)</f>
        <v>77.31</v>
      </c>
      <c r="J393" t="str">
        <f>TRIM(Raw_Data_Copy!J393)</f>
        <v>0.15</v>
      </c>
      <c r="K393">
        <f>ROUND(Cleaned_data!$H393*Cleaned_data!$I393*(1-Cleaned_data!$J393),2)</f>
        <v>394.28</v>
      </c>
      <c r="L393" t="str">
        <f>PROPER(TRIM(Raw_Data_Copy!L393))</f>
        <v>Card</v>
      </c>
    </row>
    <row r="394" spans="1:12" x14ac:dyDescent="0.3">
      <c r="A394" t="str">
        <f>TRIM(Raw_Data_Copy!A394)</f>
        <v>ORD-0374</v>
      </c>
      <c r="B394" s="2">
        <v>45906</v>
      </c>
      <c r="C394" t="str">
        <f>TRIM(Raw_Data_Copy!C394)</f>
        <v>CUST-0152</v>
      </c>
      <c r="D394" t="str">
        <f>PROPER(TRIM(Raw_Data_Copy!D394))</f>
        <v>Kenya</v>
      </c>
      <c r="E394" t="str">
        <f>PROPER(TRIM(Raw_Data_Copy!E394))</f>
        <v>East Africa</v>
      </c>
      <c r="F394" t="str">
        <f>PROPER(TRIM(Raw_Data_Copy!F394))</f>
        <v>Headphones</v>
      </c>
      <c r="G394" t="str">
        <f>PROPER(TRIM(Raw_Data_Copy!G394))</f>
        <v>Electronics</v>
      </c>
      <c r="H394" t="str">
        <f>TRIM(Raw_Data_Copy!H394)</f>
        <v>5</v>
      </c>
      <c r="I394" t="str">
        <f>TRIM(Raw_Data_Copy!I394)</f>
        <v>131.85</v>
      </c>
      <c r="J394" t="str">
        <f>TRIM(Raw_Data_Copy!J394)</f>
        <v>0.2</v>
      </c>
      <c r="K394">
        <f>ROUND(Cleaned_data!$H394*Cleaned_data!$I394*(1-Cleaned_data!$J394),2)</f>
        <v>527.4</v>
      </c>
      <c r="L394" t="str">
        <f>PROPER(TRIM(Raw_Data_Copy!L394))</f>
        <v>Mobile Money</v>
      </c>
    </row>
    <row r="395" spans="1:12" x14ac:dyDescent="0.3">
      <c r="A395" t="str">
        <f>TRIM(Raw_Data_Copy!A395)</f>
        <v>ORD-0086</v>
      </c>
      <c r="B395" s="2">
        <v>45906</v>
      </c>
      <c r="C395" t="str">
        <f>TRIM(Raw_Data_Copy!C395)</f>
        <v>CUST-0166</v>
      </c>
      <c r="D395" t="str">
        <f>PROPER(TRIM(Raw_Data_Copy!D395))</f>
        <v>South Africa</v>
      </c>
      <c r="E395" t="str">
        <f>PROPER(TRIM(Raw_Data_Copy!E395))</f>
        <v>Southern Africa</v>
      </c>
      <c r="F395" t="str">
        <f>PROPER(TRIM(Raw_Data_Copy!F395))</f>
        <v>Smartphone</v>
      </c>
      <c r="G395" t="str">
        <f>PROPER(TRIM(Raw_Data_Copy!G395))</f>
        <v>Electronics</v>
      </c>
      <c r="H395" t="str">
        <f>TRIM(Raw_Data_Copy!H395)</f>
        <v>6</v>
      </c>
      <c r="I395" t="str">
        <f>TRIM(Raw_Data_Copy!I395)</f>
        <v>657.13</v>
      </c>
      <c r="J395" t="str">
        <f>TRIM(Raw_Data_Copy!J395)</f>
        <v>0</v>
      </c>
      <c r="K395">
        <f>ROUND(Cleaned_data!$H395*Cleaned_data!$I395*(1-Cleaned_data!$J395),2)</f>
        <v>3942.78</v>
      </c>
      <c r="L395" t="str">
        <f>PROPER(TRIM(Raw_Data_Copy!L395))</f>
        <v>Bank Transfer</v>
      </c>
    </row>
    <row r="396" spans="1:12" x14ac:dyDescent="0.3">
      <c r="A396" t="str">
        <f>TRIM(Raw_Data_Copy!A396)</f>
        <v>ORD-0580</v>
      </c>
      <c r="B396" s="2">
        <v>45906</v>
      </c>
      <c r="C396" t="str">
        <f>TRIM(Raw_Data_Copy!C396)</f>
        <v>CUST-0170</v>
      </c>
      <c r="D396" t="str">
        <f>PROPER(TRIM(Raw_Data_Copy!D396))</f>
        <v>Ghana</v>
      </c>
      <c r="E396" t="str">
        <f>PROPER(TRIM(Raw_Data_Copy!E396))</f>
        <v>West Africa</v>
      </c>
      <c r="F396" t="str">
        <f>PROPER(TRIM(Raw_Data_Copy!F396))</f>
        <v>Laptop</v>
      </c>
      <c r="G396" t="str">
        <f>PROPER(TRIM(Raw_Data_Copy!G396))</f>
        <v>Electronics</v>
      </c>
      <c r="H396" t="str">
        <f>TRIM(Raw_Data_Copy!H396)</f>
        <v>7</v>
      </c>
      <c r="I396" t="str">
        <f>TRIM(Raw_Data_Copy!I396)</f>
        <v>849.29</v>
      </c>
      <c r="J396" t="str">
        <f>TRIM(Raw_Data_Copy!J396)</f>
        <v>0.3</v>
      </c>
      <c r="K396">
        <f>ROUND(Cleaned_data!$H396*Cleaned_data!$I396*(1-Cleaned_data!$J396),2)</f>
        <v>4161.5200000000004</v>
      </c>
      <c r="L396" t="str">
        <f>PROPER(TRIM(Raw_Data_Copy!L396))</f>
        <v>Mobile Money</v>
      </c>
    </row>
    <row r="397" spans="1:12" x14ac:dyDescent="0.3">
      <c r="A397" t="str">
        <f>TRIM(Raw_Data_Copy!A397)</f>
        <v>ORD-0052</v>
      </c>
      <c r="B397" s="2">
        <v>45907</v>
      </c>
      <c r="C397" t="str">
        <f>TRIM(Raw_Data_Copy!C397)</f>
        <v>CUST-0010</v>
      </c>
      <c r="D397" t="str">
        <f>PROPER(TRIM(Raw_Data_Copy!D397))</f>
        <v>Ghana</v>
      </c>
      <c r="E397" t="str">
        <f>PROPER(TRIM(Raw_Data_Copy!E397))</f>
        <v>West Africa</v>
      </c>
      <c r="F397" t="str">
        <f>PROPER(TRIM(Raw_Data_Copy!F397))</f>
        <v>Desk</v>
      </c>
      <c r="G397" t="str">
        <f>PROPER(TRIM(Raw_Data_Copy!G397))</f>
        <v>Furniture</v>
      </c>
      <c r="H397" t="str">
        <f>TRIM(Raw_Data_Copy!H397)</f>
        <v>7</v>
      </c>
      <c r="I397" t="str">
        <f>TRIM(Raw_Data_Copy!I397)</f>
        <v>339.24</v>
      </c>
      <c r="J397" t="str">
        <f>TRIM(Raw_Data_Copy!J397)</f>
        <v>0.1</v>
      </c>
      <c r="K397">
        <f>ROUND(Cleaned_data!$H397*Cleaned_data!$I397*(1-Cleaned_data!$J397),2)</f>
        <v>2137.21</v>
      </c>
      <c r="L397" t="str">
        <f>PROPER(TRIM(Raw_Data_Copy!L397))</f>
        <v>Mobile Money</v>
      </c>
    </row>
    <row r="398" spans="1:12" x14ac:dyDescent="0.3">
      <c r="A398" t="str">
        <f>TRIM(Raw_Data_Copy!A398)</f>
        <v>ORD-0204</v>
      </c>
      <c r="B398" s="2">
        <v>45907</v>
      </c>
      <c r="C398" t="str">
        <f>TRIM(Raw_Data_Copy!C398)</f>
        <v>CUST-0117</v>
      </c>
      <c r="D398" t="str">
        <f>PROPER(TRIM(Raw_Data_Copy!D398))</f>
        <v>United Kingdom</v>
      </c>
      <c r="E398" t="str">
        <f>PROPER(TRIM(Raw_Data_Copy!E398))</f>
        <v>Europe</v>
      </c>
      <c r="F398" t="str">
        <f>PROPER(TRIM(Raw_Data_Copy!F398))</f>
        <v>Office Chair</v>
      </c>
      <c r="G398" t="str">
        <f>PROPER(TRIM(Raw_Data_Copy!G398))</f>
        <v>Furniture</v>
      </c>
      <c r="H398" t="str">
        <f>TRIM(Raw_Data_Copy!H398)</f>
        <v>4</v>
      </c>
      <c r="I398" t="str">
        <f>TRIM(Raw_Data_Copy!I398)</f>
        <v>199.76</v>
      </c>
      <c r="J398" t="str">
        <f>TRIM(Raw_Data_Copy!J398)</f>
        <v>0.2</v>
      </c>
      <c r="K398">
        <f>ROUND(Cleaned_data!$H398*Cleaned_data!$I398*(1-Cleaned_data!$J398),2)</f>
        <v>639.23</v>
      </c>
      <c r="L398" t="str">
        <f>PROPER(TRIM(Raw_Data_Copy!L398))</f>
        <v>Mobile Money</v>
      </c>
    </row>
    <row r="399" spans="1:12" x14ac:dyDescent="0.3">
      <c r="A399" t="str">
        <f>TRIM(Raw_Data_Copy!A399)</f>
        <v>ORD-0572</v>
      </c>
      <c r="B399" s="2">
        <v>45907</v>
      </c>
      <c r="C399" t="str">
        <f>TRIM(Raw_Data_Copy!C399)</f>
        <v>CUST-0110</v>
      </c>
      <c r="D399" t="str">
        <f>PROPER(TRIM(Raw_Data_Copy!D399))</f>
        <v>United Kingdom</v>
      </c>
      <c r="E399" t="str">
        <f>PROPER(TRIM(Raw_Data_Copy!E399))</f>
        <v>Europe</v>
      </c>
      <c r="F399" t="str">
        <f>PROPER(TRIM(Raw_Data_Copy!F399))</f>
        <v>Desk</v>
      </c>
      <c r="G399" t="str">
        <f>PROPER(TRIM(Raw_Data_Copy!G399))</f>
        <v>Furniture</v>
      </c>
      <c r="H399" t="str">
        <f>TRIM(Raw_Data_Copy!H399)</f>
        <v>6</v>
      </c>
      <c r="I399" t="str">
        <f>TRIM(Raw_Data_Copy!I399)</f>
        <v>349.01</v>
      </c>
      <c r="J399" t="str">
        <f>TRIM(Raw_Data_Copy!J399)</f>
        <v>0</v>
      </c>
      <c r="K399">
        <f>ROUND(Cleaned_data!$H399*Cleaned_data!$I399*(1-Cleaned_data!$J399),2)</f>
        <v>2094.06</v>
      </c>
      <c r="L399" t="str">
        <f>PROPER(TRIM(Raw_Data_Copy!L399))</f>
        <v>Mobile Money</v>
      </c>
    </row>
    <row r="400" spans="1:12" x14ac:dyDescent="0.3">
      <c r="A400" t="str">
        <f>TRIM(Raw_Data_Copy!A400)</f>
        <v>ORD-0213</v>
      </c>
      <c r="B400" s="2">
        <v>45908</v>
      </c>
      <c r="C400" t="str">
        <f>TRIM(Raw_Data_Copy!C400)</f>
        <v>CUST-0148</v>
      </c>
      <c r="D400" t="str">
        <f>PROPER(TRIM(Raw_Data_Copy!D400))</f>
        <v>United Kingdom</v>
      </c>
      <c r="E400" t="str">
        <f>PROPER(TRIM(Raw_Data_Copy!E400))</f>
        <v>Europe</v>
      </c>
      <c r="F400" t="str">
        <f>PROPER(TRIM(Raw_Data_Copy!F400))</f>
        <v>Keyboard</v>
      </c>
      <c r="G400" t="str">
        <f>PROPER(TRIM(Raw_Data_Copy!G400))</f>
        <v>Electronics</v>
      </c>
      <c r="H400" t="str">
        <f>TRIM(Raw_Data_Copy!H400)</f>
        <v>4</v>
      </c>
      <c r="I400" t="str">
        <f>TRIM(Raw_Data_Copy!I400)</f>
        <v>79.14</v>
      </c>
      <c r="J400" t="str">
        <f>TRIM(Raw_Data_Copy!J400)</f>
        <v>0.2</v>
      </c>
      <c r="K400">
        <f>ROUND(Cleaned_data!$H400*Cleaned_data!$I400*(1-Cleaned_data!$J400),2)</f>
        <v>253.25</v>
      </c>
      <c r="L400" t="str">
        <f>PROPER(TRIM(Raw_Data_Copy!L400))</f>
        <v>Mobile Money</v>
      </c>
    </row>
    <row r="401" spans="1:12" x14ac:dyDescent="0.3">
      <c r="A401" t="str">
        <f>TRIM(Raw_Data_Copy!A401)</f>
        <v>ORD-0159</v>
      </c>
      <c r="B401" s="2">
        <v>45908</v>
      </c>
      <c r="C401" t="str">
        <f>TRIM(Raw_Data_Copy!C401)</f>
        <v>CUST-0013</v>
      </c>
      <c r="D401" t="str">
        <f>PROPER(TRIM(Raw_Data_Copy!D401))</f>
        <v>Kenya</v>
      </c>
      <c r="E401" t="str">
        <f>PROPER(TRIM(Raw_Data_Copy!E401))</f>
        <v>East Africa</v>
      </c>
      <c r="F401" t="str">
        <f>PROPER(TRIM(Raw_Data_Copy!F401))</f>
        <v>Desk Lamp</v>
      </c>
      <c r="G401" t="str">
        <f>PROPER(TRIM(Raw_Data_Copy!G401))</f>
        <v>Furniture</v>
      </c>
      <c r="H401" t="str">
        <f>TRIM(Raw_Data_Copy!H401)</f>
        <v>6</v>
      </c>
      <c r="I401" t="str">
        <f>TRIM(Raw_Data_Copy!I401)</f>
        <v>54.09</v>
      </c>
      <c r="J401" t="str">
        <f>TRIM(Raw_Data_Copy!J401)</f>
        <v>0.1</v>
      </c>
      <c r="K401">
        <f>ROUND(Cleaned_data!$H401*Cleaned_data!$I401*(1-Cleaned_data!$J401),2)</f>
        <v>292.08999999999997</v>
      </c>
      <c r="L401" t="str">
        <f>PROPER(TRIM(Raw_Data_Copy!L401))</f>
        <v>Cash</v>
      </c>
    </row>
    <row r="402" spans="1:12" x14ac:dyDescent="0.3">
      <c r="A402" t="str">
        <f>TRIM(Raw_Data_Copy!A402)</f>
        <v>ORD-0261</v>
      </c>
      <c r="B402" s="2">
        <v>45909</v>
      </c>
      <c r="C402" t="str">
        <f>TRIM(Raw_Data_Copy!C402)</f>
        <v>CUST-0097</v>
      </c>
      <c r="D402" t="str">
        <f>PROPER(TRIM(Raw_Data_Copy!D402))</f>
        <v>Ghana</v>
      </c>
      <c r="E402" t="str">
        <f>PROPER(TRIM(Raw_Data_Copy!E402))</f>
        <v>West Africa</v>
      </c>
      <c r="F402" t="str">
        <f>PROPER(TRIM(Raw_Data_Copy!F402))</f>
        <v>Mouse</v>
      </c>
      <c r="G402" t="str">
        <f>PROPER(TRIM(Raw_Data_Copy!G402))</f>
        <v>Electronics</v>
      </c>
      <c r="H402" t="str">
        <f>TRIM(Raw_Data_Copy!H402)</f>
        <v>4</v>
      </c>
      <c r="I402" t="str">
        <f>TRIM(Raw_Data_Copy!I402)</f>
        <v>43.23</v>
      </c>
      <c r="J402" t="str">
        <f>TRIM(Raw_Data_Copy!J402)</f>
        <v>0</v>
      </c>
      <c r="K402">
        <f>ROUND(Cleaned_data!$H402*Cleaned_data!$I402*(1-Cleaned_data!$J402),2)</f>
        <v>172.92</v>
      </c>
      <c r="L402" t="str">
        <f>PROPER(TRIM(Raw_Data_Copy!L402))</f>
        <v>Mobile Money</v>
      </c>
    </row>
    <row r="403" spans="1:12" x14ac:dyDescent="0.3">
      <c r="A403" t="str">
        <f>TRIM(Raw_Data_Copy!A403)</f>
        <v>ORD-0084</v>
      </c>
      <c r="B403" s="2">
        <v>45912</v>
      </c>
      <c r="C403" t="str">
        <f>TRIM(Raw_Data_Copy!C403)</f>
        <v>CUST-0047</v>
      </c>
      <c r="D403" t="str">
        <f>PROPER(TRIM(Raw_Data_Copy!D403))</f>
        <v>United Kingdom</v>
      </c>
      <c r="E403" t="str">
        <f>PROPER(TRIM(Raw_Data_Copy!E403))</f>
        <v>Europe</v>
      </c>
      <c r="F403" t="str">
        <f>PROPER(TRIM(Raw_Data_Copy!F403))</f>
        <v>Desk Lamp</v>
      </c>
      <c r="G403" t="str">
        <f>PROPER(TRIM(Raw_Data_Copy!G403))</f>
        <v>Furniture</v>
      </c>
      <c r="H403" t="str">
        <f>TRIM(Raw_Data_Copy!H403)</f>
        <v>5</v>
      </c>
      <c r="I403" t="str">
        <f>TRIM(Raw_Data_Copy!I403)</f>
        <v>50.47</v>
      </c>
      <c r="J403" t="str">
        <f>TRIM(Raw_Data_Copy!J403)</f>
        <v>0.2</v>
      </c>
      <c r="K403">
        <f>ROUND(Cleaned_data!$H403*Cleaned_data!$I403*(1-Cleaned_data!$J403),2)</f>
        <v>201.88</v>
      </c>
      <c r="L403" t="str">
        <f>PROPER(TRIM(Raw_Data_Copy!L403))</f>
        <v>Mobile Money</v>
      </c>
    </row>
    <row r="404" spans="1:12" x14ac:dyDescent="0.3">
      <c r="A404" t="str">
        <f>TRIM(Raw_Data_Copy!A404)</f>
        <v>ORD-0134</v>
      </c>
      <c r="B404" s="2">
        <v>45912</v>
      </c>
      <c r="C404" t="str">
        <f>TRIM(Raw_Data_Copy!C404)</f>
        <v>CUST-0072</v>
      </c>
      <c r="D404" t="str">
        <f>PROPER(TRIM(Raw_Data_Copy!D404))</f>
        <v>United States</v>
      </c>
      <c r="E404" t="str">
        <f>PROPER(TRIM(Raw_Data_Copy!E404))</f>
        <v>North America</v>
      </c>
      <c r="F404" t="str">
        <f>PROPER(TRIM(Raw_Data_Copy!F404))</f>
        <v>Keyboard</v>
      </c>
      <c r="G404" t="str">
        <f>PROPER(TRIM(Raw_Data_Copy!G404))</f>
        <v>Electronics</v>
      </c>
      <c r="H404" t="str">
        <f>TRIM(Raw_Data_Copy!H404)</f>
        <v>1</v>
      </c>
      <c r="I404" t="str">
        <f>TRIM(Raw_Data_Copy!I404)</f>
        <v>80.83</v>
      </c>
      <c r="J404" t="str">
        <f>TRIM(Raw_Data_Copy!J404)</f>
        <v>0.05</v>
      </c>
      <c r="K404">
        <f>ROUND(Cleaned_data!$H404*Cleaned_data!$I404*(1-Cleaned_data!$J404),2)</f>
        <v>76.790000000000006</v>
      </c>
      <c r="L404" t="str">
        <f>PROPER(TRIM(Raw_Data_Copy!L404))</f>
        <v>Card</v>
      </c>
    </row>
    <row r="405" spans="1:12" x14ac:dyDescent="0.3">
      <c r="A405" t="str">
        <f>TRIM(Raw_Data_Copy!A405)</f>
        <v>ORD-0520</v>
      </c>
      <c r="B405" s="2">
        <v>45913</v>
      </c>
      <c r="C405" t="str">
        <f>TRIM(Raw_Data_Copy!C405)</f>
        <v>CUST-0099</v>
      </c>
      <c r="D405" t="str">
        <f>PROPER(TRIM(Raw_Data_Copy!D405))</f>
        <v>Ghana</v>
      </c>
      <c r="E405" t="str">
        <f>PROPER(TRIM(Raw_Data_Copy!E405))</f>
        <v>West Africa</v>
      </c>
      <c r="F405" t="str">
        <f>PROPER(TRIM(Raw_Data_Copy!F405))</f>
        <v>Keyboard</v>
      </c>
      <c r="G405" t="str">
        <f>PROPER(TRIM(Raw_Data_Copy!G405))</f>
        <v>Electronics</v>
      </c>
      <c r="H405" t="str">
        <f>TRIM(Raw_Data_Copy!H405)</f>
        <v>2</v>
      </c>
      <c r="I405" t="str">
        <f>TRIM(Raw_Data_Copy!I405)</f>
        <v>83.3</v>
      </c>
      <c r="J405" t="str">
        <f>TRIM(Raw_Data_Copy!J405)</f>
        <v>0.05</v>
      </c>
      <c r="K405">
        <f>ROUND(Cleaned_data!$H405*Cleaned_data!$I405*(1-Cleaned_data!$J405),2)</f>
        <v>158.27000000000001</v>
      </c>
      <c r="L405" t="str">
        <f>PROPER(TRIM(Raw_Data_Copy!L405))</f>
        <v>Card</v>
      </c>
    </row>
    <row r="406" spans="1:12" x14ac:dyDescent="0.3">
      <c r="A406" t="str">
        <f>TRIM(Raw_Data_Copy!A406)</f>
        <v>ORD-0532</v>
      </c>
      <c r="B406" s="2">
        <v>45913</v>
      </c>
      <c r="C406" t="str">
        <f>TRIM(Raw_Data_Copy!C406)</f>
        <v>CUST-0073</v>
      </c>
      <c r="D406" t="str">
        <f>PROPER(TRIM(Raw_Data_Copy!D406))</f>
        <v>Kenya</v>
      </c>
      <c r="E406" t="str">
        <f>PROPER(TRIM(Raw_Data_Copy!E406))</f>
        <v>East Africa</v>
      </c>
      <c r="F406" t="str">
        <f>PROPER(TRIM(Raw_Data_Copy!F406))</f>
        <v>Notebook</v>
      </c>
      <c r="G406" t="str">
        <f>PROPER(TRIM(Raw_Data_Copy!G406))</f>
        <v>Office Supplies</v>
      </c>
      <c r="H406" t="str">
        <f>TRIM(Raw_Data_Copy!H406)</f>
        <v>7</v>
      </c>
      <c r="I406" t="str">
        <f>TRIM(Raw_Data_Copy!I406)</f>
        <v>15.55</v>
      </c>
      <c r="J406" t="str">
        <f>TRIM(Raw_Data_Copy!J406)</f>
        <v>0.05</v>
      </c>
      <c r="K406">
        <f>ROUND(Cleaned_data!$H406*Cleaned_data!$I406*(1-Cleaned_data!$J406),2)</f>
        <v>103.41</v>
      </c>
      <c r="L406" t="str">
        <f>PROPER(TRIM(Raw_Data_Copy!L406))</f>
        <v>Bank Transfer</v>
      </c>
    </row>
    <row r="407" spans="1:12" x14ac:dyDescent="0.3">
      <c r="A407" t="str">
        <f>TRIM(Raw_Data_Copy!A407)</f>
        <v>ORD-0598</v>
      </c>
      <c r="B407" s="2">
        <v>45913</v>
      </c>
      <c r="C407" t="str">
        <f>TRIM(Raw_Data_Copy!C407)</f>
        <v>CUST-0030</v>
      </c>
      <c r="D407" t="str">
        <f>PROPER(TRIM(Raw_Data_Copy!D407))</f>
        <v>Nigeria</v>
      </c>
      <c r="E407" t="str">
        <f>PROPER(TRIM(Raw_Data_Copy!E407))</f>
        <v>West Africa</v>
      </c>
      <c r="F407" t="str">
        <f>PROPER(TRIM(Raw_Data_Copy!F407))</f>
        <v>Mouse</v>
      </c>
      <c r="G407" t="str">
        <f>PROPER(TRIM(Raw_Data_Copy!G407))</f>
        <v>Electronics</v>
      </c>
      <c r="H407" t="str">
        <f>TRIM(Raw_Data_Copy!H407)</f>
        <v>7</v>
      </c>
      <c r="I407" t="str">
        <f>TRIM(Raw_Data_Copy!I407)</f>
        <v>41.09</v>
      </c>
      <c r="J407" t="str">
        <f>TRIM(Raw_Data_Copy!J407)</f>
        <v>0.2</v>
      </c>
      <c r="K407">
        <f>ROUND(Cleaned_data!$H407*Cleaned_data!$I407*(1-Cleaned_data!$J407),2)</f>
        <v>230.1</v>
      </c>
      <c r="L407" t="str">
        <f>PROPER(TRIM(Raw_Data_Copy!L407))</f>
        <v>Card</v>
      </c>
    </row>
    <row r="408" spans="1:12" x14ac:dyDescent="0.3">
      <c r="A408" t="str">
        <f>TRIM(Raw_Data_Copy!A408)</f>
        <v>ORD-0481</v>
      </c>
      <c r="B408" s="2">
        <v>45913</v>
      </c>
      <c r="C408" t="str">
        <f>TRIM(Raw_Data_Copy!C408)</f>
        <v>CUST-0135</v>
      </c>
      <c r="D408" t="str">
        <f>PROPER(TRIM(Raw_Data_Copy!D408))</f>
        <v>United Kingdom</v>
      </c>
      <c r="E408" t="str">
        <f>PROPER(TRIM(Raw_Data_Copy!E408))</f>
        <v>Europe</v>
      </c>
      <c r="F408" t="str">
        <f>PROPER(TRIM(Raw_Data_Copy!F408))</f>
        <v>Backpack</v>
      </c>
      <c r="G408" t="str">
        <f>PROPER(TRIM(Raw_Data_Copy!G408))</f>
        <v>Accessories</v>
      </c>
      <c r="H408" t="str">
        <f>TRIM(Raw_Data_Copy!H408)</f>
        <v>8</v>
      </c>
      <c r="I408" t="str">
        <f>TRIM(Raw_Data_Copy!I408)</f>
        <v>74.16</v>
      </c>
      <c r="J408" t="str">
        <f>TRIM(Raw_Data_Copy!J408)</f>
        <v>0</v>
      </c>
      <c r="K408">
        <f>ROUND(Cleaned_data!$H408*Cleaned_data!$I408*(1-Cleaned_data!$J408),2)</f>
        <v>593.28</v>
      </c>
      <c r="L408" t="str">
        <f>PROPER(TRIM(Raw_Data_Copy!L408))</f>
        <v>Card</v>
      </c>
    </row>
    <row r="409" spans="1:12" x14ac:dyDescent="0.3">
      <c r="A409" t="str">
        <f>TRIM(Raw_Data_Copy!A409)</f>
        <v>ORD-0185</v>
      </c>
      <c r="B409" s="2">
        <v>45914</v>
      </c>
      <c r="C409" t="str">
        <f>TRIM(Raw_Data_Copy!C409)</f>
        <v>CUST-0058</v>
      </c>
      <c r="D409" t="str">
        <f>PROPER(TRIM(Raw_Data_Copy!D409))</f>
        <v>United States</v>
      </c>
      <c r="E409" t="str">
        <f>PROPER(TRIM(Raw_Data_Copy!E409))</f>
        <v>North America</v>
      </c>
      <c r="F409" t="str">
        <f>PROPER(TRIM(Raw_Data_Copy!F409))</f>
        <v>Desk</v>
      </c>
      <c r="G409" t="str">
        <f>PROPER(TRIM(Raw_Data_Copy!G409))</f>
        <v>Furniture</v>
      </c>
      <c r="H409" t="str">
        <f>TRIM(Raw_Data_Copy!H409)</f>
        <v>3</v>
      </c>
      <c r="I409" t="str">
        <f>TRIM(Raw_Data_Copy!I409)</f>
        <v>382.52</v>
      </c>
      <c r="J409" t="str">
        <f>TRIM(Raw_Data_Copy!J409)</f>
        <v>0.15</v>
      </c>
      <c r="K409">
        <f>ROUND(Cleaned_data!$H409*Cleaned_data!$I409*(1-Cleaned_data!$J409),2)</f>
        <v>975.43</v>
      </c>
      <c r="L409" t="str">
        <f>PROPER(TRIM(Raw_Data_Copy!L409))</f>
        <v>Mobile Money</v>
      </c>
    </row>
    <row r="410" spans="1:12" x14ac:dyDescent="0.3">
      <c r="A410" t="str">
        <f>TRIM(Raw_Data_Copy!A410)</f>
        <v>ORD-0514</v>
      </c>
      <c r="B410" s="2">
        <v>45914</v>
      </c>
      <c r="C410" t="str">
        <f>TRIM(Raw_Data_Copy!C410)</f>
        <v>CUST-0165</v>
      </c>
      <c r="D410" t="str">
        <f>PROPER(TRIM(Raw_Data_Copy!D410))</f>
        <v>Ghana</v>
      </c>
      <c r="E410" t="str">
        <f>PROPER(TRIM(Raw_Data_Copy!E410))</f>
        <v>West Africa</v>
      </c>
      <c r="F410" t="str">
        <f>PROPER(TRIM(Raw_Data_Copy!F410))</f>
        <v>Office Chair</v>
      </c>
      <c r="G410" t="str">
        <f>PROPER(TRIM(Raw_Data_Copy!G410))</f>
        <v>Furniture</v>
      </c>
      <c r="H410" t="str">
        <f>TRIM(Raw_Data_Copy!H410)</f>
        <v>2</v>
      </c>
      <c r="I410" t="str">
        <f>TRIM(Raw_Data_Copy!I410)</f>
        <v>228.75</v>
      </c>
      <c r="J410" t="str">
        <f>TRIM(Raw_Data_Copy!J410)</f>
        <v>0.05</v>
      </c>
      <c r="K410">
        <f>ROUND(Cleaned_data!$H410*Cleaned_data!$I410*(1-Cleaned_data!$J410),2)</f>
        <v>434.63</v>
      </c>
      <c r="L410" t="str">
        <f>PROPER(TRIM(Raw_Data_Copy!L410))</f>
        <v>Mobile Money</v>
      </c>
    </row>
    <row r="411" spans="1:12" x14ac:dyDescent="0.3">
      <c r="A411" t="str">
        <f>TRIM(Raw_Data_Copy!A411)</f>
        <v>ORD-0291</v>
      </c>
      <c r="B411" s="2">
        <v>45917</v>
      </c>
      <c r="C411" t="str">
        <f>TRIM(Raw_Data_Copy!C411)</f>
        <v>CUST-0057</v>
      </c>
      <c r="D411" t="str">
        <f>PROPER(TRIM(Raw_Data_Copy!D411))</f>
        <v>Nigeria</v>
      </c>
      <c r="E411" t="str">
        <f>PROPER(TRIM(Raw_Data_Copy!E411))</f>
        <v>West Africa</v>
      </c>
      <c r="F411" t="str">
        <f>PROPER(TRIM(Raw_Data_Copy!F411))</f>
        <v>Desk</v>
      </c>
      <c r="G411" t="str">
        <f>PROPER(TRIM(Raw_Data_Copy!G411))</f>
        <v>Furniture</v>
      </c>
      <c r="H411" t="str">
        <f>TRIM(Raw_Data_Copy!H411)</f>
        <v>6</v>
      </c>
      <c r="I411" t="str">
        <f>TRIM(Raw_Data_Copy!I411)</f>
        <v>363.69</v>
      </c>
      <c r="J411" t="str">
        <f>TRIM(Raw_Data_Copy!J411)</f>
        <v>0</v>
      </c>
      <c r="K411">
        <f>ROUND(Cleaned_data!$H411*Cleaned_data!$I411*(1-Cleaned_data!$J411),2)</f>
        <v>2182.14</v>
      </c>
      <c r="L411" t="str">
        <f>PROPER(TRIM(Raw_Data_Copy!L411))</f>
        <v>Mobile Money</v>
      </c>
    </row>
    <row r="412" spans="1:12" x14ac:dyDescent="0.3">
      <c r="A412" t="str">
        <f>TRIM(Raw_Data_Copy!A412)</f>
        <v>ORD-0426</v>
      </c>
      <c r="B412" s="2">
        <v>45917</v>
      </c>
      <c r="C412" t="str">
        <f>TRIM(Raw_Data_Copy!C412)</f>
        <v>CUST-0108</v>
      </c>
      <c r="D412" t="str">
        <f>PROPER(TRIM(Raw_Data_Copy!D412))</f>
        <v>Kenya</v>
      </c>
      <c r="E412" t="str">
        <f>PROPER(TRIM(Raw_Data_Copy!E412))</f>
        <v>East Africa</v>
      </c>
      <c r="F412" t="str">
        <f>PROPER(TRIM(Raw_Data_Copy!F412))</f>
        <v>Smartphone</v>
      </c>
      <c r="G412" t="str">
        <f>PROPER(TRIM(Raw_Data_Copy!G412))</f>
        <v>Electronics</v>
      </c>
      <c r="H412" t="str">
        <f>TRIM(Raw_Data_Copy!H412)</f>
        <v>3</v>
      </c>
      <c r="I412" t="str">
        <f>TRIM(Raw_Data_Copy!I412)</f>
        <v>607.89</v>
      </c>
      <c r="J412" t="str">
        <f>TRIM(Raw_Data_Copy!J412)</f>
        <v>0.05</v>
      </c>
      <c r="K412">
        <f>ROUND(Cleaned_data!$H412*Cleaned_data!$I412*(1-Cleaned_data!$J412),2)</f>
        <v>1732.49</v>
      </c>
      <c r="L412" t="str">
        <f>PROPER(TRIM(Raw_Data_Copy!L412))</f>
        <v>Card</v>
      </c>
    </row>
    <row r="413" spans="1:12" x14ac:dyDescent="0.3">
      <c r="A413" t="str">
        <f>TRIM(Raw_Data_Copy!A413)</f>
        <v>ORD-0164</v>
      </c>
      <c r="B413" s="2">
        <v>45917</v>
      </c>
      <c r="C413" t="str">
        <f>TRIM(Raw_Data_Copy!C413)</f>
        <v>CUST-0059</v>
      </c>
      <c r="D413" t="str">
        <f>PROPER(TRIM(Raw_Data_Copy!D413))</f>
        <v>United States</v>
      </c>
      <c r="E413" t="str">
        <f>PROPER(TRIM(Raw_Data_Copy!E413))</f>
        <v>North America</v>
      </c>
      <c r="F413" t="str">
        <f>PROPER(TRIM(Raw_Data_Copy!F413))</f>
        <v>Keyboard</v>
      </c>
      <c r="G413" t="str">
        <f>PROPER(TRIM(Raw_Data_Copy!G413))</f>
        <v>Electronics</v>
      </c>
      <c r="H413" t="str">
        <f>TRIM(Raw_Data_Copy!H413)</f>
        <v>3</v>
      </c>
      <c r="I413" t="str">
        <f>TRIM(Raw_Data_Copy!I413)</f>
        <v>86.46</v>
      </c>
      <c r="J413" t="str">
        <f>TRIM(Raw_Data_Copy!J413)</f>
        <v>0.3</v>
      </c>
      <c r="K413">
        <f>ROUND(Cleaned_data!$H413*Cleaned_data!$I413*(1-Cleaned_data!$J413),2)</f>
        <v>181.57</v>
      </c>
      <c r="L413" t="str">
        <f>PROPER(TRIM(Raw_Data_Copy!L413))</f>
        <v/>
      </c>
    </row>
    <row r="414" spans="1:12" x14ac:dyDescent="0.3">
      <c r="A414" t="str">
        <f>TRIM(Raw_Data_Copy!A414)</f>
        <v>ORD-0209</v>
      </c>
      <c r="B414" s="2">
        <v>45918</v>
      </c>
      <c r="C414" t="str">
        <f>TRIM(Raw_Data_Copy!C414)</f>
        <v>CUST-0168</v>
      </c>
      <c r="D414" t="str">
        <f>PROPER(TRIM(Raw_Data_Copy!D414))</f>
        <v>Ghana</v>
      </c>
      <c r="E414" t="str">
        <f>PROPER(TRIM(Raw_Data_Copy!E414))</f>
        <v>West Africa</v>
      </c>
      <c r="F414" t="str">
        <f>PROPER(TRIM(Raw_Data_Copy!F414))</f>
        <v>Laptop</v>
      </c>
      <c r="G414" t="str">
        <f>PROPER(TRIM(Raw_Data_Copy!G414))</f>
        <v>Electronics</v>
      </c>
      <c r="H414" t="str">
        <f>TRIM(Raw_Data_Copy!H414)</f>
        <v>3</v>
      </c>
      <c r="I414" t="str">
        <f>TRIM(Raw_Data_Copy!I414)</f>
        <v>866.19</v>
      </c>
      <c r="J414" t="str">
        <f>TRIM(Raw_Data_Copy!J414)</f>
        <v>0.1</v>
      </c>
      <c r="K414">
        <f>ROUND(Cleaned_data!$H414*Cleaned_data!$I414*(1-Cleaned_data!$J414),2)</f>
        <v>2338.71</v>
      </c>
      <c r="L414" t="str">
        <f>PROPER(TRIM(Raw_Data_Copy!L414))</f>
        <v>Bank Transfer</v>
      </c>
    </row>
    <row r="415" spans="1:12" x14ac:dyDescent="0.3">
      <c r="A415" t="str">
        <f>TRIM(Raw_Data_Copy!A415)</f>
        <v>ORD-0117</v>
      </c>
      <c r="B415" s="2">
        <v>45918</v>
      </c>
      <c r="C415" t="str">
        <f>TRIM(Raw_Data_Copy!C415)</f>
        <v>CUST-0157</v>
      </c>
      <c r="D415" t="str">
        <f>PROPER(TRIM(Raw_Data_Copy!D415))</f>
        <v>Kenya</v>
      </c>
      <c r="E415" t="str">
        <f>PROPER(TRIM(Raw_Data_Copy!E415))</f>
        <v>East Africa</v>
      </c>
      <c r="F415" t="str">
        <f>PROPER(TRIM(Raw_Data_Copy!F415))</f>
        <v>Office Chair</v>
      </c>
      <c r="G415" t="str">
        <f>PROPER(TRIM(Raw_Data_Copy!G415))</f>
        <v>Furniture</v>
      </c>
      <c r="H415" t="str">
        <f>TRIM(Raw_Data_Copy!H415)</f>
        <v>5</v>
      </c>
      <c r="I415" t="str">
        <f>TRIM(Raw_Data_Copy!I415)</f>
        <v>203.61</v>
      </c>
      <c r="J415" t="str">
        <f>TRIM(Raw_Data_Copy!J415)</f>
        <v>0.1</v>
      </c>
      <c r="K415">
        <f>ROUND(Cleaned_data!$H415*Cleaned_data!$I415*(1-Cleaned_data!$J415),2)</f>
        <v>916.25</v>
      </c>
      <c r="L415" t="str">
        <f>PROPER(TRIM(Raw_Data_Copy!L415))</f>
        <v>Bank Transfer</v>
      </c>
    </row>
    <row r="416" spans="1:12" x14ac:dyDescent="0.3">
      <c r="A416" t="str">
        <f>TRIM(Raw_Data_Copy!A416)</f>
        <v>ORD-0173</v>
      </c>
      <c r="B416" s="2">
        <v>45919</v>
      </c>
      <c r="C416" t="str">
        <f>TRIM(Raw_Data_Copy!C416)</f>
        <v>CUST-0147</v>
      </c>
      <c r="D416" t="str">
        <f>PROPER(TRIM(Raw_Data_Copy!D416))</f>
        <v>United Kingdom</v>
      </c>
      <c r="E416" t="str">
        <f>PROPER(TRIM(Raw_Data_Copy!E416))</f>
        <v>Europe</v>
      </c>
      <c r="F416" t="str">
        <f>PROPER(TRIM(Raw_Data_Copy!F416))</f>
        <v>Keyboard</v>
      </c>
      <c r="G416" t="str">
        <f>PROPER(TRIM(Raw_Data_Copy!G416))</f>
        <v>Electronics</v>
      </c>
      <c r="H416" t="str">
        <f>TRIM(Raw_Data_Copy!H416)</f>
        <v>8</v>
      </c>
      <c r="I416" t="str">
        <f>TRIM(Raw_Data_Copy!I416)</f>
        <v>82.85</v>
      </c>
      <c r="J416" t="str">
        <f>TRIM(Raw_Data_Copy!J416)</f>
        <v>0.1</v>
      </c>
      <c r="K416">
        <f>ROUND(Cleaned_data!$H416*Cleaned_data!$I416*(1-Cleaned_data!$J416),2)</f>
        <v>596.52</v>
      </c>
      <c r="L416" t="str">
        <f>PROPER(TRIM(Raw_Data_Copy!L416))</f>
        <v>Card</v>
      </c>
    </row>
    <row r="417" spans="1:12" x14ac:dyDescent="0.3">
      <c r="A417" t="str">
        <f>TRIM(Raw_Data_Copy!A417)</f>
        <v>ORD-0582</v>
      </c>
      <c r="B417" s="2">
        <v>45919</v>
      </c>
      <c r="C417" t="str">
        <f>TRIM(Raw_Data_Copy!C417)</f>
        <v>CUST-0163</v>
      </c>
      <c r="D417" t="str">
        <f>PROPER(TRIM(Raw_Data_Copy!D417))</f>
        <v>Nigeria</v>
      </c>
      <c r="E417" t="str">
        <f>PROPER(TRIM(Raw_Data_Copy!E417))</f>
        <v>West Africa</v>
      </c>
      <c r="F417" t="str">
        <f>PROPER(TRIM(Raw_Data_Copy!F417))</f>
        <v>Printer</v>
      </c>
      <c r="G417" t="str">
        <f>PROPER(TRIM(Raw_Data_Copy!G417))</f>
        <v>Office Supplies</v>
      </c>
      <c r="H417" t="str">
        <f>TRIM(Raw_Data_Copy!H417)</f>
        <v>5</v>
      </c>
      <c r="I417" t="str">
        <f>TRIM(Raw_Data_Copy!I417)</f>
        <v>229.23</v>
      </c>
      <c r="J417" t="str">
        <f>TRIM(Raw_Data_Copy!J417)</f>
        <v>0.1</v>
      </c>
      <c r="K417">
        <f>ROUND(Cleaned_data!$H417*Cleaned_data!$I417*(1-Cleaned_data!$J417),2)</f>
        <v>1031.54</v>
      </c>
      <c r="L417" t="str">
        <f>PROPER(TRIM(Raw_Data_Copy!L417))</f>
        <v>Mobile Money</v>
      </c>
    </row>
    <row r="418" spans="1:12" x14ac:dyDescent="0.3">
      <c r="A418" t="str">
        <f>TRIM(Raw_Data_Copy!A418)</f>
        <v>ORD-0319</v>
      </c>
      <c r="B418" s="2">
        <v>45920</v>
      </c>
      <c r="C418" t="str">
        <f>TRIM(Raw_Data_Copy!C418)</f>
        <v>CUST-0080</v>
      </c>
      <c r="D418" t="str">
        <f>PROPER(TRIM(Raw_Data_Copy!D418))</f>
        <v>United Kingdom</v>
      </c>
      <c r="E418" t="str">
        <f>PROPER(TRIM(Raw_Data_Copy!E418))</f>
        <v>Europe</v>
      </c>
      <c r="F418" t="str">
        <f>PROPER(TRIM(Raw_Data_Copy!F418))</f>
        <v>Keyboard</v>
      </c>
      <c r="G418" t="str">
        <f>PROPER(TRIM(Raw_Data_Copy!G418))</f>
        <v>Electronics</v>
      </c>
      <c r="H418" t="str">
        <f>TRIM(Raw_Data_Copy!H418)</f>
        <v>2</v>
      </c>
      <c r="I418" t="str">
        <f>TRIM(Raw_Data_Copy!I418)</f>
        <v>74.53</v>
      </c>
      <c r="J418" t="str">
        <f>TRIM(Raw_Data_Copy!J418)</f>
        <v>0.15</v>
      </c>
      <c r="K418">
        <f>ROUND(Cleaned_data!$H418*Cleaned_data!$I418*(1-Cleaned_data!$J418),2)</f>
        <v>126.7</v>
      </c>
      <c r="L418" t="str">
        <f>PROPER(TRIM(Raw_Data_Copy!L418))</f>
        <v>Bank Transfer</v>
      </c>
    </row>
    <row r="419" spans="1:12" x14ac:dyDescent="0.3">
      <c r="A419" t="str">
        <f>TRIM(Raw_Data_Copy!A419)</f>
        <v>ORD-0028</v>
      </c>
      <c r="B419" s="2">
        <v>45920</v>
      </c>
      <c r="C419" t="str">
        <f>TRIM(Raw_Data_Copy!C419)</f>
        <v>CUST-0144</v>
      </c>
      <c r="D419" t="str">
        <f>PROPER(TRIM(Raw_Data_Copy!D419))</f>
        <v>South Africa</v>
      </c>
      <c r="E419" t="str">
        <f>PROPER(TRIM(Raw_Data_Copy!E419))</f>
        <v>Southern Africa</v>
      </c>
      <c r="F419" t="str">
        <f>PROPER(TRIM(Raw_Data_Copy!F419))</f>
        <v>Mouse</v>
      </c>
      <c r="G419" t="str">
        <f>PROPER(TRIM(Raw_Data_Copy!G419))</f>
        <v>Electronics</v>
      </c>
      <c r="H419" t="str">
        <f>TRIM(Raw_Data_Copy!H419)</f>
        <v>1</v>
      </c>
      <c r="I419" t="str">
        <f>TRIM(Raw_Data_Copy!I419)</f>
        <v>42.38</v>
      </c>
      <c r="J419" t="str">
        <f>TRIM(Raw_Data_Copy!J419)</f>
        <v>0.1</v>
      </c>
      <c r="K419">
        <f>ROUND(Cleaned_data!$H419*Cleaned_data!$I419*(1-Cleaned_data!$J419),2)</f>
        <v>38.14</v>
      </c>
      <c r="L419" t="str">
        <f>PROPER(TRIM(Raw_Data_Copy!L419))</f>
        <v>Mobile Money</v>
      </c>
    </row>
    <row r="420" spans="1:12" x14ac:dyDescent="0.3">
      <c r="A420" t="str">
        <f>TRIM(Raw_Data_Copy!A420)</f>
        <v>ORD-0477</v>
      </c>
      <c r="B420" s="2">
        <v>45921</v>
      </c>
      <c r="C420" t="str">
        <f>TRIM(Raw_Data_Copy!C420)</f>
        <v>CUST-0179</v>
      </c>
      <c r="D420" t="str">
        <f>PROPER(TRIM(Raw_Data_Copy!D420))</f>
        <v>United Kingdom</v>
      </c>
      <c r="E420" t="str">
        <f>PROPER(TRIM(Raw_Data_Copy!E420))</f>
        <v>Europe</v>
      </c>
      <c r="F420" t="str">
        <f>PROPER(TRIM(Raw_Data_Copy!F420))</f>
        <v>Headphones</v>
      </c>
      <c r="G420" t="str">
        <f>PROPER(TRIM(Raw_Data_Copy!G420))</f>
        <v>Electronics</v>
      </c>
      <c r="H420" t="str">
        <f>TRIM(Raw_Data_Copy!H420)</f>
        <v>2</v>
      </c>
      <c r="I420" t="str">
        <f>TRIM(Raw_Data_Copy!I420)</f>
        <v>120.33</v>
      </c>
      <c r="J420" t="str">
        <f>TRIM(Raw_Data_Copy!J420)</f>
        <v>0.05</v>
      </c>
      <c r="K420">
        <f>ROUND(Cleaned_data!$H420*Cleaned_data!$I420*(1-Cleaned_data!$J420),2)</f>
        <v>228.63</v>
      </c>
      <c r="L420" t="str">
        <f>PROPER(TRIM(Raw_Data_Copy!L420))</f>
        <v>Cash</v>
      </c>
    </row>
    <row r="421" spans="1:12" x14ac:dyDescent="0.3">
      <c r="A421" t="str">
        <f>TRIM(Raw_Data_Copy!A421)</f>
        <v>ORD-0042</v>
      </c>
      <c r="B421" s="2">
        <v>45921</v>
      </c>
      <c r="C421" t="str">
        <f>TRIM(Raw_Data_Copy!C421)</f>
        <v>CUST-0144</v>
      </c>
      <c r="D421" t="str">
        <f>PROPER(TRIM(Raw_Data_Copy!D421))</f>
        <v>South Africa</v>
      </c>
      <c r="E421" t="str">
        <f>PROPER(TRIM(Raw_Data_Copy!E421))</f>
        <v>Southern Africa</v>
      </c>
      <c r="F421" t="str">
        <f>PROPER(TRIM(Raw_Data_Copy!F421))</f>
        <v>Desk Lamp</v>
      </c>
      <c r="G421" t="str">
        <f>PROPER(TRIM(Raw_Data_Copy!G421))</f>
        <v>Furniture</v>
      </c>
      <c r="H421" t="str">
        <f>TRIM(Raw_Data_Copy!H421)</f>
        <v>2</v>
      </c>
      <c r="I421" t="str">
        <f>TRIM(Raw_Data_Copy!I421)</f>
        <v>49.56</v>
      </c>
      <c r="J421" t="str">
        <f>TRIM(Raw_Data_Copy!J421)</f>
        <v>0.15</v>
      </c>
      <c r="K421">
        <f>ROUND(Cleaned_data!$H421*Cleaned_data!$I421*(1-Cleaned_data!$J421),2)</f>
        <v>84.25</v>
      </c>
      <c r="L421" t="str">
        <f>PROPER(TRIM(Raw_Data_Copy!L421))</f>
        <v>Card</v>
      </c>
    </row>
    <row r="422" spans="1:12" x14ac:dyDescent="0.3">
      <c r="A422" t="str">
        <f>TRIM(Raw_Data_Copy!A422)</f>
        <v>ORD-0384</v>
      </c>
      <c r="B422" s="2">
        <v>45921</v>
      </c>
      <c r="C422" t="str">
        <f>TRIM(Raw_Data_Copy!C422)</f>
        <v>CUST-0026</v>
      </c>
      <c r="D422" t="str">
        <f>PROPER(TRIM(Raw_Data_Copy!D422))</f>
        <v>Nigeria</v>
      </c>
      <c r="E422" t="str">
        <f>PROPER(TRIM(Raw_Data_Copy!E422))</f>
        <v>West Africa</v>
      </c>
      <c r="F422" t="str">
        <f>PROPER(TRIM(Raw_Data_Copy!F422))</f>
        <v>Keyboard</v>
      </c>
      <c r="G422" t="str">
        <f>PROPER(TRIM(Raw_Data_Copy!G422))</f>
        <v>Electronics</v>
      </c>
      <c r="H422" t="str">
        <f>TRIM(Raw_Data_Copy!H422)</f>
        <v>6</v>
      </c>
      <c r="I422" t="str">
        <f>TRIM(Raw_Data_Copy!I422)</f>
        <v>87.32</v>
      </c>
      <c r="J422" t="str">
        <f>TRIM(Raw_Data_Copy!J422)</f>
        <v>0</v>
      </c>
      <c r="K422">
        <f>ROUND(Cleaned_data!$H422*Cleaned_data!$I422*(1-Cleaned_data!$J422),2)</f>
        <v>523.91999999999996</v>
      </c>
      <c r="L422" t="str">
        <f>PROPER(TRIM(Raw_Data_Copy!L422))</f>
        <v>Cash</v>
      </c>
    </row>
    <row r="423" spans="1:12" x14ac:dyDescent="0.3">
      <c r="A423" t="str">
        <f>TRIM(Raw_Data_Copy!A423)</f>
        <v>ORD-0533</v>
      </c>
      <c r="B423" s="2">
        <v>45921</v>
      </c>
      <c r="C423" t="str">
        <f>TRIM(Raw_Data_Copy!C423)</f>
        <v>CUST-0095</v>
      </c>
      <c r="D423" t="str">
        <f>PROPER(TRIM(Raw_Data_Copy!D423))</f>
        <v>United States</v>
      </c>
      <c r="E423" t="str">
        <f>PROPER(TRIM(Raw_Data_Copy!E423))</f>
        <v>North America</v>
      </c>
      <c r="F423" t="str">
        <f>PROPER(TRIM(Raw_Data_Copy!F423))</f>
        <v>Office Chair</v>
      </c>
      <c r="G423" t="str">
        <f>PROPER(TRIM(Raw_Data_Copy!G423))</f>
        <v>Furniture</v>
      </c>
      <c r="H423" t="str">
        <f>TRIM(Raw_Data_Copy!H423)</f>
        <v>5</v>
      </c>
      <c r="I423" t="str">
        <f>TRIM(Raw_Data_Copy!I423)</f>
        <v>237.48</v>
      </c>
      <c r="J423" t="str">
        <f>TRIM(Raw_Data_Copy!J423)</f>
        <v>0.15</v>
      </c>
      <c r="K423">
        <f>ROUND(Cleaned_data!$H423*Cleaned_data!$I423*(1-Cleaned_data!$J423),2)</f>
        <v>1009.29</v>
      </c>
      <c r="L423" t="str">
        <f>PROPER(TRIM(Raw_Data_Copy!L423))</f>
        <v>Cash</v>
      </c>
    </row>
    <row r="424" spans="1:12" x14ac:dyDescent="0.3">
      <c r="A424" t="str">
        <f>TRIM(Raw_Data_Copy!A424)</f>
        <v>ORD-0152</v>
      </c>
      <c r="B424" s="2">
        <v>45921</v>
      </c>
      <c r="C424" t="str">
        <f>TRIM(Raw_Data_Copy!C424)</f>
        <v>CUST-0149</v>
      </c>
      <c r="D424" t="str">
        <f>PROPER(TRIM(Raw_Data_Copy!D424))</f>
        <v>United States</v>
      </c>
      <c r="E424" t="str">
        <f>PROPER(TRIM(Raw_Data_Copy!E424))</f>
        <v>North America</v>
      </c>
      <c r="F424" t="str">
        <f>PROPER(TRIM(Raw_Data_Copy!F424))</f>
        <v>Monitor</v>
      </c>
      <c r="G424" t="str">
        <f>PROPER(TRIM(Raw_Data_Copy!G424))</f>
        <v>Electronics</v>
      </c>
      <c r="H424" t="str">
        <f>TRIM(Raw_Data_Copy!H424)</f>
        <v>1</v>
      </c>
      <c r="I424" t="str">
        <f>TRIM(Raw_Data_Copy!I424)</f>
        <v>281.11</v>
      </c>
      <c r="J424" t="str">
        <f>TRIM(Raw_Data_Copy!J424)</f>
        <v>0.1</v>
      </c>
      <c r="K424">
        <f>ROUND(Cleaned_data!$H424*Cleaned_data!$I424*(1-Cleaned_data!$J424),2)</f>
        <v>253</v>
      </c>
      <c r="L424" t="str">
        <f>PROPER(TRIM(Raw_Data_Copy!L424))</f>
        <v>Bank Transfer</v>
      </c>
    </row>
    <row r="425" spans="1:12" x14ac:dyDescent="0.3">
      <c r="A425" t="str">
        <f>TRIM(Raw_Data_Copy!A425)</f>
        <v>ORD-0006</v>
      </c>
      <c r="B425" s="2">
        <v>45921</v>
      </c>
      <c r="C425" t="str">
        <f>TRIM(Raw_Data_Copy!C425)</f>
        <v>CUST-0175</v>
      </c>
      <c r="D425" t="str">
        <f>PROPER(TRIM(Raw_Data_Copy!D425))</f>
        <v>United States</v>
      </c>
      <c r="E425" t="str">
        <f>PROPER(TRIM(Raw_Data_Copy!E425))</f>
        <v>North America</v>
      </c>
      <c r="F425" t="str">
        <f>PROPER(TRIM(Raw_Data_Copy!F425))</f>
        <v>Smartphone</v>
      </c>
      <c r="G425" t="str">
        <f>PROPER(TRIM(Raw_Data_Copy!G425))</f>
        <v>Electronics</v>
      </c>
      <c r="H425" t="str">
        <f>TRIM(Raw_Data_Copy!H425)</f>
        <v>2</v>
      </c>
      <c r="I425" t="str">
        <f>TRIM(Raw_Data_Copy!I425)</f>
        <v>624.6</v>
      </c>
      <c r="J425" t="str">
        <f>TRIM(Raw_Data_Copy!J425)</f>
        <v>0</v>
      </c>
      <c r="K425">
        <f>ROUND(Cleaned_data!$H425*Cleaned_data!$I425*(1-Cleaned_data!$J425),2)</f>
        <v>1249.2</v>
      </c>
      <c r="L425" t="str">
        <f>PROPER(TRIM(Raw_Data_Copy!L425))</f>
        <v>Mobile Money</v>
      </c>
    </row>
    <row r="426" spans="1:12" x14ac:dyDescent="0.3">
      <c r="A426" t="str">
        <f>TRIM(Raw_Data_Copy!A426)</f>
        <v>ORD-0062</v>
      </c>
      <c r="B426" s="2">
        <v>45922</v>
      </c>
      <c r="C426" t="str">
        <f>TRIM(Raw_Data_Copy!C426)</f>
        <v>CUST-0028</v>
      </c>
      <c r="D426" t="str">
        <f>PROPER(TRIM(Raw_Data_Copy!D426))</f>
        <v>Nigeria</v>
      </c>
      <c r="E426" t="str">
        <f>PROPER(TRIM(Raw_Data_Copy!E426))</f>
        <v>West Africa</v>
      </c>
      <c r="F426" t="str">
        <f>PROPER(TRIM(Raw_Data_Copy!F426))</f>
        <v>Headphones</v>
      </c>
      <c r="G426" t="str">
        <f>PROPER(TRIM(Raw_Data_Copy!G426))</f>
        <v>Electronics</v>
      </c>
      <c r="H426" t="str">
        <f>TRIM(Raw_Data_Copy!H426)</f>
        <v>1</v>
      </c>
      <c r="I426" t="str">
        <f>TRIM(Raw_Data_Copy!I426)</f>
        <v>109.28</v>
      </c>
      <c r="J426" t="str">
        <f>TRIM(Raw_Data_Copy!J426)</f>
        <v>0.25</v>
      </c>
      <c r="K426">
        <f>ROUND(Cleaned_data!$H426*Cleaned_data!$I426*(1-Cleaned_data!$J426),2)</f>
        <v>81.96</v>
      </c>
      <c r="L426" t="str">
        <f>PROPER(TRIM(Raw_Data_Copy!L426))</f>
        <v>Bank Transfer</v>
      </c>
    </row>
    <row r="427" spans="1:12" x14ac:dyDescent="0.3">
      <c r="A427" t="str">
        <f>TRIM(Raw_Data_Copy!A427)</f>
        <v>ORD-0226</v>
      </c>
      <c r="B427" s="2">
        <v>45922</v>
      </c>
      <c r="C427" t="str">
        <f>TRIM(Raw_Data_Copy!C427)</f>
        <v>CUST-0003</v>
      </c>
      <c r="D427" t="str">
        <f>PROPER(TRIM(Raw_Data_Copy!D427))</f>
        <v>Ghana</v>
      </c>
      <c r="E427" t="str">
        <f>PROPER(TRIM(Raw_Data_Copy!E427))</f>
        <v>West Africa</v>
      </c>
      <c r="F427" t="str">
        <f>PROPER(TRIM(Raw_Data_Copy!F427))</f>
        <v>Notebook</v>
      </c>
      <c r="G427" t="str">
        <f>PROPER(TRIM(Raw_Data_Copy!G427))</f>
        <v>Office Supplies</v>
      </c>
      <c r="H427" t="str">
        <f>TRIM(Raw_Data_Copy!H427)</f>
        <v>3</v>
      </c>
      <c r="I427" t="str">
        <f>TRIM(Raw_Data_Copy!I427)</f>
        <v>14.01</v>
      </c>
      <c r="J427" t="str">
        <f>TRIM(Raw_Data_Copy!J427)</f>
        <v>0.15</v>
      </c>
      <c r="K427">
        <f>ROUND(Cleaned_data!$H427*Cleaned_data!$I427*(1-Cleaned_data!$J427),2)</f>
        <v>35.729999999999997</v>
      </c>
      <c r="L427" t="str">
        <f>PROPER(TRIM(Raw_Data_Copy!L427))</f>
        <v>Bank Transfer</v>
      </c>
    </row>
    <row r="428" spans="1:12" x14ac:dyDescent="0.3">
      <c r="A428" t="str">
        <f>TRIM(Raw_Data_Copy!A428)</f>
        <v>ORD-0276</v>
      </c>
      <c r="B428" s="2">
        <v>45923</v>
      </c>
      <c r="C428" t="str">
        <f>TRIM(Raw_Data_Copy!C428)</f>
        <v>CUST-0149</v>
      </c>
      <c r="D428" t="str">
        <f>PROPER(TRIM(Raw_Data_Copy!D428))</f>
        <v>Nigeria</v>
      </c>
      <c r="E428" t="str">
        <f>PROPER(TRIM(Raw_Data_Copy!E428))</f>
        <v>West Africa</v>
      </c>
      <c r="F428" t="str">
        <f>PROPER(TRIM(Raw_Data_Copy!F428))</f>
        <v>Mouse</v>
      </c>
      <c r="G428" t="str">
        <f>PROPER(TRIM(Raw_Data_Copy!G428))</f>
        <v>Electronics</v>
      </c>
      <c r="H428" t="str">
        <f>TRIM(Raw_Data_Copy!H428)</f>
        <v>1</v>
      </c>
      <c r="I428" t="str">
        <f>TRIM(Raw_Data_Copy!I428)</f>
        <v>49.14</v>
      </c>
      <c r="J428" t="str">
        <f>TRIM(Raw_Data_Copy!J428)</f>
        <v>0.1</v>
      </c>
      <c r="K428">
        <f>ROUND(Cleaned_data!$H428*Cleaned_data!$I428*(1-Cleaned_data!$J428),2)</f>
        <v>44.23</v>
      </c>
      <c r="L428" t="str">
        <f>PROPER(TRIM(Raw_Data_Copy!L428))</f>
        <v>Bank Transfer</v>
      </c>
    </row>
    <row r="429" spans="1:12" x14ac:dyDescent="0.3">
      <c r="A429" t="str">
        <f>TRIM(Raw_Data_Copy!A429)</f>
        <v>ORD-0540</v>
      </c>
      <c r="B429" s="2">
        <v>45923</v>
      </c>
      <c r="C429" t="str">
        <f>TRIM(Raw_Data_Copy!C429)</f>
        <v>CUST-0168</v>
      </c>
      <c r="D429" t="str">
        <f>PROPER(TRIM(Raw_Data_Copy!D429))</f>
        <v>United Kingdom</v>
      </c>
      <c r="E429" t="str">
        <f>PROPER(TRIM(Raw_Data_Copy!E429))</f>
        <v>Europe</v>
      </c>
      <c r="F429" t="str">
        <f>PROPER(TRIM(Raw_Data_Copy!F429))</f>
        <v>Notebook</v>
      </c>
      <c r="G429" t="str">
        <f>PROPER(TRIM(Raw_Data_Copy!G429))</f>
        <v>Office Supplies</v>
      </c>
      <c r="H429" t="str">
        <f>TRIM(Raw_Data_Copy!H429)</f>
        <v>4</v>
      </c>
      <c r="I429" t="str">
        <f>TRIM(Raw_Data_Copy!I429)</f>
        <v>15.35</v>
      </c>
      <c r="J429" t="str">
        <f>TRIM(Raw_Data_Copy!J429)</f>
        <v>0</v>
      </c>
      <c r="K429">
        <f>ROUND(Cleaned_data!$H429*Cleaned_data!$I429*(1-Cleaned_data!$J429),2)</f>
        <v>61.4</v>
      </c>
      <c r="L429" t="str">
        <f>PROPER(TRIM(Raw_Data_Copy!L429))</f>
        <v>Mobile Money</v>
      </c>
    </row>
    <row r="430" spans="1:12" x14ac:dyDescent="0.3">
      <c r="A430" t="str">
        <f>TRIM(Raw_Data_Copy!A430)</f>
        <v>ORD-0259</v>
      </c>
      <c r="B430" s="2">
        <v>45923</v>
      </c>
      <c r="C430" t="str">
        <f>TRIM(Raw_Data_Copy!C430)</f>
        <v>CUST-0089</v>
      </c>
      <c r="D430" t="str">
        <f>PROPER(TRIM(Raw_Data_Copy!D430))</f>
        <v>Ghana</v>
      </c>
      <c r="E430" t="str">
        <f>PROPER(TRIM(Raw_Data_Copy!E430))</f>
        <v>West Africa</v>
      </c>
      <c r="F430" t="str">
        <f>PROPER(TRIM(Raw_Data_Copy!F430))</f>
        <v>Smartphone</v>
      </c>
      <c r="G430" t="str">
        <f>PROPER(TRIM(Raw_Data_Copy!G430))</f>
        <v>Electronics</v>
      </c>
      <c r="H430" t="str">
        <f>TRIM(Raw_Data_Copy!H430)</f>
        <v>4</v>
      </c>
      <c r="I430" t="str">
        <f>TRIM(Raw_Data_Copy!I430)</f>
        <v>632.42</v>
      </c>
      <c r="J430" t="str">
        <f>TRIM(Raw_Data_Copy!J430)</f>
        <v>0.1</v>
      </c>
      <c r="K430">
        <f>ROUND(Cleaned_data!$H430*Cleaned_data!$I430*(1-Cleaned_data!$J430),2)</f>
        <v>2276.71</v>
      </c>
      <c r="L430" t="str">
        <f>PROPER(TRIM(Raw_Data_Copy!L430))</f>
        <v>Mobile Money</v>
      </c>
    </row>
    <row r="431" spans="1:12" x14ac:dyDescent="0.3">
      <c r="A431" t="str">
        <f>TRIM(Raw_Data_Copy!A431)</f>
        <v>ORD-0577</v>
      </c>
      <c r="B431" s="2">
        <v>45924</v>
      </c>
      <c r="C431" t="str">
        <f>TRIM(Raw_Data_Copy!C431)</f>
        <v>CUST-0108</v>
      </c>
      <c r="D431" t="str">
        <f>PROPER(TRIM(Raw_Data_Copy!D431))</f>
        <v>Nigeria</v>
      </c>
      <c r="E431" t="str">
        <f>PROPER(TRIM(Raw_Data_Copy!E431))</f>
        <v>West Africa</v>
      </c>
      <c r="F431" t="str">
        <f>PROPER(TRIM(Raw_Data_Copy!F431))</f>
        <v>Notebook</v>
      </c>
      <c r="G431" t="str">
        <f>PROPER(TRIM(Raw_Data_Copy!G431))</f>
        <v>Office Supplies</v>
      </c>
      <c r="H431" t="str">
        <f>TRIM(Raw_Data_Copy!H431)</f>
        <v>8</v>
      </c>
      <c r="I431" t="str">
        <f>TRIM(Raw_Data_Copy!I431)</f>
        <v>15.85</v>
      </c>
      <c r="J431" t="str">
        <f>TRIM(Raw_Data_Copy!J431)</f>
        <v>0.15</v>
      </c>
      <c r="K431">
        <f>ROUND(Cleaned_data!$H431*Cleaned_data!$I431*(1-Cleaned_data!$J431),2)</f>
        <v>107.78</v>
      </c>
      <c r="L431" t="str">
        <f>PROPER(TRIM(Raw_Data_Copy!L431))</f>
        <v>Mobile Money</v>
      </c>
    </row>
    <row r="432" spans="1:12" x14ac:dyDescent="0.3">
      <c r="A432" t="str">
        <f>TRIM(Raw_Data_Copy!A432)</f>
        <v>ORD-0192</v>
      </c>
      <c r="B432" s="2">
        <v>45924</v>
      </c>
      <c r="C432" t="str">
        <f>TRIM(Raw_Data_Copy!C432)</f>
        <v>CUST-0179</v>
      </c>
      <c r="D432" t="str">
        <f>PROPER(TRIM(Raw_Data_Copy!D432))</f>
        <v>Kenya</v>
      </c>
      <c r="E432" t="str">
        <f>PROPER(TRIM(Raw_Data_Copy!E432))</f>
        <v>East Africa</v>
      </c>
      <c r="F432" t="str">
        <f>PROPER(TRIM(Raw_Data_Copy!F432))</f>
        <v>Backpack</v>
      </c>
      <c r="G432" t="str">
        <f>PROPER(TRIM(Raw_Data_Copy!G432))</f>
        <v>Accessories</v>
      </c>
      <c r="H432" t="str">
        <f>TRIM(Raw_Data_Copy!H432)</f>
        <v>8</v>
      </c>
      <c r="I432" t="str">
        <f>TRIM(Raw_Data_Copy!I432)</f>
        <v>77.35</v>
      </c>
      <c r="J432" t="str">
        <f>TRIM(Raw_Data_Copy!J432)</f>
        <v>0.15</v>
      </c>
      <c r="K432">
        <f>ROUND(Cleaned_data!$H432*Cleaned_data!$I432*(1-Cleaned_data!$J432),2)</f>
        <v>525.98</v>
      </c>
      <c r="L432" t="str">
        <f>PROPER(TRIM(Raw_Data_Copy!L432))</f>
        <v>Cash</v>
      </c>
    </row>
    <row r="433" spans="1:12" x14ac:dyDescent="0.3">
      <c r="A433" t="str">
        <f>TRIM(Raw_Data_Copy!A433)</f>
        <v>ORD-0153</v>
      </c>
      <c r="B433" s="2">
        <v>45925</v>
      </c>
      <c r="C433" t="str">
        <f>TRIM(Raw_Data_Copy!C433)</f>
        <v>CUST-0143</v>
      </c>
      <c r="D433" t="str">
        <f>PROPER(TRIM(Raw_Data_Copy!D433))</f>
        <v>United Kingdom</v>
      </c>
      <c r="E433" t="str">
        <f>PROPER(TRIM(Raw_Data_Copy!E433))</f>
        <v>Europe</v>
      </c>
      <c r="F433" t="str">
        <f>PROPER(TRIM(Raw_Data_Copy!F433))</f>
        <v>Desk</v>
      </c>
      <c r="G433" t="str">
        <f>PROPER(TRIM(Raw_Data_Copy!G433))</f>
        <v>Furniture</v>
      </c>
      <c r="H433" t="str">
        <f>TRIM(Raw_Data_Copy!H433)</f>
        <v>6</v>
      </c>
      <c r="I433" t="str">
        <f>TRIM(Raw_Data_Copy!I433)</f>
        <v>359.61</v>
      </c>
      <c r="J433" t="str">
        <f>TRIM(Raw_Data_Copy!J433)</f>
        <v>0.3</v>
      </c>
      <c r="K433">
        <f>ROUND(Cleaned_data!$H433*Cleaned_data!$I433*(1-Cleaned_data!$J433),2)</f>
        <v>1510.36</v>
      </c>
      <c r="L433" t="str">
        <f>PROPER(TRIM(Raw_Data_Copy!L433))</f>
        <v>Cash</v>
      </c>
    </row>
    <row r="434" spans="1:12" x14ac:dyDescent="0.3">
      <c r="A434" t="str">
        <f>TRIM(Raw_Data_Copy!A434)</f>
        <v>ORD-0046</v>
      </c>
      <c r="B434" s="2">
        <v>45926</v>
      </c>
      <c r="C434" t="str">
        <f>TRIM(Raw_Data_Copy!C434)</f>
        <v>CUST-0114</v>
      </c>
      <c r="D434" t="str">
        <f>PROPER(TRIM(Raw_Data_Copy!D434))</f>
        <v>Ghana</v>
      </c>
      <c r="E434" t="str">
        <f>PROPER(TRIM(Raw_Data_Copy!E434))</f>
        <v>West Africa</v>
      </c>
      <c r="F434" t="str">
        <f>PROPER(TRIM(Raw_Data_Copy!F434))</f>
        <v>Office Chair</v>
      </c>
      <c r="G434" t="str">
        <f>PROPER(TRIM(Raw_Data_Copy!G434))</f>
        <v>Furniture</v>
      </c>
      <c r="H434" t="str">
        <f>TRIM(Raw_Data_Copy!H434)</f>
        <v>6</v>
      </c>
      <c r="I434" t="str">
        <f>TRIM(Raw_Data_Copy!I434)</f>
        <v>221.79</v>
      </c>
      <c r="J434" t="str">
        <f>TRIM(Raw_Data_Copy!J434)</f>
        <v>0.15</v>
      </c>
      <c r="K434">
        <f>ROUND(Cleaned_data!$H434*Cleaned_data!$I434*(1-Cleaned_data!$J434),2)</f>
        <v>1131.1300000000001</v>
      </c>
      <c r="L434" t="str">
        <f>PROPER(TRIM(Raw_Data_Copy!L434))</f>
        <v>Bank Transfer</v>
      </c>
    </row>
    <row r="435" spans="1:12" x14ac:dyDescent="0.3">
      <c r="A435" t="str">
        <f>TRIM(Raw_Data_Copy!A435)</f>
        <v>ORD-0512</v>
      </c>
      <c r="B435" s="2">
        <v>45926</v>
      </c>
      <c r="C435" t="str">
        <f>TRIM(Raw_Data_Copy!C435)</f>
        <v>CUST-0155</v>
      </c>
      <c r="D435" t="str">
        <f>PROPER(TRIM(Raw_Data_Copy!D435))</f>
        <v>United Kingdom</v>
      </c>
      <c r="E435" t="str">
        <f>PROPER(TRIM(Raw_Data_Copy!E435))</f>
        <v>Europe</v>
      </c>
      <c r="F435" t="str">
        <f>PROPER(TRIM(Raw_Data_Copy!F435))</f>
        <v>Laptop</v>
      </c>
      <c r="G435" t="str">
        <f>PROPER(TRIM(Raw_Data_Copy!G435))</f>
        <v>Electronics</v>
      </c>
      <c r="H435" t="str">
        <f>TRIM(Raw_Data_Copy!H435)</f>
        <v>6</v>
      </c>
      <c r="I435" t="str">
        <f>TRIM(Raw_Data_Copy!I435)</f>
        <v>858.51</v>
      </c>
      <c r="J435" t="str">
        <f>TRIM(Raw_Data_Copy!J435)</f>
        <v>0</v>
      </c>
      <c r="K435">
        <f>ROUND(Cleaned_data!$H435*Cleaned_data!$I435*(1-Cleaned_data!$J435),2)</f>
        <v>5151.0600000000004</v>
      </c>
      <c r="L435" t="str">
        <f>PROPER(TRIM(Raw_Data_Copy!L435))</f>
        <v>Mobile Money</v>
      </c>
    </row>
    <row r="436" spans="1:12" x14ac:dyDescent="0.3">
      <c r="A436" t="str">
        <f>TRIM(Raw_Data_Copy!A436)</f>
        <v>ORD-0044</v>
      </c>
      <c r="B436" s="2">
        <v>45928</v>
      </c>
      <c r="C436" t="str">
        <f>TRIM(Raw_Data_Copy!C436)</f>
        <v>CUST-0054</v>
      </c>
      <c r="D436" t="str">
        <f>PROPER(TRIM(Raw_Data_Copy!D436))</f>
        <v>Kenya</v>
      </c>
      <c r="E436" t="str">
        <f>PROPER(TRIM(Raw_Data_Copy!E436))</f>
        <v>East Africa</v>
      </c>
      <c r="F436" t="str">
        <f>PROPER(TRIM(Raw_Data_Copy!F436))</f>
        <v>Backpack</v>
      </c>
      <c r="G436" t="str">
        <f>PROPER(TRIM(Raw_Data_Copy!G436))</f>
        <v>Accessories</v>
      </c>
      <c r="H436" t="str">
        <f>TRIM(Raw_Data_Copy!H436)</f>
        <v>2</v>
      </c>
      <c r="I436" t="str">
        <f>TRIM(Raw_Data_Copy!I436)</f>
        <v>80.41</v>
      </c>
      <c r="J436" t="str">
        <f>TRIM(Raw_Data_Copy!J436)</f>
        <v>0.05</v>
      </c>
      <c r="K436">
        <f>ROUND(Cleaned_data!$H436*Cleaned_data!$I436*(1-Cleaned_data!$J436),2)</f>
        <v>152.78</v>
      </c>
      <c r="L436" t="str">
        <f>PROPER(TRIM(Raw_Data_Copy!L436))</f>
        <v>Card</v>
      </c>
    </row>
    <row r="437" spans="1:12" x14ac:dyDescent="0.3">
      <c r="A437" t="str">
        <f>TRIM(Raw_Data_Copy!A437)</f>
        <v>ORD-0552</v>
      </c>
      <c r="B437" s="2">
        <v>45930</v>
      </c>
      <c r="C437" t="str">
        <f>TRIM(Raw_Data_Copy!C437)</f>
        <v>CUST-0152</v>
      </c>
      <c r="D437" t="str">
        <f>PROPER(TRIM(Raw_Data_Copy!D437))</f>
        <v>United States</v>
      </c>
      <c r="E437" t="str">
        <f>PROPER(TRIM(Raw_Data_Copy!E437))</f>
        <v>North America</v>
      </c>
      <c r="F437" t="str">
        <f>PROPER(TRIM(Raw_Data_Copy!F437))</f>
        <v>Smartphone</v>
      </c>
      <c r="G437" t="str">
        <f>PROPER(TRIM(Raw_Data_Copy!G437))</f>
        <v>Electronics</v>
      </c>
      <c r="H437" t="str">
        <f>TRIM(Raw_Data_Copy!H437)</f>
        <v>1</v>
      </c>
      <c r="I437" t="str">
        <f>TRIM(Raw_Data_Copy!I437)</f>
        <v>666.55</v>
      </c>
      <c r="J437" t="str">
        <f>TRIM(Raw_Data_Copy!J437)</f>
        <v>0.15</v>
      </c>
      <c r="K437">
        <f>ROUND(Cleaned_data!$H437*Cleaned_data!$I437*(1-Cleaned_data!$J437),2)</f>
        <v>566.57000000000005</v>
      </c>
      <c r="L437" t="str">
        <f>PROPER(TRIM(Raw_Data_Copy!L437))</f>
        <v>Card</v>
      </c>
    </row>
    <row r="438" spans="1:12" x14ac:dyDescent="0.3">
      <c r="A438" t="str">
        <f>TRIM(Raw_Data_Copy!A438)</f>
        <v>ORD-0096</v>
      </c>
      <c r="B438" s="2">
        <v>45931</v>
      </c>
      <c r="C438" t="str">
        <f>TRIM(Raw_Data_Copy!C438)</f>
        <v>CUST-0038</v>
      </c>
      <c r="D438" t="str">
        <f>PROPER(TRIM(Raw_Data_Copy!D438))</f>
        <v>Ghana</v>
      </c>
      <c r="E438" t="str">
        <f>PROPER(TRIM(Raw_Data_Copy!E438))</f>
        <v>West Africa</v>
      </c>
      <c r="F438" t="str">
        <f>PROPER(TRIM(Raw_Data_Copy!F438))</f>
        <v>Headphones</v>
      </c>
      <c r="G438" t="str">
        <f>PROPER(TRIM(Raw_Data_Copy!G438))</f>
        <v>Electronics</v>
      </c>
      <c r="H438" t="str">
        <f>TRIM(Raw_Data_Copy!H438)</f>
        <v>7</v>
      </c>
      <c r="I438" t="str">
        <f>TRIM(Raw_Data_Copy!I438)</f>
        <v>128.27</v>
      </c>
      <c r="J438" t="str">
        <f>TRIM(Raw_Data_Copy!J438)</f>
        <v>0.15</v>
      </c>
      <c r="K438">
        <f>ROUND(Cleaned_data!$H438*Cleaned_data!$I438*(1-Cleaned_data!$J438),2)</f>
        <v>763.21</v>
      </c>
      <c r="L438" t="str">
        <f>PROPER(TRIM(Raw_Data_Copy!L438))</f>
        <v>Card</v>
      </c>
    </row>
    <row r="439" spans="1:12" x14ac:dyDescent="0.3">
      <c r="A439" t="str">
        <f>TRIM(Raw_Data_Copy!A439)</f>
        <v>ORD-0005</v>
      </c>
      <c r="B439" s="2">
        <v>45931</v>
      </c>
      <c r="C439" t="str">
        <f>TRIM(Raw_Data_Copy!C439)</f>
        <v>CUST-0132</v>
      </c>
      <c r="D439" t="str">
        <f>PROPER(TRIM(Raw_Data_Copy!D439))</f>
        <v>Kenya</v>
      </c>
      <c r="E439" t="str">
        <f>PROPER(TRIM(Raw_Data_Copy!E439))</f>
        <v>East Africa</v>
      </c>
      <c r="F439" t="str">
        <f>PROPER(TRIM(Raw_Data_Copy!F439))</f>
        <v>Mouse</v>
      </c>
      <c r="G439" t="str">
        <f>PROPER(TRIM(Raw_Data_Copy!G439))</f>
        <v>Electronics</v>
      </c>
      <c r="H439" t="str">
        <f>TRIM(Raw_Data_Copy!H439)</f>
        <v>3</v>
      </c>
      <c r="I439" t="str">
        <f>TRIM(Raw_Data_Copy!I439)</f>
        <v>48.24</v>
      </c>
      <c r="J439" t="str">
        <f>TRIM(Raw_Data_Copy!J439)</f>
        <v>0.15</v>
      </c>
      <c r="K439">
        <f>ROUND(Cleaned_data!$H439*Cleaned_data!$I439*(1-Cleaned_data!$J439),2)</f>
        <v>123.01</v>
      </c>
      <c r="L439" t="str">
        <f>PROPER(TRIM(Raw_Data_Copy!L439))</f>
        <v>Mobile Money</v>
      </c>
    </row>
    <row r="440" spans="1:12" x14ac:dyDescent="0.3">
      <c r="A440" t="str">
        <f>TRIM(Raw_Data_Copy!A440)</f>
        <v>ORD-0186</v>
      </c>
      <c r="B440" s="2">
        <v>45931</v>
      </c>
      <c r="C440" t="str">
        <f>TRIM(Raw_Data_Copy!C440)</f>
        <v>CUST-0015</v>
      </c>
      <c r="D440" t="str">
        <f>PROPER(TRIM(Raw_Data_Copy!D440))</f>
        <v>United States</v>
      </c>
      <c r="E440" t="str">
        <f>PROPER(TRIM(Raw_Data_Copy!E440))</f>
        <v>North America</v>
      </c>
      <c r="F440" t="str">
        <f>PROPER(TRIM(Raw_Data_Copy!F440))</f>
        <v>Smartphone</v>
      </c>
      <c r="G440" t="str">
        <f>PROPER(TRIM(Raw_Data_Copy!G440))</f>
        <v>Electronics</v>
      </c>
      <c r="H440" t="str">
        <f>TRIM(Raw_Data_Copy!H440)</f>
        <v>5</v>
      </c>
      <c r="I440" t="str">
        <f>TRIM(Raw_Data_Copy!I440)</f>
        <v>611.05</v>
      </c>
      <c r="J440" t="str">
        <f>TRIM(Raw_Data_Copy!J440)</f>
        <v>0.2</v>
      </c>
      <c r="K440">
        <f>ROUND(Cleaned_data!$H440*Cleaned_data!$I440*(1-Cleaned_data!$J440),2)</f>
        <v>2444.1999999999998</v>
      </c>
      <c r="L440" t="str">
        <f>PROPER(TRIM(Raw_Data_Copy!L440))</f>
        <v>Bank Transfer</v>
      </c>
    </row>
    <row r="441" spans="1:12" x14ac:dyDescent="0.3">
      <c r="A441" t="str">
        <f>TRIM(Raw_Data_Copy!A441)</f>
        <v>ORD-0230</v>
      </c>
      <c r="B441" s="2">
        <v>45932</v>
      </c>
      <c r="C441" t="str">
        <f>TRIM(Raw_Data_Copy!C441)</f>
        <v>CUST-0034</v>
      </c>
      <c r="D441" t="str">
        <f>PROPER(TRIM(Raw_Data_Copy!D441))</f>
        <v>United States</v>
      </c>
      <c r="E441" t="str">
        <f>PROPER(TRIM(Raw_Data_Copy!E441))</f>
        <v>North America</v>
      </c>
      <c r="F441" t="str">
        <f>PROPER(TRIM(Raw_Data_Copy!F441))</f>
        <v>Mouse</v>
      </c>
      <c r="G441" t="str">
        <f>PROPER(TRIM(Raw_Data_Copy!G441))</f>
        <v>Electronics</v>
      </c>
      <c r="H441" t="str">
        <f>TRIM(Raw_Data_Copy!H441)</f>
        <v>4</v>
      </c>
      <c r="I441" t="str">
        <f>TRIM(Raw_Data_Copy!I441)</f>
        <v>48.84</v>
      </c>
      <c r="J441" t="str">
        <f>TRIM(Raw_Data_Copy!J441)</f>
        <v>0</v>
      </c>
      <c r="K441">
        <f>ROUND(Cleaned_data!$H441*Cleaned_data!$I441*(1-Cleaned_data!$J441),2)</f>
        <v>195.36</v>
      </c>
      <c r="L441" t="str">
        <f>PROPER(TRIM(Raw_Data_Copy!L441))</f>
        <v>Cash</v>
      </c>
    </row>
    <row r="442" spans="1:12" x14ac:dyDescent="0.3">
      <c r="A442" t="str">
        <f>TRIM(Raw_Data_Copy!A442)</f>
        <v>ORD-0215</v>
      </c>
      <c r="B442" s="2">
        <v>45933</v>
      </c>
      <c r="C442" t="str">
        <f>TRIM(Raw_Data_Copy!C442)</f>
        <v>CUST-0043</v>
      </c>
      <c r="D442" t="str">
        <f>PROPER(TRIM(Raw_Data_Copy!D442))</f>
        <v>Kenya</v>
      </c>
      <c r="E442" t="str">
        <f>PROPER(TRIM(Raw_Data_Copy!E442))</f>
        <v>East Africa</v>
      </c>
      <c r="F442" t="str">
        <f>PROPER(TRIM(Raw_Data_Copy!F442))</f>
        <v>Desk</v>
      </c>
      <c r="G442" t="str">
        <f>PROPER(TRIM(Raw_Data_Copy!G442))</f>
        <v>Furniture</v>
      </c>
      <c r="H442" t="str">
        <f>TRIM(Raw_Data_Copy!H442)</f>
        <v>3</v>
      </c>
      <c r="I442" t="str">
        <f>TRIM(Raw_Data_Copy!I442)</f>
        <v>337.13</v>
      </c>
      <c r="J442" t="str">
        <f>TRIM(Raw_Data_Copy!J442)</f>
        <v>0.1</v>
      </c>
      <c r="K442">
        <f>ROUND(Cleaned_data!$H442*Cleaned_data!$I442*(1-Cleaned_data!$J442),2)</f>
        <v>910.25</v>
      </c>
      <c r="L442" t="str">
        <f>PROPER(TRIM(Raw_Data_Copy!L442))</f>
        <v>Card</v>
      </c>
    </row>
    <row r="443" spans="1:12" x14ac:dyDescent="0.3">
      <c r="A443" t="str">
        <f>TRIM(Raw_Data_Copy!A443)</f>
        <v>ORD-0383</v>
      </c>
      <c r="B443" s="2">
        <v>45934</v>
      </c>
      <c r="C443" t="str">
        <f>TRIM(Raw_Data_Copy!C443)</f>
        <v>CUST-0169</v>
      </c>
      <c r="D443" t="str">
        <f>PROPER(TRIM(Raw_Data_Copy!D443))</f>
        <v>Kenya</v>
      </c>
      <c r="E443" t="str">
        <f>PROPER(TRIM(Raw_Data_Copy!E443))</f>
        <v>East Africa</v>
      </c>
      <c r="F443" t="str">
        <f>PROPER(TRIM(Raw_Data_Copy!F443))</f>
        <v>Backpack</v>
      </c>
      <c r="G443" t="str">
        <f>PROPER(TRIM(Raw_Data_Copy!G443))</f>
        <v>Accessories</v>
      </c>
      <c r="H443" t="str">
        <f>TRIM(Raw_Data_Copy!H443)</f>
        <v>3</v>
      </c>
      <c r="I443" t="str">
        <f>TRIM(Raw_Data_Copy!I443)</f>
        <v>80.58</v>
      </c>
      <c r="J443" t="str">
        <f>TRIM(Raw_Data_Copy!J443)</f>
        <v>0.1</v>
      </c>
      <c r="K443">
        <f>ROUND(Cleaned_data!$H443*Cleaned_data!$I443*(1-Cleaned_data!$J443),2)</f>
        <v>217.57</v>
      </c>
      <c r="L443" t="str">
        <f>PROPER(TRIM(Raw_Data_Copy!L443))</f>
        <v>Mobile Money</v>
      </c>
    </row>
    <row r="444" spans="1:12" x14ac:dyDescent="0.3">
      <c r="A444" t="str">
        <f>TRIM(Raw_Data_Copy!A444)</f>
        <v>ORD-0326</v>
      </c>
      <c r="B444" s="2">
        <v>45934</v>
      </c>
      <c r="C444" t="str">
        <f>TRIM(Raw_Data_Copy!C444)</f>
        <v>CUST-0156</v>
      </c>
      <c r="D444" t="str">
        <f>PROPER(TRIM(Raw_Data_Copy!D444))</f>
        <v>Nigeria</v>
      </c>
      <c r="E444" t="str">
        <f>PROPER(TRIM(Raw_Data_Copy!E444))</f>
        <v>West Africa</v>
      </c>
      <c r="F444" t="str">
        <f>PROPER(TRIM(Raw_Data_Copy!F444))</f>
        <v>Keyboard</v>
      </c>
      <c r="G444" t="str">
        <f>PROPER(TRIM(Raw_Data_Copy!G444))</f>
        <v>Electronics</v>
      </c>
      <c r="H444" t="str">
        <f>TRIM(Raw_Data_Copy!H444)</f>
        <v>2</v>
      </c>
      <c r="I444" t="str">
        <f>TRIM(Raw_Data_Copy!I444)</f>
        <v>85.11</v>
      </c>
      <c r="J444" t="str">
        <f>TRIM(Raw_Data_Copy!J444)</f>
        <v>0.2</v>
      </c>
      <c r="K444">
        <f>ROUND(Cleaned_data!$H444*Cleaned_data!$I444*(1-Cleaned_data!$J444),2)</f>
        <v>136.18</v>
      </c>
      <c r="L444" t="str">
        <f>PROPER(TRIM(Raw_Data_Copy!L444))</f>
        <v>Mobile Money</v>
      </c>
    </row>
    <row r="445" spans="1:12" x14ac:dyDescent="0.3">
      <c r="A445" t="str">
        <f>TRIM(Raw_Data_Copy!A445)</f>
        <v>ORD-0141</v>
      </c>
      <c r="B445" s="2">
        <v>45935</v>
      </c>
      <c r="C445" t="str">
        <f>TRIM(Raw_Data_Copy!C445)</f>
        <v>CUST-0004</v>
      </c>
      <c r="D445" t="str">
        <f>PROPER(TRIM(Raw_Data_Copy!D445))</f>
        <v>Ghana</v>
      </c>
      <c r="E445" t="str">
        <f>PROPER(TRIM(Raw_Data_Copy!E445))</f>
        <v>West Africa</v>
      </c>
      <c r="F445" t="str">
        <f>PROPER(TRIM(Raw_Data_Copy!F445))</f>
        <v>Mouse</v>
      </c>
      <c r="G445" t="str">
        <f>PROPER(TRIM(Raw_Data_Copy!G445))</f>
        <v>Electronics</v>
      </c>
      <c r="H445" t="str">
        <f>TRIM(Raw_Data_Copy!H445)</f>
        <v>8</v>
      </c>
      <c r="I445" t="str">
        <f>TRIM(Raw_Data_Copy!I445)</f>
        <v>46.79</v>
      </c>
      <c r="J445" t="str">
        <f>TRIM(Raw_Data_Copy!J445)</f>
        <v>0.1</v>
      </c>
      <c r="K445">
        <f>ROUND(Cleaned_data!$H445*Cleaned_data!$I445*(1-Cleaned_data!$J445),2)</f>
        <v>336.89</v>
      </c>
      <c r="L445" t="str">
        <f>PROPER(TRIM(Raw_Data_Copy!L445))</f>
        <v>Card</v>
      </c>
    </row>
    <row r="446" spans="1:12" x14ac:dyDescent="0.3">
      <c r="A446" t="str">
        <f>TRIM(Raw_Data_Copy!A446)</f>
        <v>ORD-0539</v>
      </c>
      <c r="B446" s="2">
        <v>45935</v>
      </c>
      <c r="C446" t="str">
        <f>TRIM(Raw_Data_Copy!C446)</f>
        <v>CUST-0130</v>
      </c>
      <c r="D446" t="str">
        <f>PROPER(TRIM(Raw_Data_Copy!D446))</f>
        <v>Ghana</v>
      </c>
      <c r="E446" t="str">
        <f>PROPER(TRIM(Raw_Data_Copy!E446))</f>
        <v>West Africa</v>
      </c>
      <c r="F446" t="str">
        <f>PROPER(TRIM(Raw_Data_Copy!F446))</f>
        <v>Backpack</v>
      </c>
      <c r="G446" t="str">
        <f>PROPER(TRIM(Raw_Data_Copy!G446))</f>
        <v>Accessories</v>
      </c>
      <c r="H446" t="str">
        <f>TRIM(Raw_Data_Copy!H446)</f>
        <v>4</v>
      </c>
      <c r="I446" t="str">
        <f>TRIM(Raw_Data_Copy!I446)</f>
        <v>69.7</v>
      </c>
      <c r="J446" t="str">
        <f>TRIM(Raw_Data_Copy!J446)</f>
        <v>0.05</v>
      </c>
      <c r="K446">
        <f>ROUND(Cleaned_data!$H446*Cleaned_data!$I446*(1-Cleaned_data!$J446),2)</f>
        <v>264.86</v>
      </c>
      <c r="L446" t="str">
        <f>PROPER(TRIM(Raw_Data_Copy!L446))</f>
        <v>Bank Transfer</v>
      </c>
    </row>
    <row r="447" spans="1:12" x14ac:dyDescent="0.3">
      <c r="A447" t="str">
        <f>TRIM(Raw_Data_Copy!A447)</f>
        <v>ORD-0223</v>
      </c>
      <c r="B447" s="2">
        <v>45936</v>
      </c>
      <c r="C447" t="str">
        <f>TRIM(Raw_Data_Copy!C447)</f>
        <v>CUST-0083</v>
      </c>
      <c r="D447" t="str">
        <f>PROPER(TRIM(Raw_Data_Copy!D447))</f>
        <v>Nigeria</v>
      </c>
      <c r="E447" t="str">
        <f>PROPER(TRIM(Raw_Data_Copy!E447))</f>
        <v>West Africa</v>
      </c>
      <c r="F447" t="str">
        <f>PROPER(TRIM(Raw_Data_Copy!F447))</f>
        <v>Office Chair</v>
      </c>
      <c r="G447" t="str">
        <f>PROPER(TRIM(Raw_Data_Copy!G447))</f>
        <v>Furniture</v>
      </c>
      <c r="H447" t="str">
        <f>TRIM(Raw_Data_Copy!H447)</f>
        <v>6</v>
      </c>
      <c r="I447" t="str">
        <f>TRIM(Raw_Data_Copy!I447)</f>
        <v>217.28</v>
      </c>
      <c r="J447" t="str">
        <f>TRIM(Raw_Data_Copy!J447)</f>
        <v>0.25</v>
      </c>
      <c r="K447">
        <f>ROUND(Cleaned_data!$H447*Cleaned_data!$I447*(1-Cleaned_data!$J447),2)</f>
        <v>977.76</v>
      </c>
      <c r="L447" t="str">
        <f>PROPER(TRIM(Raw_Data_Copy!L447))</f>
        <v>Bank Transfer</v>
      </c>
    </row>
    <row r="448" spans="1:12" x14ac:dyDescent="0.3">
      <c r="A448" t="str">
        <f>TRIM(Raw_Data_Copy!A448)</f>
        <v>ORD-0513</v>
      </c>
      <c r="B448" s="2">
        <v>45936</v>
      </c>
      <c r="C448" t="str">
        <f>TRIM(Raw_Data_Copy!C448)</f>
        <v>CUST-0119</v>
      </c>
      <c r="D448" t="str">
        <f>PROPER(TRIM(Raw_Data_Copy!D448))</f>
        <v>South Africa</v>
      </c>
      <c r="E448" t="str">
        <f>PROPER(TRIM(Raw_Data_Copy!E448))</f>
        <v>Southern Africa</v>
      </c>
      <c r="F448" t="str">
        <f>PROPER(TRIM(Raw_Data_Copy!F448))</f>
        <v>Backpack</v>
      </c>
      <c r="G448" t="str">
        <f>PROPER(TRIM(Raw_Data_Copy!G448))</f>
        <v>Accessories</v>
      </c>
      <c r="H448" t="str">
        <f>TRIM(Raw_Data_Copy!H448)</f>
        <v>2</v>
      </c>
      <c r="I448" t="str">
        <f>TRIM(Raw_Data_Copy!I448)</f>
        <v>77.43</v>
      </c>
      <c r="J448" t="str">
        <f>TRIM(Raw_Data_Copy!J448)</f>
        <v>0.2</v>
      </c>
      <c r="K448">
        <f>ROUND(Cleaned_data!$H448*Cleaned_data!$I448*(1-Cleaned_data!$J448),2)</f>
        <v>123.89</v>
      </c>
      <c r="L448" t="str">
        <f>PROPER(TRIM(Raw_Data_Copy!L448))</f>
        <v>Bank Transfer</v>
      </c>
    </row>
    <row r="449" spans="1:12" x14ac:dyDescent="0.3">
      <c r="A449" t="str">
        <f>TRIM(Raw_Data_Copy!A449)</f>
        <v>ORD-0255</v>
      </c>
      <c r="B449" s="2">
        <v>45938</v>
      </c>
      <c r="C449" t="str">
        <f>TRIM(Raw_Data_Copy!C449)</f>
        <v>CUST-0054</v>
      </c>
      <c r="D449" t="str">
        <f>PROPER(TRIM(Raw_Data_Copy!D449))</f>
        <v>Ghana</v>
      </c>
      <c r="E449" t="str">
        <f>PROPER(TRIM(Raw_Data_Copy!E449))</f>
        <v>West Africa</v>
      </c>
      <c r="F449" t="str">
        <f>PROPER(TRIM(Raw_Data_Copy!F449))</f>
        <v>Headphones</v>
      </c>
      <c r="G449" t="str">
        <f>PROPER(TRIM(Raw_Data_Copy!G449))</f>
        <v>Electronics</v>
      </c>
      <c r="H449" t="str">
        <f>TRIM(Raw_Data_Copy!H449)</f>
        <v>2</v>
      </c>
      <c r="I449" t="str">
        <f>TRIM(Raw_Data_Copy!I449)</f>
        <v>130.98</v>
      </c>
      <c r="J449" t="str">
        <f>TRIM(Raw_Data_Copy!J449)</f>
        <v>0.1</v>
      </c>
      <c r="K449">
        <f>ROUND(Cleaned_data!$H449*Cleaned_data!$I449*(1-Cleaned_data!$J449),2)</f>
        <v>235.76</v>
      </c>
      <c r="L449" t="str">
        <f>PROPER(TRIM(Raw_Data_Copy!L449))</f>
        <v>Cash</v>
      </c>
    </row>
    <row r="450" spans="1:12" x14ac:dyDescent="0.3">
      <c r="A450" t="str">
        <f>TRIM(Raw_Data_Copy!A450)</f>
        <v>ORD-0154</v>
      </c>
      <c r="B450" s="2">
        <v>45939</v>
      </c>
      <c r="C450" t="str">
        <f>TRIM(Raw_Data_Copy!C450)</f>
        <v>CUST-0086</v>
      </c>
      <c r="D450" t="str">
        <f>PROPER(TRIM(Raw_Data_Copy!D450))</f>
        <v>South Africa</v>
      </c>
      <c r="E450" t="str">
        <f>PROPER(TRIM(Raw_Data_Copy!E450))</f>
        <v>Southern Africa</v>
      </c>
      <c r="F450" t="str">
        <f>PROPER(TRIM(Raw_Data_Copy!F450))</f>
        <v>Mouse</v>
      </c>
      <c r="G450" t="str">
        <f>PROPER(TRIM(Raw_Data_Copy!G450))</f>
        <v>Electronics</v>
      </c>
      <c r="H450" t="str">
        <f>TRIM(Raw_Data_Copy!H450)</f>
        <v>5</v>
      </c>
      <c r="I450" t="str">
        <f>TRIM(Raw_Data_Copy!I450)</f>
        <v>46.53</v>
      </c>
      <c r="J450" t="str">
        <f>TRIM(Raw_Data_Copy!J450)</f>
        <v>0</v>
      </c>
      <c r="K450">
        <f>ROUND(Cleaned_data!$H450*Cleaned_data!$I450*(1-Cleaned_data!$J450),2)</f>
        <v>232.65</v>
      </c>
      <c r="L450" t="str">
        <f>PROPER(TRIM(Raw_Data_Copy!L450))</f>
        <v>Mobile Money</v>
      </c>
    </row>
    <row r="451" spans="1:12" x14ac:dyDescent="0.3">
      <c r="A451" t="str">
        <f>TRIM(Raw_Data_Copy!A451)</f>
        <v>ORD-0495</v>
      </c>
      <c r="B451" s="2">
        <v>45939</v>
      </c>
      <c r="C451" t="str">
        <f>TRIM(Raw_Data_Copy!C451)</f>
        <v>CUST-0017</v>
      </c>
      <c r="D451" t="str">
        <f>PROPER(TRIM(Raw_Data_Copy!D451))</f>
        <v>United States</v>
      </c>
      <c r="E451" t="str">
        <f>PROPER(TRIM(Raw_Data_Copy!E451))</f>
        <v>North America</v>
      </c>
      <c r="F451" t="str">
        <f>PROPER(TRIM(Raw_Data_Copy!F451))</f>
        <v>Laptop</v>
      </c>
      <c r="G451" t="str">
        <f>PROPER(TRIM(Raw_Data_Copy!G451))</f>
        <v>Electronics</v>
      </c>
      <c r="H451" t="str">
        <f>TRIM(Raw_Data_Copy!H451)</f>
        <v>5</v>
      </c>
      <c r="I451" t="str">
        <f>TRIM(Raw_Data_Copy!I451)</f>
        <v>831.1</v>
      </c>
      <c r="J451" t="str">
        <f>TRIM(Raw_Data_Copy!J451)</f>
        <v>0.05</v>
      </c>
      <c r="K451">
        <f>ROUND(Cleaned_data!$H451*Cleaned_data!$I451*(1-Cleaned_data!$J451),2)</f>
        <v>3947.73</v>
      </c>
      <c r="L451" t="str">
        <f>PROPER(TRIM(Raw_Data_Copy!L451))</f>
        <v>Card</v>
      </c>
    </row>
    <row r="452" spans="1:12" x14ac:dyDescent="0.3">
      <c r="A452" t="str">
        <f>TRIM(Raw_Data_Copy!A452)</f>
        <v>ORD-0497</v>
      </c>
      <c r="B452" s="2">
        <v>45939</v>
      </c>
      <c r="C452" t="str">
        <f>TRIM(Raw_Data_Copy!C452)</f>
        <v>CUST-0124</v>
      </c>
      <c r="D452" t="str">
        <f>PROPER(TRIM(Raw_Data_Copy!D452))</f>
        <v>United Kingdom</v>
      </c>
      <c r="E452" t="str">
        <f>PROPER(TRIM(Raw_Data_Copy!E452))</f>
        <v>Europe</v>
      </c>
      <c r="F452" t="str">
        <f>PROPER(TRIM(Raw_Data_Copy!F452))</f>
        <v>Mouse</v>
      </c>
      <c r="G452" t="str">
        <f>PROPER(TRIM(Raw_Data_Copy!G452))</f>
        <v>Electronics</v>
      </c>
      <c r="H452" t="str">
        <f>TRIM(Raw_Data_Copy!H452)</f>
        <v>3</v>
      </c>
      <c r="I452" t="str">
        <f>TRIM(Raw_Data_Copy!I452)</f>
        <v>44.77</v>
      </c>
      <c r="J452" t="str">
        <f>TRIM(Raw_Data_Copy!J452)</f>
        <v>0.1</v>
      </c>
      <c r="K452">
        <f>ROUND(Cleaned_data!$H452*Cleaned_data!$I452*(1-Cleaned_data!$J452),2)</f>
        <v>120.88</v>
      </c>
      <c r="L452" t="str">
        <f>PROPER(TRIM(Raw_Data_Copy!L452))</f>
        <v>Mobile Money</v>
      </c>
    </row>
    <row r="453" spans="1:12" x14ac:dyDescent="0.3">
      <c r="A453" t="str">
        <f>TRIM(Raw_Data_Copy!A453)</f>
        <v>ORD-0484</v>
      </c>
      <c r="B453" s="2">
        <v>45940</v>
      </c>
      <c r="C453" t="str">
        <f>TRIM(Raw_Data_Copy!C453)</f>
        <v>CUST-0056</v>
      </c>
      <c r="D453" t="str">
        <f>PROPER(TRIM(Raw_Data_Copy!D453))</f>
        <v>United Kingdom</v>
      </c>
      <c r="E453" t="str">
        <f>PROPER(TRIM(Raw_Data_Copy!E453))</f>
        <v>Europe</v>
      </c>
      <c r="F453" t="str">
        <f>PROPER(TRIM(Raw_Data_Copy!F453))</f>
        <v>Headphones</v>
      </c>
      <c r="G453" t="str">
        <f>PROPER(TRIM(Raw_Data_Copy!G453))</f>
        <v>Electronics</v>
      </c>
      <c r="H453" t="str">
        <f>TRIM(Raw_Data_Copy!H453)</f>
        <v>3</v>
      </c>
      <c r="I453" t="str">
        <f>TRIM(Raw_Data_Copy!I453)</f>
        <v>127.34</v>
      </c>
      <c r="J453" t="str">
        <f>TRIM(Raw_Data_Copy!J453)</f>
        <v>0</v>
      </c>
      <c r="K453">
        <f>ROUND(Cleaned_data!$H453*Cleaned_data!$I453*(1-Cleaned_data!$J453),2)</f>
        <v>382.02</v>
      </c>
      <c r="L453" t="str">
        <f>PROPER(TRIM(Raw_Data_Copy!L453))</f>
        <v>Cash</v>
      </c>
    </row>
    <row r="454" spans="1:12" x14ac:dyDescent="0.3">
      <c r="A454" t="str">
        <f>TRIM(Raw_Data_Copy!A454)</f>
        <v>ORD-0458</v>
      </c>
      <c r="B454" s="2">
        <v>45940</v>
      </c>
      <c r="C454" t="str">
        <f>TRIM(Raw_Data_Copy!C454)</f>
        <v>CUST-0140</v>
      </c>
      <c r="D454" t="str">
        <f>PROPER(TRIM(Raw_Data_Copy!D454))</f>
        <v>Ghana</v>
      </c>
      <c r="E454" t="str">
        <f>PROPER(TRIM(Raw_Data_Copy!E454))</f>
        <v>West Africa</v>
      </c>
      <c r="F454" t="str">
        <f>PROPER(TRIM(Raw_Data_Copy!F454))</f>
        <v>Keyboard</v>
      </c>
      <c r="G454" t="str">
        <f>PROPER(TRIM(Raw_Data_Copy!G454))</f>
        <v>Electronics</v>
      </c>
      <c r="H454" t="str">
        <f>TRIM(Raw_Data_Copy!H454)</f>
        <v>4</v>
      </c>
      <c r="I454" t="str">
        <f>TRIM(Raw_Data_Copy!I454)</f>
        <v>74.99</v>
      </c>
      <c r="J454" t="str">
        <f>TRIM(Raw_Data_Copy!J454)</f>
        <v>0</v>
      </c>
      <c r="K454">
        <f>ROUND(Cleaned_data!$H454*Cleaned_data!$I454*(1-Cleaned_data!$J454),2)</f>
        <v>299.95999999999998</v>
      </c>
      <c r="L454" t="str">
        <f>PROPER(TRIM(Raw_Data_Copy!L454))</f>
        <v>Card</v>
      </c>
    </row>
    <row r="455" spans="1:12" x14ac:dyDescent="0.3">
      <c r="A455" t="str">
        <f>TRIM(Raw_Data_Copy!A455)</f>
        <v>ORD-0019</v>
      </c>
      <c r="B455" s="2">
        <v>45940</v>
      </c>
      <c r="C455" t="str">
        <f>TRIM(Raw_Data_Copy!C455)</f>
        <v>CUST-0121</v>
      </c>
      <c r="D455" t="str">
        <f>PROPER(TRIM(Raw_Data_Copy!D455))</f>
        <v>Nigeria</v>
      </c>
      <c r="E455" t="str">
        <f>PROPER(TRIM(Raw_Data_Copy!E455))</f>
        <v>West Africa</v>
      </c>
      <c r="F455" t="str">
        <f>PROPER(TRIM(Raw_Data_Copy!F455))</f>
        <v>Monitor</v>
      </c>
      <c r="G455" t="str">
        <f>PROPER(TRIM(Raw_Data_Copy!G455))</f>
        <v>Electronics</v>
      </c>
      <c r="H455" t="str">
        <f>TRIM(Raw_Data_Copy!H455)</f>
        <v>4</v>
      </c>
      <c r="I455" t="str">
        <f>TRIM(Raw_Data_Copy!I455)</f>
        <v>291.38</v>
      </c>
      <c r="J455" t="str">
        <f>TRIM(Raw_Data_Copy!J455)</f>
        <v>0.25</v>
      </c>
      <c r="K455">
        <f>ROUND(Cleaned_data!$H455*Cleaned_data!$I455*(1-Cleaned_data!$J455),2)</f>
        <v>874.14</v>
      </c>
      <c r="L455" t="str">
        <f>PROPER(TRIM(Raw_Data_Copy!L455))</f>
        <v>Card</v>
      </c>
    </row>
    <row r="456" spans="1:12" x14ac:dyDescent="0.3">
      <c r="A456" t="str">
        <f>TRIM(Raw_Data_Copy!A456)</f>
        <v>ORD-0323</v>
      </c>
      <c r="B456" s="2">
        <v>45940</v>
      </c>
      <c r="C456" t="str">
        <f>TRIM(Raw_Data_Copy!C456)</f>
        <v>CUST-0069</v>
      </c>
      <c r="D456" t="str">
        <f>PROPER(TRIM(Raw_Data_Copy!D456))</f>
        <v>South Africa</v>
      </c>
      <c r="E456" t="str">
        <f>PROPER(TRIM(Raw_Data_Copy!E456))</f>
        <v>Southern Africa</v>
      </c>
      <c r="F456" t="str">
        <f>PROPER(TRIM(Raw_Data_Copy!F456))</f>
        <v>Office Chair</v>
      </c>
      <c r="G456" t="str">
        <f>PROPER(TRIM(Raw_Data_Copy!G456))</f>
        <v>Furniture</v>
      </c>
      <c r="H456" t="str">
        <f>TRIM(Raw_Data_Copy!H456)</f>
        <v>4</v>
      </c>
      <c r="I456" t="str">
        <f>TRIM(Raw_Data_Copy!I456)</f>
        <v>236.8</v>
      </c>
      <c r="J456" t="str">
        <f>TRIM(Raw_Data_Copy!J456)</f>
        <v>0.1</v>
      </c>
      <c r="K456">
        <f>ROUND(Cleaned_data!$H456*Cleaned_data!$I456*(1-Cleaned_data!$J456),2)</f>
        <v>852.48</v>
      </c>
      <c r="L456" t="str">
        <f>PROPER(TRIM(Raw_Data_Copy!L456))</f>
        <v>Card</v>
      </c>
    </row>
    <row r="457" spans="1:12" x14ac:dyDescent="0.3">
      <c r="A457" t="str">
        <f>TRIM(Raw_Data_Copy!A457)</f>
        <v>ORD-0478</v>
      </c>
      <c r="B457" s="2">
        <v>45941</v>
      </c>
      <c r="C457" t="str">
        <f>TRIM(Raw_Data_Copy!C457)</f>
        <v>CUST-0097</v>
      </c>
      <c r="D457" t="str">
        <f>PROPER(TRIM(Raw_Data_Copy!D457))</f>
        <v>United Kingdom</v>
      </c>
      <c r="E457" t="str">
        <f>PROPER(TRIM(Raw_Data_Copy!E457))</f>
        <v>Europe</v>
      </c>
      <c r="F457" t="str">
        <f>PROPER(TRIM(Raw_Data_Copy!F457))</f>
        <v>Laptop</v>
      </c>
      <c r="G457" t="str">
        <f>PROPER(TRIM(Raw_Data_Copy!G457))</f>
        <v>Electronics</v>
      </c>
      <c r="H457" t="str">
        <f>TRIM(Raw_Data_Copy!H457)</f>
        <v>1</v>
      </c>
      <c r="I457" t="str">
        <f>TRIM(Raw_Data_Copy!I457)</f>
        <v>847.12</v>
      </c>
      <c r="J457" t="str">
        <f>TRIM(Raw_Data_Copy!J457)</f>
        <v>0.2</v>
      </c>
      <c r="K457">
        <f>ROUND(Cleaned_data!$H457*Cleaned_data!$I457*(1-Cleaned_data!$J457),2)</f>
        <v>677.7</v>
      </c>
      <c r="L457" t="str">
        <f>PROPER(TRIM(Raw_Data_Copy!L457))</f>
        <v>Card</v>
      </c>
    </row>
    <row r="458" spans="1:12" x14ac:dyDescent="0.3">
      <c r="A458" t="str">
        <f>TRIM(Raw_Data_Copy!A458)</f>
        <v>ORD-0127</v>
      </c>
      <c r="B458" s="2">
        <v>45942</v>
      </c>
      <c r="C458" t="str">
        <f>TRIM(Raw_Data_Copy!C458)</f>
        <v>CUST-0063</v>
      </c>
      <c r="D458" t="str">
        <f>PROPER(TRIM(Raw_Data_Copy!D458))</f>
        <v>Nigeria</v>
      </c>
      <c r="E458" t="str">
        <f>PROPER(TRIM(Raw_Data_Copy!E458))</f>
        <v>West Africa</v>
      </c>
      <c r="F458" t="str">
        <f>PROPER(TRIM(Raw_Data_Copy!F458))</f>
        <v>Mouse</v>
      </c>
      <c r="G458" t="str">
        <f>PROPER(TRIM(Raw_Data_Copy!G458))</f>
        <v>Electronics</v>
      </c>
      <c r="H458" t="str">
        <f>TRIM(Raw_Data_Copy!H458)</f>
        <v>7</v>
      </c>
      <c r="I458" t="str">
        <f>TRIM(Raw_Data_Copy!I458)</f>
        <v>41.99</v>
      </c>
      <c r="J458" t="str">
        <f>TRIM(Raw_Data_Copy!J458)</f>
        <v>0</v>
      </c>
      <c r="K458">
        <f>ROUND(Cleaned_data!$H458*Cleaned_data!$I458*(1-Cleaned_data!$J458),2)</f>
        <v>293.93</v>
      </c>
      <c r="L458" t="str">
        <f>PROPER(TRIM(Raw_Data_Copy!L458))</f>
        <v>Card</v>
      </c>
    </row>
    <row r="459" spans="1:12" x14ac:dyDescent="0.3">
      <c r="A459" t="str">
        <f>TRIM(Raw_Data_Copy!A459)</f>
        <v>ORD-0282</v>
      </c>
      <c r="B459" s="2">
        <v>45942</v>
      </c>
      <c r="C459" t="str">
        <f>TRIM(Raw_Data_Copy!C459)</f>
        <v>CUST-0013</v>
      </c>
      <c r="D459" t="str">
        <f>PROPER(TRIM(Raw_Data_Copy!D459))</f>
        <v>Ghana</v>
      </c>
      <c r="E459" t="str">
        <f>PROPER(TRIM(Raw_Data_Copy!E459))</f>
        <v>West Africa</v>
      </c>
      <c r="F459" t="str">
        <f>PROPER(TRIM(Raw_Data_Copy!F459))</f>
        <v>Notebook</v>
      </c>
      <c r="G459" t="str">
        <f>PROPER(TRIM(Raw_Data_Copy!G459))</f>
        <v>Office Supplies</v>
      </c>
      <c r="H459" t="str">
        <f>TRIM(Raw_Data_Copy!H459)</f>
        <v>8</v>
      </c>
      <c r="I459" t="str">
        <f>TRIM(Raw_Data_Copy!I459)</f>
        <v>15.14</v>
      </c>
      <c r="J459" t="str">
        <f>TRIM(Raw_Data_Copy!J459)</f>
        <v>0.3</v>
      </c>
      <c r="K459">
        <f>ROUND(Cleaned_data!$H459*Cleaned_data!$I459*(1-Cleaned_data!$J459),2)</f>
        <v>84.78</v>
      </c>
      <c r="L459" t="str">
        <f>PROPER(TRIM(Raw_Data_Copy!L459))</f>
        <v>Cash</v>
      </c>
    </row>
    <row r="460" spans="1:12" x14ac:dyDescent="0.3">
      <c r="A460" t="str">
        <f>TRIM(Raw_Data_Copy!A460)</f>
        <v>ORD-0182</v>
      </c>
      <c r="B460" s="2">
        <v>45942</v>
      </c>
      <c r="C460" t="str">
        <f>TRIM(Raw_Data_Copy!C460)</f>
        <v>CUST-0004</v>
      </c>
      <c r="D460" t="str">
        <f>PROPER(TRIM(Raw_Data_Copy!D460))</f>
        <v>United Kingdom</v>
      </c>
      <c r="E460" t="str">
        <f>PROPER(TRIM(Raw_Data_Copy!E460))</f>
        <v>Europe</v>
      </c>
      <c r="F460" t="str">
        <f>PROPER(TRIM(Raw_Data_Copy!F460))</f>
        <v>Headphones</v>
      </c>
      <c r="G460" t="str">
        <f>PROPER(TRIM(Raw_Data_Copy!G460))</f>
        <v>Electronics</v>
      </c>
      <c r="H460" t="str">
        <f>TRIM(Raw_Data_Copy!H460)</f>
        <v>3</v>
      </c>
      <c r="I460" t="str">
        <f>TRIM(Raw_Data_Copy!I460)</f>
        <v>124.4</v>
      </c>
      <c r="J460" t="str">
        <f>TRIM(Raw_Data_Copy!J460)</f>
        <v>0.1</v>
      </c>
      <c r="K460">
        <f>ROUND(Cleaned_data!$H460*Cleaned_data!$I460*(1-Cleaned_data!$J460),2)</f>
        <v>335.88</v>
      </c>
      <c r="L460" t="str">
        <f>PROPER(TRIM(Raw_Data_Copy!L460))</f>
        <v>Card</v>
      </c>
    </row>
    <row r="461" spans="1:12" x14ac:dyDescent="0.3">
      <c r="A461" t="str">
        <f>TRIM(Raw_Data_Copy!A461)</f>
        <v>ORD-0018</v>
      </c>
      <c r="B461" s="2">
        <v>45943</v>
      </c>
      <c r="C461" t="str">
        <f>TRIM(Raw_Data_Copy!C461)</f>
        <v>CUST-0075</v>
      </c>
      <c r="D461" t="str">
        <f>PROPER(TRIM(Raw_Data_Copy!D461))</f>
        <v>United States</v>
      </c>
      <c r="E461" t="str">
        <f>PROPER(TRIM(Raw_Data_Copy!E461))</f>
        <v>North America</v>
      </c>
      <c r="F461" t="str">
        <f>PROPER(TRIM(Raw_Data_Copy!F461))</f>
        <v>Mouse</v>
      </c>
      <c r="G461" t="str">
        <f>PROPER(TRIM(Raw_Data_Copy!G461))</f>
        <v>Electronics</v>
      </c>
      <c r="H461" t="str">
        <f>TRIM(Raw_Data_Copy!H461)</f>
        <v>5</v>
      </c>
      <c r="I461" t="str">
        <f>TRIM(Raw_Data_Copy!I461)</f>
        <v>48.34</v>
      </c>
      <c r="J461" t="str">
        <f>TRIM(Raw_Data_Copy!J461)</f>
        <v>0.2</v>
      </c>
      <c r="K461">
        <f>ROUND(Cleaned_data!$H461*Cleaned_data!$I461*(1-Cleaned_data!$J461),2)</f>
        <v>193.36</v>
      </c>
      <c r="L461" t="str">
        <f>PROPER(TRIM(Raw_Data_Copy!L461))</f>
        <v>Card</v>
      </c>
    </row>
    <row r="462" spans="1:12" x14ac:dyDescent="0.3">
      <c r="A462" t="str">
        <f>TRIM(Raw_Data_Copy!A462)</f>
        <v>ORD-0246</v>
      </c>
      <c r="B462" s="2">
        <v>45944</v>
      </c>
      <c r="C462" t="str">
        <f>TRIM(Raw_Data_Copy!C462)</f>
        <v>CUST-0047</v>
      </c>
      <c r="D462" t="str">
        <f>PROPER(TRIM(Raw_Data_Copy!D462))</f>
        <v>United Kingdom</v>
      </c>
      <c r="E462" t="str">
        <f>PROPER(TRIM(Raw_Data_Copy!E462))</f>
        <v>Europe</v>
      </c>
      <c r="F462" t="str">
        <f>PROPER(TRIM(Raw_Data_Copy!F462))</f>
        <v>Office Chair</v>
      </c>
      <c r="G462" t="str">
        <f>PROPER(TRIM(Raw_Data_Copy!G462))</f>
        <v>Furniture</v>
      </c>
      <c r="H462" t="str">
        <f>TRIM(Raw_Data_Copy!H462)</f>
        <v>8</v>
      </c>
      <c r="I462" t="str">
        <f>TRIM(Raw_Data_Copy!I462)</f>
        <v>223.54</v>
      </c>
      <c r="J462" t="str">
        <f>TRIM(Raw_Data_Copy!J462)</f>
        <v>0</v>
      </c>
      <c r="K462">
        <f>ROUND(Cleaned_data!$H462*Cleaned_data!$I462*(1-Cleaned_data!$J462),2)</f>
        <v>1788.32</v>
      </c>
      <c r="L462" t="str">
        <f>PROPER(TRIM(Raw_Data_Copy!L462))</f>
        <v>Cash</v>
      </c>
    </row>
    <row r="463" spans="1:12" x14ac:dyDescent="0.3">
      <c r="A463" t="str">
        <f>TRIM(Raw_Data_Copy!A463)</f>
        <v>ORD-0382</v>
      </c>
      <c r="B463" s="2">
        <v>45944</v>
      </c>
      <c r="C463" t="str">
        <f>TRIM(Raw_Data_Copy!C463)</f>
        <v>CUST-0114</v>
      </c>
      <c r="D463" t="str">
        <f>PROPER(TRIM(Raw_Data_Copy!D463))</f>
        <v>Ghana</v>
      </c>
      <c r="E463" t="str">
        <f>PROPER(TRIM(Raw_Data_Copy!E463))</f>
        <v>West Africa</v>
      </c>
      <c r="F463" t="str">
        <f>PROPER(TRIM(Raw_Data_Copy!F463))</f>
        <v>Backpack</v>
      </c>
      <c r="G463" t="str">
        <f>PROPER(TRIM(Raw_Data_Copy!G463))</f>
        <v>Accessories</v>
      </c>
      <c r="H463" t="str">
        <f>TRIM(Raw_Data_Copy!H463)</f>
        <v>3</v>
      </c>
      <c r="I463" t="str">
        <f>TRIM(Raw_Data_Copy!I463)</f>
        <v>74.22</v>
      </c>
      <c r="J463" t="str">
        <f>TRIM(Raw_Data_Copy!J463)</f>
        <v>0.1</v>
      </c>
      <c r="K463">
        <f>ROUND(Cleaned_data!$H463*Cleaned_data!$I463*(1-Cleaned_data!$J463),2)</f>
        <v>200.39</v>
      </c>
      <c r="L463" t="str">
        <f>PROPER(TRIM(Raw_Data_Copy!L463))</f>
        <v>Mobile Money</v>
      </c>
    </row>
    <row r="464" spans="1:12" x14ac:dyDescent="0.3">
      <c r="A464" t="str">
        <f>TRIM(Raw_Data_Copy!A464)</f>
        <v>ORD-0524</v>
      </c>
      <c r="B464" s="2">
        <v>45945</v>
      </c>
      <c r="C464" t="str">
        <f>TRIM(Raw_Data_Copy!C464)</f>
        <v>CUST-0139</v>
      </c>
      <c r="D464" t="str">
        <f>PROPER(TRIM(Raw_Data_Copy!D464))</f>
        <v>Kenya</v>
      </c>
      <c r="E464" t="str">
        <f>PROPER(TRIM(Raw_Data_Copy!E464))</f>
        <v>East Africa</v>
      </c>
      <c r="F464" t="str">
        <f>PROPER(TRIM(Raw_Data_Copy!F464))</f>
        <v>Backpack</v>
      </c>
      <c r="G464" t="str">
        <f>PROPER(TRIM(Raw_Data_Copy!G464))</f>
        <v>Accessories</v>
      </c>
      <c r="H464" t="str">
        <f>TRIM(Raw_Data_Copy!H464)</f>
        <v>1</v>
      </c>
      <c r="I464" t="str">
        <f>TRIM(Raw_Data_Copy!I464)</f>
        <v>74.42</v>
      </c>
      <c r="J464" t="str">
        <f>TRIM(Raw_Data_Copy!J464)</f>
        <v>0.25</v>
      </c>
      <c r="K464">
        <f>ROUND(Cleaned_data!$H464*Cleaned_data!$I464*(1-Cleaned_data!$J464),2)</f>
        <v>55.82</v>
      </c>
      <c r="L464" t="str">
        <f>PROPER(TRIM(Raw_Data_Copy!L464))</f>
        <v>Mobile Money</v>
      </c>
    </row>
    <row r="465" spans="1:12" x14ac:dyDescent="0.3">
      <c r="A465" t="str">
        <f>TRIM(Raw_Data_Copy!A465)</f>
        <v>ORD-0082</v>
      </c>
      <c r="B465" s="2">
        <v>45945</v>
      </c>
      <c r="C465" t="str">
        <f>TRIM(Raw_Data_Copy!C465)</f>
        <v>CUST-0034</v>
      </c>
      <c r="D465" t="str">
        <f>PROPER(TRIM(Raw_Data_Copy!D465))</f>
        <v>Kenya</v>
      </c>
      <c r="E465" t="str">
        <f>PROPER(TRIM(Raw_Data_Copy!E465))</f>
        <v>East Africa</v>
      </c>
      <c r="F465" t="str">
        <f>PROPER(TRIM(Raw_Data_Copy!F465))</f>
        <v>Laptop</v>
      </c>
      <c r="G465" t="str">
        <f>PROPER(TRIM(Raw_Data_Copy!G465))</f>
        <v>Electronics</v>
      </c>
      <c r="H465" t="str">
        <f>TRIM(Raw_Data_Copy!H465)</f>
        <v>3</v>
      </c>
      <c r="I465" t="str">
        <f>TRIM(Raw_Data_Copy!I465)</f>
        <v>859.45</v>
      </c>
      <c r="J465" t="str">
        <f>TRIM(Raw_Data_Copy!J465)</f>
        <v>0.05</v>
      </c>
      <c r="K465">
        <f>ROUND(Cleaned_data!$H465*Cleaned_data!$I465*(1-Cleaned_data!$J465),2)</f>
        <v>2449.4299999999998</v>
      </c>
      <c r="L465" t="str">
        <f>PROPER(TRIM(Raw_Data_Copy!L465))</f>
        <v>Bank Transfer</v>
      </c>
    </row>
    <row r="466" spans="1:12" x14ac:dyDescent="0.3">
      <c r="A466" t="str">
        <f>TRIM(Raw_Data_Copy!A466)</f>
        <v>ORD-0183</v>
      </c>
      <c r="B466" s="2">
        <v>45945</v>
      </c>
      <c r="C466" t="str">
        <f>TRIM(Raw_Data_Copy!C466)</f>
        <v>CUST-0130</v>
      </c>
      <c r="D466" t="str">
        <f>PROPER(TRIM(Raw_Data_Copy!D466))</f>
        <v>Kenya</v>
      </c>
      <c r="E466" t="str">
        <f>PROPER(TRIM(Raw_Data_Copy!E466))</f>
        <v>East Africa</v>
      </c>
      <c r="F466" t="str">
        <f>PROPER(TRIM(Raw_Data_Copy!F466))</f>
        <v>Mouse</v>
      </c>
      <c r="G466" t="str">
        <f>PROPER(TRIM(Raw_Data_Copy!G466))</f>
        <v>Electronics</v>
      </c>
      <c r="H466" t="str">
        <f>TRIM(Raw_Data_Copy!H466)</f>
        <v>7</v>
      </c>
      <c r="I466" t="str">
        <f>TRIM(Raw_Data_Copy!I466)</f>
        <v>45.24</v>
      </c>
      <c r="J466" t="str">
        <f>TRIM(Raw_Data_Copy!J466)</f>
        <v>0.2</v>
      </c>
      <c r="K466">
        <f>ROUND(Cleaned_data!$H466*Cleaned_data!$I466*(1-Cleaned_data!$J466),2)</f>
        <v>253.34</v>
      </c>
      <c r="L466" t="str">
        <f>PROPER(TRIM(Raw_Data_Copy!L466))</f>
        <v>Card</v>
      </c>
    </row>
    <row r="467" spans="1:12" x14ac:dyDescent="0.3">
      <c r="A467" t="str">
        <f>TRIM(Raw_Data_Copy!A467)</f>
        <v>ORD-0133</v>
      </c>
      <c r="B467" s="2">
        <v>45945</v>
      </c>
      <c r="C467" t="str">
        <f>TRIM(Raw_Data_Copy!C467)</f>
        <v>CUST-0178</v>
      </c>
      <c r="D467" t="str">
        <f>PROPER(TRIM(Raw_Data_Copy!D467))</f>
        <v>Nigeria</v>
      </c>
      <c r="E467" t="str">
        <f>PROPER(TRIM(Raw_Data_Copy!E467))</f>
        <v>West Africa</v>
      </c>
      <c r="F467" t="str">
        <f>PROPER(TRIM(Raw_Data_Copy!F467))</f>
        <v>Printer</v>
      </c>
      <c r="G467" t="str">
        <f>PROPER(TRIM(Raw_Data_Copy!G467))</f>
        <v>Office Supplies</v>
      </c>
      <c r="H467" t="str">
        <f>TRIM(Raw_Data_Copy!H467)</f>
        <v>3</v>
      </c>
      <c r="I467" t="str">
        <f>TRIM(Raw_Data_Copy!I467)</f>
        <v>257.2</v>
      </c>
      <c r="J467" t="str">
        <f>TRIM(Raw_Data_Copy!J467)</f>
        <v>0.1</v>
      </c>
      <c r="K467">
        <f>ROUND(Cleaned_data!$H467*Cleaned_data!$I467*(1-Cleaned_data!$J467),2)</f>
        <v>694.44</v>
      </c>
      <c r="L467" t="str">
        <f>PROPER(TRIM(Raw_Data_Copy!L467))</f>
        <v>Card</v>
      </c>
    </row>
    <row r="468" spans="1:12" x14ac:dyDescent="0.3">
      <c r="A468" t="str">
        <f>TRIM(Raw_Data_Copy!A468)</f>
        <v>ORD-0277</v>
      </c>
      <c r="B468" s="2">
        <v>45945</v>
      </c>
      <c r="C468" t="str">
        <f>TRIM(Raw_Data_Copy!C468)</f>
        <v>CUST-0032</v>
      </c>
      <c r="D468" t="str">
        <f>PROPER(TRIM(Raw_Data_Copy!D468))</f>
        <v>Ghana</v>
      </c>
      <c r="E468" t="str">
        <f>PROPER(TRIM(Raw_Data_Copy!E468))</f>
        <v>West Africa</v>
      </c>
      <c r="F468" t="str">
        <f>PROPER(TRIM(Raw_Data_Copy!F468))</f>
        <v>Notebook</v>
      </c>
      <c r="G468" t="str">
        <f>PROPER(TRIM(Raw_Data_Copy!G468))</f>
        <v>Office Supplies</v>
      </c>
      <c r="H468" t="str">
        <f>TRIM(Raw_Data_Copy!H468)</f>
        <v>8</v>
      </c>
      <c r="I468" t="str">
        <f>TRIM(Raw_Data_Copy!I468)</f>
        <v>13.84</v>
      </c>
      <c r="J468" t="str">
        <f>TRIM(Raw_Data_Copy!J468)</f>
        <v>0.1</v>
      </c>
      <c r="K468">
        <f>ROUND(Cleaned_data!$H468*Cleaned_data!$I468*(1-Cleaned_data!$J468),2)</f>
        <v>99.65</v>
      </c>
      <c r="L468" t="str">
        <f>PROPER(TRIM(Raw_Data_Copy!L468))</f>
        <v>Cash</v>
      </c>
    </row>
    <row r="469" spans="1:12" x14ac:dyDescent="0.3">
      <c r="A469" t="str">
        <f>TRIM(Raw_Data_Copy!A469)</f>
        <v>ORD-0220</v>
      </c>
      <c r="B469" s="2">
        <v>45946</v>
      </c>
      <c r="C469" t="str">
        <f>TRIM(Raw_Data_Copy!C469)</f>
        <v>CUST-0001</v>
      </c>
      <c r="D469" t="str">
        <f>PROPER(TRIM(Raw_Data_Copy!D469))</f>
        <v>United States</v>
      </c>
      <c r="E469" t="str">
        <f>PROPER(TRIM(Raw_Data_Copy!E469))</f>
        <v>North America</v>
      </c>
      <c r="F469" t="str">
        <f>PROPER(TRIM(Raw_Data_Copy!F469))</f>
        <v>Keyboard</v>
      </c>
      <c r="G469" t="str">
        <f>PROPER(TRIM(Raw_Data_Copy!G469))</f>
        <v>Electronics</v>
      </c>
      <c r="H469" t="str">
        <f>TRIM(Raw_Data_Copy!H469)</f>
        <v>1</v>
      </c>
      <c r="I469" t="str">
        <f>TRIM(Raw_Data_Copy!I469)</f>
        <v>72.49</v>
      </c>
      <c r="J469" t="str">
        <f>TRIM(Raw_Data_Copy!J469)</f>
        <v>0.25</v>
      </c>
      <c r="K469">
        <f>ROUND(Cleaned_data!$H469*Cleaned_data!$I469*(1-Cleaned_data!$J469),2)</f>
        <v>54.37</v>
      </c>
      <c r="L469" t="str">
        <f>PROPER(TRIM(Raw_Data_Copy!L469))</f>
        <v>Mobile Money</v>
      </c>
    </row>
    <row r="470" spans="1:12" x14ac:dyDescent="0.3">
      <c r="A470" t="str">
        <f>TRIM(Raw_Data_Copy!A470)</f>
        <v>ORD-0194</v>
      </c>
      <c r="B470" s="2">
        <v>45946</v>
      </c>
      <c r="C470" t="str">
        <f>TRIM(Raw_Data_Copy!C470)</f>
        <v>CUST-0158</v>
      </c>
      <c r="D470" t="str">
        <f>PROPER(TRIM(Raw_Data_Copy!D470))</f>
        <v>South Africa</v>
      </c>
      <c r="E470" t="str">
        <f>PROPER(TRIM(Raw_Data_Copy!E470))</f>
        <v>Southern Africa</v>
      </c>
      <c r="F470" t="str">
        <f>PROPER(TRIM(Raw_Data_Copy!F470))</f>
        <v>Printer</v>
      </c>
      <c r="G470" t="str">
        <f>PROPER(TRIM(Raw_Data_Copy!G470))</f>
        <v>Office Supplies</v>
      </c>
      <c r="H470" t="str">
        <f>TRIM(Raw_Data_Copy!H470)</f>
        <v>8</v>
      </c>
      <c r="I470" t="str">
        <f>TRIM(Raw_Data_Copy!I470)</f>
        <v>225.49</v>
      </c>
      <c r="J470" t="str">
        <f>TRIM(Raw_Data_Copy!J470)</f>
        <v>0.05</v>
      </c>
      <c r="K470">
        <f>ROUND(Cleaned_data!$H470*Cleaned_data!$I470*(1-Cleaned_data!$J470),2)</f>
        <v>1713.72</v>
      </c>
      <c r="L470" t="str">
        <f>PROPER(TRIM(Raw_Data_Copy!L470))</f>
        <v>Mobile Money</v>
      </c>
    </row>
    <row r="471" spans="1:12" x14ac:dyDescent="0.3">
      <c r="A471" t="str">
        <f>TRIM(Raw_Data_Copy!A471)</f>
        <v>ORD-0535</v>
      </c>
      <c r="B471" s="2">
        <v>45947</v>
      </c>
      <c r="C471" t="str">
        <f>TRIM(Raw_Data_Copy!C471)</f>
        <v>CUST-0020</v>
      </c>
      <c r="D471" t="str">
        <f>PROPER(TRIM(Raw_Data_Copy!D471))</f>
        <v>United States</v>
      </c>
      <c r="E471" t="str">
        <f>PROPER(TRIM(Raw_Data_Copy!E471))</f>
        <v>North America</v>
      </c>
      <c r="F471" t="str">
        <f>PROPER(TRIM(Raw_Data_Copy!F471))</f>
        <v>Headphones</v>
      </c>
      <c r="G471" t="str">
        <f>PROPER(TRIM(Raw_Data_Copy!G471))</f>
        <v>Electronics</v>
      </c>
      <c r="H471" t="str">
        <f>TRIM(Raw_Data_Copy!H471)</f>
        <v>6</v>
      </c>
      <c r="I471" t="str">
        <f>TRIM(Raw_Data_Copy!I471)</f>
        <v>117.25</v>
      </c>
      <c r="J471" t="str">
        <f>TRIM(Raw_Data_Copy!J471)</f>
        <v>0</v>
      </c>
      <c r="K471">
        <f>ROUND(Cleaned_data!$H471*Cleaned_data!$I471*(1-Cleaned_data!$J471),2)</f>
        <v>703.5</v>
      </c>
      <c r="L471" t="str">
        <f>PROPER(TRIM(Raw_Data_Copy!L471))</f>
        <v>Card</v>
      </c>
    </row>
    <row r="472" spans="1:12" x14ac:dyDescent="0.3">
      <c r="A472" t="str">
        <f>TRIM(Raw_Data_Copy!A472)</f>
        <v>ORD-0048</v>
      </c>
      <c r="B472" s="2">
        <v>45947</v>
      </c>
      <c r="C472" t="str">
        <f>TRIM(Raw_Data_Copy!C472)</f>
        <v>CUST-0096</v>
      </c>
      <c r="D472" t="str">
        <f>PROPER(TRIM(Raw_Data_Copy!D472))</f>
        <v>Ghana</v>
      </c>
      <c r="E472" t="str">
        <f>PROPER(TRIM(Raw_Data_Copy!E472))</f>
        <v>West Africa</v>
      </c>
      <c r="F472" t="str">
        <f>PROPER(TRIM(Raw_Data_Copy!F472))</f>
        <v>Mouse</v>
      </c>
      <c r="G472" t="str">
        <f>PROPER(TRIM(Raw_Data_Copy!G472))</f>
        <v>Electronics</v>
      </c>
      <c r="H472" t="str">
        <f>TRIM(Raw_Data_Copy!H472)</f>
        <v>4</v>
      </c>
      <c r="I472" t="str">
        <f>TRIM(Raw_Data_Copy!I472)</f>
        <v>44.18</v>
      </c>
      <c r="J472" t="str">
        <f>TRIM(Raw_Data_Copy!J472)</f>
        <v>0</v>
      </c>
      <c r="K472">
        <f>ROUND(Cleaned_data!$H472*Cleaned_data!$I472*(1-Cleaned_data!$J472),2)</f>
        <v>176.72</v>
      </c>
      <c r="L472" t="str">
        <f>PROPER(TRIM(Raw_Data_Copy!L472))</f>
        <v>Card</v>
      </c>
    </row>
    <row r="473" spans="1:12" x14ac:dyDescent="0.3">
      <c r="A473" t="str">
        <f>TRIM(Raw_Data_Copy!A473)</f>
        <v>ORD-0567</v>
      </c>
      <c r="B473" s="2">
        <v>45947</v>
      </c>
      <c r="C473" t="str">
        <f>TRIM(Raw_Data_Copy!C473)</f>
        <v>CUST-0067</v>
      </c>
      <c r="D473" t="str">
        <f>PROPER(TRIM(Raw_Data_Copy!D473))</f>
        <v>Ghana</v>
      </c>
      <c r="E473" t="str">
        <f>PROPER(TRIM(Raw_Data_Copy!E473))</f>
        <v>West Africa</v>
      </c>
      <c r="F473" t="str">
        <f>PROPER(TRIM(Raw_Data_Copy!F473))</f>
        <v>Desk Lamp</v>
      </c>
      <c r="G473" t="str">
        <f>PROPER(TRIM(Raw_Data_Copy!G473))</f>
        <v>Furniture</v>
      </c>
      <c r="H473" t="str">
        <f>TRIM(Raw_Data_Copy!H473)</f>
        <v>7</v>
      </c>
      <c r="I473" t="str">
        <f>TRIM(Raw_Data_Copy!I473)</f>
        <v>51.16</v>
      </c>
      <c r="J473" t="str">
        <f>TRIM(Raw_Data_Copy!J473)</f>
        <v>0.25</v>
      </c>
      <c r="K473">
        <f>ROUND(Cleaned_data!$H473*Cleaned_data!$I473*(1-Cleaned_data!$J473),2)</f>
        <v>268.58999999999997</v>
      </c>
      <c r="L473" t="str">
        <f>PROPER(TRIM(Raw_Data_Copy!L473))</f>
        <v>Mobile Money</v>
      </c>
    </row>
    <row r="474" spans="1:12" x14ac:dyDescent="0.3">
      <c r="A474" t="str">
        <f>TRIM(Raw_Data_Copy!A474)</f>
        <v>ORD-0135</v>
      </c>
      <c r="B474" s="2">
        <v>45948</v>
      </c>
      <c r="C474" t="str">
        <f>TRIM(Raw_Data_Copy!C474)</f>
        <v>CUST-0096</v>
      </c>
      <c r="D474" t="str">
        <f>PROPER(TRIM(Raw_Data_Copy!D474))</f>
        <v>Ghana</v>
      </c>
      <c r="E474" t="str">
        <f>PROPER(TRIM(Raw_Data_Copy!E474))</f>
        <v>West Africa</v>
      </c>
      <c r="F474" t="str">
        <f>PROPER(TRIM(Raw_Data_Copy!F474))</f>
        <v>Desk</v>
      </c>
      <c r="G474" t="str">
        <f>PROPER(TRIM(Raw_Data_Copy!G474))</f>
        <v>Furniture</v>
      </c>
      <c r="H474" t="str">
        <f>TRIM(Raw_Data_Copy!H474)</f>
        <v>3</v>
      </c>
      <c r="I474" t="str">
        <f>TRIM(Raw_Data_Copy!I474)</f>
        <v>377.12</v>
      </c>
      <c r="J474" t="str">
        <f>TRIM(Raw_Data_Copy!J474)</f>
        <v>0.1</v>
      </c>
      <c r="K474">
        <f>ROUND(Cleaned_data!$H474*Cleaned_data!$I474*(1-Cleaned_data!$J474),2)</f>
        <v>1018.22</v>
      </c>
      <c r="L474" t="str">
        <f>PROPER(TRIM(Raw_Data_Copy!L474))</f>
        <v>Bank Transfer</v>
      </c>
    </row>
    <row r="475" spans="1:12" x14ac:dyDescent="0.3">
      <c r="A475" t="str">
        <f>TRIM(Raw_Data_Copy!A475)</f>
        <v>ORD-0225</v>
      </c>
      <c r="B475" s="2">
        <v>45948</v>
      </c>
      <c r="C475" t="str">
        <f>TRIM(Raw_Data_Copy!C475)</f>
        <v>CUST-0172</v>
      </c>
      <c r="D475" t="str">
        <f>PROPER(TRIM(Raw_Data_Copy!D475))</f>
        <v>South Africa</v>
      </c>
      <c r="E475" t="str">
        <f>PROPER(TRIM(Raw_Data_Copy!E475))</f>
        <v>Southern Africa</v>
      </c>
      <c r="F475" t="str">
        <f>PROPER(TRIM(Raw_Data_Copy!F475))</f>
        <v>Desk</v>
      </c>
      <c r="G475" t="str">
        <f>PROPER(TRIM(Raw_Data_Copy!G475))</f>
        <v>Furniture</v>
      </c>
      <c r="H475" t="str">
        <f>TRIM(Raw_Data_Copy!H475)</f>
        <v>3</v>
      </c>
      <c r="I475" t="str">
        <f>TRIM(Raw_Data_Copy!I475)</f>
        <v>342.2</v>
      </c>
      <c r="J475" t="str">
        <f>TRIM(Raw_Data_Copy!J475)</f>
        <v>0.1</v>
      </c>
      <c r="K475">
        <f>ROUND(Cleaned_data!$H475*Cleaned_data!$I475*(1-Cleaned_data!$J475),2)</f>
        <v>923.94</v>
      </c>
      <c r="L475" t="str">
        <f>PROPER(TRIM(Raw_Data_Copy!L475))</f>
        <v>Card</v>
      </c>
    </row>
    <row r="476" spans="1:12" x14ac:dyDescent="0.3">
      <c r="A476" t="str">
        <f>TRIM(Raw_Data_Copy!A476)</f>
        <v>ORD-0118</v>
      </c>
      <c r="B476" s="2">
        <v>45949</v>
      </c>
      <c r="C476" t="str">
        <f>TRIM(Raw_Data_Copy!C476)</f>
        <v>CUST-0026</v>
      </c>
      <c r="D476" t="str">
        <f>PROPER(TRIM(Raw_Data_Copy!D476))</f>
        <v>Nigeria</v>
      </c>
      <c r="E476" t="str">
        <f>PROPER(TRIM(Raw_Data_Copy!E476))</f>
        <v>West Africa</v>
      </c>
      <c r="F476" t="str">
        <f>PROPER(TRIM(Raw_Data_Copy!F476))</f>
        <v>Desk Lamp</v>
      </c>
      <c r="G476" t="str">
        <f>PROPER(TRIM(Raw_Data_Copy!G476))</f>
        <v>Furniture</v>
      </c>
      <c r="H476" t="str">
        <f>TRIM(Raw_Data_Copy!H476)</f>
        <v>5</v>
      </c>
      <c r="I476" t="str">
        <f>TRIM(Raw_Data_Copy!I476)</f>
        <v>57.42</v>
      </c>
      <c r="J476" t="str">
        <f>TRIM(Raw_Data_Copy!J476)</f>
        <v>0.15</v>
      </c>
      <c r="K476">
        <f>ROUND(Cleaned_data!$H476*Cleaned_data!$I476*(1-Cleaned_data!$J476),2)</f>
        <v>244.04</v>
      </c>
      <c r="L476" t="str">
        <f>PROPER(TRIM(Raw_Data_Copy!L476))</f>
        <v>Mobile Money</v>
      </c>
    </row>
    <row r="477" spans="1:12" x14ac:dyDescent="0.3">
      <c r="A477" t="str">
        <f>TRIM(Raw_Data_Copy!A477)</f>
        <v>ORD-0275</v>
      </c>
      <c r="B477" s="2">
        <v>45949</v>
      </c>
      <c r="C477" t="str">
        <f>TRIM(Raw_Data_Copy!C477)</f>
        <v>CUST-0126</v>
      </c>
      <c r="D477" t="str">
        <f>PROPER(TRIM(Raw_Data_Copy!D477))</f>
        <v>Nigeria</v>
      </c>
      <c r="E477" t="str">
        <f>PROPER(TRIM(Raw_Data_Copy!E477))</f>
        <v>West Africa</v>
      </c>
      <c r="F477" t="str">
        <f>PROPER(TRIM(Raw_Data_Copy!F477))</f>
        <v>Keyboard</v>
      </c>
      <c r="G477" t="str">
        <f>PROPER(TRIM(Raw_Data_Copy!G477))</f>
        <v>Electronics</v>
      </c>
      <c r="H477" t="str">
        <f>TRIM(Raw_Data_Copy!H477)</f>
        <v>1</v>
      </c>
      <c r="I477" t="str">
        <f>TRIM(Raw_Data_Copy!I477)</f>
        <v>87.62</v>
      </c>
      <c r="J477" t="str">
        <f>TRIM(Raw_Data_Copy!J477)</f>
        <v>0.15</v>
      </c>
      <c r="K477">
        <f>ROUND(Cleaned_data!$H477*Cleaned_data!$I477*(1-Cleaned_data!$J477),2)</f>
        <v>74.48</v>
      </c>
      <c r="L477" t="str">
        <f>PROPER(TRIM(Raw_Data_Copy!L477))</f>
        <v>Card</v>
      </c>
    </row>
    <row r="478" spans="1:12" x14ac:dyDescent="0.3">
      <c r="A478" t="str">
        <f>TRIM(Raw_Data_Copy!A478)</f>
        <v>ORD-0536</v>
      </c>
      <c r="B478" s="2">
        <v>45950</v>
      </c>
      <c r="C478" t="str">
        <f>TRIM(Raw_Data_Copy!C478)</f>
        <v>CUST-0126</v>
      </c>
      <c r="D478" t="str">
        <f>PROPER(TRIM(Raw_Data_Copy!D478))</f>
        <v>Ghana</v>
      </c>
      <c r="E478" t="str">
        <f>PROPER(TRIM(Raw_Data_Copy!E478))</f>
        <v>West Africa</v>
      </c>
      <c r="F478" t="str">
        <f>PROPER(TRIM(Raw_Data_Copy!F478))</f>
        <v>Keyboard</v>
      </c>
      <c r="G478" t="str">
        <f>PROPER(TRIM(Raw_Data_Copy!G478))</f>
        <v>Electronics</v>
      </c>
      <c r="H478" t="str">
        <f>TRIM(Raw_Data_Copy!H478)</f>
        <v>2</v>
      </c>
      <c r="I478" t="str">
        <f>TRIM(Raw_Data_Copy!I478)</f>
        <v>73.2</v>
      </c>
      <c r="J478" t="str">
        <f>TRIM(Raw_Data_Copy!J478)</f>
        <v>0.1</v>
      </c>
      <c r="K478">
        <f>ROUND(Cleaned_data!$H478*Cleaned_data!$I478*(1-Cleaned_data!$J478),2)</f>
        <v>131.76</v>
      </c>
      <c r="L478" t="str">
        <f>PROPER(TRIM(Raw_Data_Copy!L478))</f>
        <v>Mobile Money</v>
      </c>
    </row>
    <row r="479" spans="1:12" x14ac:dyDescent="0.3">
      <c r="A479" t="str">
        <f>TRIM(Raw_Data_Copy!A479)</f>
        <v>ORD-0013</v>
      </c>
      <c r="B479" s="2">
        <v>45950</v>
      </c>
      <c r="C479" t="str">
        <f>TRIM(Raw_Data_Copy!C479)</f>
        <v>CUST-0099</v>
      </c>
      <c r="D479" t="str">
        <f>PROPER(TRIM(Raw_Data_Copy!D479))</f>
        <v>United States</v>
      </c>
      <c r="E479" t="str">
        <f>PROPER(TRIM(Raw_Data_Copy!E479))</f>
        <v>North America</v>
      </c>
      <c r="F479" t="str">
        <f>PROPER(TRIM(Raw_Data_Copy!F479))</f>
        <v>Desk Lamp</v>
      </c>
      <c r="G479" t="str">
        <f>PROPER(TRIM(Raw_Data_Copy!G479))</f>
        <v>Furniture</v>
      </c>
      <c r="H479" t="str">
        <f>TRIM(Raw_Data_Copy!H479)</f>
        <v>2</v>
      </c>
      <c r="I479" t="str">
        <f>TRIM(Raw_Data_Copy!I479)</f>
        <v>50.55</v>
      </c>
      <c r="J479" t="str">
        <f>TRIM(Raw_Data_Copy!J479)</f>
        <v>0.05</v>
      </c>
      <c r="K479">
        <f>ROUND(Cleaned_data!$H479*Cleaned_data!$I479*(1-Cleaned_data!$J479),2)</f>
        <v>96.05</v>
      </c>
      <c r="L479" t="str">
        <f>PROPER(TRIM(Raw_Data_Copy!L479))</f>
        <v>Mobile Money</v>
      </c>
    </row>
    <row r="480" spans="1:12" x14ac:dyDescent="0.3">
      <c r="A480" t="str">
        <f>TRIM(Raw_Data_Copy!A480)</f>
        <v>ORD-0402</v>
      </c>
      <c r="B480" s="2">
        <v>45950</v>
      </c>
      <c r="C480" t="str">
        <f>TRIM(Raw_Data_Copy!C480)</f>
        <v>CUST-0042</v>
      </c>
      <c r="D480" t="str">
        <f>PROPER(TRIM(Raw_Data_Copy!D480))</f>
        <v>South Africa</v>
      </c>
      <c r="E480" t="str">
        <f>PROPER(TRIM(Raw_Data_Copy!E480))</f>
        <v>Southern Africa</v>
      </c>
      <c r="F480" t="str">
        <f>PROPER(TRIM(Raw_Data_Copy!F480))</f>
        <v>Mouse</v>
      </c>
      <c r="G480" t="str">
        <f>PROPER(TRIM(Raw_Data_Copy!G480))</f>
        <v>Electronics</v>
      </c>
      <c r="H480" t="str">
        <f>TRIM(Raw_Data_Copy!H480)</f>
        <v>6</v>
      </c>
      <c r="I480" t="str">
        <f>TRIM(Raw_Data_Copy!I480)</f>
        <v>42.92</v>
      </c>
      <c r="J480" t="str">
        <f>TRIM(Raw_Data_Copy!J480)</f>
        <v>0.1</v>
      </c>
      <c r="K480">
        <f>ROUND(Cleaned_data!$H480*Cleaned_data!$I480*(1-Cleaned_data!$J480),2)</f>
        <v>231.77</v>
      </c>
      <c r="L480" t="str">
        <f>PROPER(TRIM(Raw_Data_Copy!L480))</f>
        <v>Mobile Money</v>
      </c>
    </row>
    <row r="481" spans="1:12" x14ac:dyDescent="0.3">
      <c r="A481" t="str">
        <f>TRIM(Raw_Data_Copy!A481)</f>
        <v>ORD-0203</v>
      </c>
      <c r="B481" s="2">
        <v>45950</v>
      </c>
      <c r="C481" t="str">
        <f>TRIM(Raw_Data_Copy!C481)</f>
        <v>CUST-0004</v>
      </c>
      <c r="D481" t="str">
        <f>PROPER(TRIM(Raw_Data_Copy!D481))</f>
        <v>United Kingdom</v>
      </c>
      <c r="E481" t="str">
        <f>PROPER(TRIM(Raw_Data_Copy!E481))</f>
        <v>Europe</v>
      </c>
      <c r="F481" t="str">
        <f>PROPER(TRIM(Raw_Data_Copy!F481))</f>
        <v>Laptop</v>
      </c>
      <c r="G481" t="str">
        <f>PROPER(TRIM(Raw_Data_Copy!G481))</f>
        <v>Electronics</v>
      </c>
      <c r="H481" t="str">
        <f>TRIM(Raw_Data_Copy!H481)</f>
        <v>6</v>
      </c>
      <c r="I481" t="str">
        <f>TRIM(Raw_Data_Copy!I481)</f>
        <v>982.94</v>
      </c>
      <c r="J481" t="str">
        <f>TRIM(Raw_Data_Copy!J481)</f>
        <v>0.1</v>
      </c>
      <c r="K481">
        <f>ROUND(Cleaned_data!$H481*Cleaned_data!$I481*(1-Cleaned_data!$J481),2)</f>
        <v>5307.88</v>
      </c>
      <c r="L481" t="str">
        <f>PROPER(TRIM(Raw_Data_Copy!L481))</f>
        <v>Bank Transfer</v>
      </c>
    </row>
    <row r="482" spans="1:12" x14ac:dyDescent="0.3">
      <c r="A482" t="str">
        <f>TRIM(Raw_Data_Copy!A482)</f>
        <v>ORD-0511</v>
      </c>
      <c r="B482" s="2">
        <v>45951</v>
      </c>
      <c r="C482" t="str">
        <f>TRIM(Raw_Data_Copy!C482)</f>
        <v>CUST-0166</v>
      </c>
      <c r="D482" t="str">
        <f>PROPER(TRIM(Raw_Data_Copy!D482))</f>
        <v>Nigeria</v>
      </c>
      <c r="E482" t="str">
        <f>PROPER(TRIM(Raw_Data_Copy!E482))</f>
        <v>West Africa</v>
      </c>
      <c r="F482" t="str">
        <f>PROPER(TRIM(Raw_Data_Copy!F482))</f>
        <v>Printer</v>
      </c>
      <c r="G482" t="str">
        <f>PROPER(TRIM(Raw_Data_Copy!G482))</f>
        <v>Office Supplies</v>
      </c>
      <c r="H482" t="str">
        <f>TRIM(Raw_Data_Copy!H482)</f>
        <v>7</v>
      </c>
      <c r="I482" t="str">
        <f>TRIM(Raw_Data_Copy!I482)</f>
        <v>257.98</v>
      </c>
      <c r="J482" t="str">
        <f>TRIM(Raw_Data_Copy!J482)</f>
        <v>0.2</v>
      </c>
      <c r="K482">
        <f>ROUND(Cleaned_data!$H482*Cleaned_data!$I482*(1-Cleaned_data!$J482),2)</f>
        <v>1444.69</v>
      </c>
      <c r="L482" t="str">
        <f>PROPER(TRIM(Raw_Data_Copy!L482))</f>
        <v>Card</v>
      </c>
    </row>
    <row r="483" spans="1:12" x14ac:dyDescent="0.3">
      <c r="A483" t="str">
        <f>TRIM(Raw_Data_Copy!A483)</f>
        <v>ORD-0365</v>
      </c>
      <c r="B483" s="2">
        <v>45951</v>
      </c>
      <c r="C483" t="str">
        <f>TRIM(Raw_Data_Copy!C483)</f>
        <v>CUST-0064</v>
      </c>
      <c r="D483" t="str">
        <f>PROPER(TRIM(Raw_Data_Copy!D483))</f>
        <v>South Africa</v>
      </c>
      <c r="E483" t="str">
        <f>PROPER(TRIM(Raw_Data_Copy!E483))</f>
        <v>Southern Africa</v>
      </c>
      <c r="F483" t="str">
        <f>PROPER(TRIM(Raw_Data_Copy!F483))</f>
        <v>Notebook</v>
      </c>
      <c r="G483" t="str">
        <f>PROPER(TRIM(Raw_Data_Copy!G483))</f>
        <v>Office Supplies</v>
      </c>
      <c r="H483" t="str">
        <f>TRIM(Raw_Data_Copy!H483)</f>
        <v>7</v>
      </c>
      <c r="I483" t="str">
        <f>TRIM(Raw_Data_Copy!I483)</f>
        <v>13.72</v>
      </c>
      <c r="J483" t="str">
        <f>TRIM(Raw_Data_Copy!J483)</f>
        <v>0.1</v>
      </c>
      <c r="K483">
        <f>ROUND(Cleaned_data!$H483*Cleaned_data!$I483*(1-Cleaned_data!$J483),2)</f>
        <v>86.44</v>
      </c>
      <c r="L483" t="str">
        <f>PROPER(TRIM(Raw_Data_Copy!L483))</f>
        <v>Card</v>
      </c>
    </row>
    <row r="484" spans="1:12" x14ac:dyDescent="0.3">
      <c r="A484" t="str">
        <f>TRIM(Raw_Data_Copy!A484)</f>
        <v>ORD-0002</v>
      </c>
      <c r="B484" s="2">
        <v>45951</v>
      </c>
      <c r="C484" t="str">
        <f>TRIM(Raw_Data_Copy!C484)</f>
        <v>CUST-0130</v>
      </c>
      <c r="D484" t="str">
        <f>PROPER(TRIM(Raw_Data_Copy!D484))</f>
        <v>Nigeria</v>
      </c>
      <c r="E484" t="str">
        <f>PROPER(TRIM(Raw_Data_Copy!E484))</f>
        <v>West Africa</v>
      </c>
      <c r="F484" t="str">
        <f>PROPER(TRIM(Raw_Data_Copy!F484))</f>
        <v>Keyboard</v>
      </c>
      <c r="G484" t="str">
        <f>PROPER(TRIM(Raw_Data_Copy!G484))</f>
        <v>Electronics</v>
      </c>
      <c r="H484" t="str">
        <f>TRIM(Raw_Data_Copy!H484)</f>
        <v>8</v>
      </c>
      <c r="I484" t="str">
        <f>TRIM(Raw_Data_Copy!I484)</f>
        <v>82.41</v>
      </c>
      <c r="J484" t="str">
        <f>TRIM(Raw_Data_Copy!J484)</f>
        <v>0</v>
      </c>
      <c r="K484">
        <f>ROUND(Cleaned_data!$H484*Cleaned_data!$I484*(1-Cleaned_data!$J484),2)</f>
        <v>659.28</v>
      </c>
      <c r="L484" t="str">
        <f>PROPER(TRIM(Raw_Data_Copy!L484))</f>
        <v>Bank Transfer</v>
      </c>
    </row>
    <row r="485" spans="1:12" x14ac:dyDescent="0.3">
      <c r="A485" t="str">
        <f>TRIM(Raw_Data_Copy!A485)</f>
        <v>ORD-0545</v>
      </c>
      <c r="B485" s="2">
        <v>45952</v>
      </c>
      <c r="C485" t="str">
        <f>TRIM(Raw_Data_Copy!C485)</f>
        <v>CUST-0089</v>
      </c>
      <c r="D485" t="str">
        <f>PROPER(TRIM(Raw_Data_Copy!D485))</f>
        <v>Kenya</v>
      </c>
      <c r="E485" t="str">
        <f>PROPER(TRIM(Raw_Data_Copy!E485))</f>
        <v>East Africa</v>
      </c>
      <c r="F485" t="str">
        <f>PROPER(TRIM(Raw_Data_Copy!F485))</f>
        <v>Headphones</v>
      </c>
      <c r="G485" t="str">
        <f>PROPER(TRIM(Raw_Data_Copy!G485))</f>
        <v>Electronics</v>
      </c>
      <c r="H485" t="str">
        <f>TRIM(Raw_Data_Copy!H485)</f>
        <v>4</v>
      </c>
      <c r="I485" t="str">
        <f>TRIM(Raw_Data_Copy!I485)</f>
        <v>116.67</v>
      </c>
      <c r="J485" t="str">
        <f>TRIM(Raw_Data_Copy!J485)</f>
        <v>0.2</v>
      </c>
      <c r="K485">
        <f>ROUND(Cleaned_data!$H485*Cleaned_data!$I485*(1-Cleaned_data!$J485),2)</f>
        <v>373.34</v>
      </c>
      <c r="L485" t="str">
        <f>PROPER(TRIM(Raw_Data_Copy!L485))</f>
        <v>Card</v>
      </c>
    </row>
    <row r="486" spans="1:12" x14ac:dyDescent="0.3">
      <c r="A486" t="str">
        <f>TRIM(Raw_Data_Copy!A486)</f>
        <v>ORD-0149</v>
      </c>
      <c r="B486" s="2">
        <v>45953</v>
      </c>
      <c r="C486" t="str">
        <f>TRIM(Raw_Data_Copy!C486)</f>
        <v>CUST-0017</v>
      </c>
      <c r="D486" t="str">
        <f>PROPER(TRIM(Raw_Data_Copy!D486))</f>
        <v>Kenya</v>
      </c>
      <c r="E486" t="str">
        <f>PROPER(TRIM(Raw_Data_Copy!E486))</f>
        <v>East Africa</v>
      </c>
      <c r="F486" t="str">
        <f>PROPER(TRIM(Raw_Data_Copy!F486))</f>
        <v>Notebook</v>
      </c>
      <c r="G486" t="str">
        <f>PROPER(TRIM(Raw_Data_Copy!G486))</f>
        <v>Office Supplies</v>
      </c>
      <c r="H486" t="str">
        <f>TRIM(Raw_Data_Copy!H486)</f>
        <v>2</v>
      </c>
      <c r="I486" t="str">
        <f>TRIM(Raw_Data_Copy!I486)</f>
        <v>15.37</v>
      </c>
      <c r="J486" t="str">
        <f>TRIM(Raw_Data_Copy!J486)</f>
        <v>0.1</v>
      </c>
      <c r="K486">
        <f>ROUND(Cleaned_data!$H486*Cleaned_data!$I486*(1-Cleaned_data!$J486),2)</f>
        <v>27.67</v>
      </c>
      <c r="L486" t="str">
        <f>PROPER(TRIM(Raw_Data_Copy!L486))</f>
        <v>Card</v>
      </c>
    </row>
    <row r="487" spans="1:12" x14ac:dyDescent="0.3">
      <c r="A487" t="str">
        <f>TRIM(Raw_Data_Copy!A487)</f>
        <v>ORD-0358</v>
      </c>
      <c r="B487" s="2">
        <v>45953</v>
      </c>
      <c r="C487" t="str">
        <f>TRIM(Raw_Data_Copy!C487)</f>
        <v>CUST-0002</v>
      </c>
      <c r="D487" t="str">
        <f>PROPER(TRIM(Raw_Data_Copy!D487))</f>
        <v>United Kingdom</v>
      </c>
      <c r="E487" t="str">
        <f>PROPER(TRIM(Raw_Data_Copy!E487))</f>
        <v>Europe</v>
      </c>
      <c r="F487" t="str">
        <f>PROPER(TRIM(Raw_Data_Copy!F487))</f>
        <v>Notebook</v>
      </c>
      <c r="G487" t="str">
        <f>PROPER(TRIM(Raw_Data_Copy!G487))</f>
        <v>Office Supplies</v>
      </c>
      <c r="H487" t="str">
        <f>TRIM(Raw_Data_Copy!H487)</f>
        <v>5</v>
      </c>
      <c r="I487" t="str">
        <f>TRIM(Raw_Data_Copy!I487)</f>
        <v>16.21</v>
      </c>
      <c r="J487" t="str">
        <f>TRIM(Raw_Data_Copy!J487)</f>
        <v>0</v>
      </c>
      <c r="K487">
        <f>ROUND(Cleaned_data!$H487*Cleaned_data!$I487*(1-Cleaned_data!$J487),2)</f>
        <v>81.05</v>
      </c>
      <c r="L487" t="str">
        <f>PROPER(TRIM(Raw_Data_Copy!L487))</f>
        <v>Mobile Money</v>
      </c>
    </row>
    <row r="488" spans="1:12" x14ac:dyDescent="0.3">
      <c r="A488" t="str">
        <f>TRIM(Raw_Data_Copy!A488)</f>
        <v>ORD-0146</v>
      </c>
      <c r="B488" s="2">
        <v>45953</v>
      </c>
      <c r="C488" t="str">
        <f>TRIM(Raw_Data_Copy!C488)</f>
        <v>CUST-0011</v>
      </c>
      <c r="D488" t="str">
        <f>PROPER(TRIM(Raw_Data_Copy!D488))</f>
        <v>United Kingdom</v>
      </c>
      <c r="E488" t="str">
        <f>PROPER(TRIM(Raw_Data_Copy!E488))</f>
        <v>Europe</v>
      </c>
      <c r="F488" t="str">
        <f>PROPER(TRIM(Raw_Data_Copy!F488))</f>
        <v>Headphones</v>
      </c>
      <c r="G488" t="str">
        <f>PROPER(TRIM(Raw_Data_Copy!G488))</f>
        <v>Electronics</v>
      </c>
      <c r="H488" t="str">
        <f>TRIM(Raw_Data_Copy!H488)</f>
        <v>5</v>
      </c>
      <c r="I488" t="str">
        <f>TRIM(Raw_Data_Copy!I488)</f>
        <v>122.48</v>
      </c>
      <c r="J488" t="str">
        <f>TRIM(Raw_Data_Copy!J488)</f>
        <v>0.05</v>
      </c>
      <c r="K488">
        <f>ROUND(Cleaned_data!$H488*Cleaned_data!$I488*(1-Cleaned_data!$J488),2)</f>
        <v>581.78</v>
      </c>
      <c r="L488" t="str">
        <f>PROPER(TRIM(Raw_Data_Copy!L488))</f>
        <v>Card</v>
      </c>
    </row>
    <row r="489" spans="1:12" x14ac:dyDescent="0.3">
      <c r="A489" t="str">
        <f>TRIM(Raw_Data_Copy!A489)</f>
        <v>ORD-0122</v>
      </c>
      <c r="B489" s="2">
        <v>45953</v>
      </c>
      <c r="C489" t="str">
        <f>TRIM(Raw_Data_Copy!C489)</f>
        <v>CUST-0041</v>
      </c>
      <c r="D489" t="str">
        <f>PROPER(TRIM(Raw_Data_Copy!D489))</f>
        <v>Ghana</v>
      </c>
      <c r="E489" t="str">
        <f>PROPER(TRIM(Raw_Data_Copy!E489))</f>
        <v>West Africa</v>
      </c>
      <c r="F489" t="str">
        <f>PROPER(TRIM(Raw_Data_Copy!F489))</f>
        <v>Desk Lamp</v>
      </c>
      <c r="G489" t="str">
        <f>PROPER(TRIM(Raw_Data_Copy!G489))</f>
        <v>Furniture</v>
      </c>
      <c r="H489" t="str">
        <f>TRIM(Raw_Data_Copy!H489)</f>
        <v>7</v>
      </c>
      <c r="I489" t="str">
        <f>TRIM(Raw_Data_Copy!I489)</f>
        <v>56.17</v>
      </c>
      <c r="J489" t="str">
        <f>TRIM(Raw_Data_Copy!J489)</f>
        <v>0.1</v>
      </c>
      <c r="K489">
        <f>ROUND(Cleaned_data!$H489*Cleaned_data!$I489*(1-Cleaned_data!$J489),2)</f>
        <v>353.87</v>
      </c>
      <c r="L489" t="str">
        <f>PROPER(TRIM(Raw_Data_Copy!L489))</f>
        <v>Bank Transfer</v>
      </c>
    </row>
    <row r="490" spans="1:12" x14ac:dyDescent="0.3">
      <c r="A490" t="str">
        <f>TRIM(Raw_Data_Copy!A490)</f>
        <v>ORD-0296</v>
      </c>
      <c r="B490" s="2">
        <v>45958</v>
      </c>
      <c r="C490" t="str">
        <f>TRIM(Raw_Data_Copy!C490)</f>
        <v>CUST-0161</v>
      </c>
      <c r="D490" t="str">
        <f>PROPER(TRIM(Raw_Data_Copy!D490))</f>
        <v>Nigeria</v>
      </c>
      <c r="E490" t="str">
        <f>PROPER(TRIM(Raw_Data_Copy!E490))</f>
        <v>West Africa</v>
      </c>
      <c r="F490" t="str">
        <f>PROPER(TRIM(Raw_Data_Copy!F490))</f>
        <v>Notebook</v>
      </c>
      <c r="G490" t="str">
        <f>PROPER(TRIM(Raw_Data_Copy!G490))</f>
        <v>Office Supplies</v>
      </c>
      <c r="H490" t="str">
        <f>TRIM(Raw_Data_Copy!H490)</f>
        <v>4</v>
      </c>
      <c r="I490" t="str">
        <f>TRIM(Raw_Data_Copy!I490)</f>
        <v>15.71</v>
      </c>
      <c r="J490" t="str">
        <f>TRIM(Raw_Data_Copy!J490)</f>
        <v>0.3</v>
      </c>
      <c r="K490">
        <f>ROUND(Cleaned_data!$H490*Cleaned_data!$I490*(1-Cleaned_data!$J490),2)</f>
        <v>43.99</v>
      </c>
      <c r="L490" t="str">
        <f>PROPER(TRIM(Raw_Data_Copy!L490))</f>
        <v>Cash</v>
      </c>
    </row>
    <row r="491" spans="1:12" x14ac:dyDescent="0.3">
      <c r="A491" t="str">
        <f>TRIM(Raw_Data_Copy!A491)</f>
        <v>ORD-0584</v>
      </c>
      <c r="B491" s="2">
        <v>45960</v>
      </c>
      <c r="C491" t="str">
        <f>TRIM(Raw_Data_Copy!C491)</f>
        <v>CUST-0005</v>
      </c>
      <c r="D491" t="str">
        <f>PROPER(TRIM(Raw_Data_Copy!D491))</f>
        <v>Ghana</v>
      </c>
      <c r="E491" t="str">
        <f>PROPER(TRIM(Raw_Data_Copy!E491))</f>
        <v>West Africa</v>
      </c>
      <c r="F491" t="str">
        <f>PROPER(TRIM(Raw_Data_Copy!F491))</f>
        <v>Desk</v>
      </c>
      <c r="G491" t="str">
        <f>PROPER(TRIM(Raw_Data_Copy!G491))</f>
        <v>Furniture</v>
      </c>
      <c r="H491" t="str">
        <f>TRIM(Raw_Data_Copy!H491)</f>
        <v>6</v>
      </c>
      <c r="I491" t="str">
        <f>TRIM(Raw_Data_Copy!I491)</f>
        <v>320.36</v>
      </c>
      <c r="J491" t="str">
        <f>TRIM(Raw_Data_Copy!J491)</f>
        <v>0.1</v>
      </c>
      <c r="K491">
        <f>ROUND(Cleaned_data!$H491*Cleaned_data!$I491*(1-Cleaned_data!$J491),2)</f>
        <v>1729.94</v>
      </c>
      <c r="L491" t="str">
        <f>PROPER(TRIM(Raw_Data_Copy!L491))</f>
        <v>Mobile Money</v>
      </c>
    </row>
    <row r="492" spans="1:12" x14ac:dyDescent="0.3">
      <c r="A492" t="str">
        <f>TRIM(Raw_Data_Copy!A492)</f>
        <v>ORD-0229</v>
      </c>
      <c r="B492" s="2">
        <v>45960</v>
      </c>
      <c r="C492" t="str">
        <f>TRIM(Raw_Data_Copy!C492)</f>
        <v>CUST-0117</v>
      </c>
      <c r="D492" t="str">
        <f>PROPER(TRIM(Raw_Data_Copy!D492))</f>
        <v>South Africa</v>
      </c>
      <c r="E492" t="str">
        <f>PROPER(TRIM(Raw_Data_Copy!E492))</f>
        <v>Southern Africa</v>
      </c>
      <c r="F492" t="str">
        <f>PROPER(TRIM(Raw_Data_Copy!F492))</f>
        <v>Notebook</v>
      </c>
      <c r="G492" t="str">
        <f>PROPER(TRIM(Raw_Data_Copy!G492))</f>
        <v>Office Supplies</v>
      </c>
      <c r="H492" t="str">
        <f>TRIM(Raw_Data_Copy!H492)</f>
        <v>3</v>
      </c>
      <c r="I492" t="str">
        <f>TRIM(Raw_Data_Copy!I492)</f>
        <v>13.55</v>
      </c>
      <c r="J492" t="str">
        <f>TRIM(Raw_Data_Copy!J492)</f>
        <v>0</v>
      </c>
      <c r="K492">
        <f>ROUND(Cleaned_data!$H492*Cleaned_data!$I492*(1-Cleaned_data!$J492),2)</f>
        <v>40.65</v>
      </c>
      <c r="L492" t="str">
        <f>PROPER(TRIM(Raw_Data_Copy!L492))</f>
        <v>Card</v>
      </c>
    </row>
    <row r="493" spans="1:12" x14ac:dyDescent="0.3">
      <c r="A493" t="str">
        <f>TRIM(Raw_Data_Copy!A493)</f>
        <v>ORD-0519</v>
      </c>
      <c r="B493" s="2">
        <v>45961</v>
      </c>
      <c r="C493" t="str">
        <f>TRIM(Raw_Data_Copy!C493)</f>
        <v>CUST-0035</v>
      </c>
      <c r="D493" t="str">
        <f>PROPER(TRIM(Raw_Data_Copy!D493))</f>
        <v>Nigeria</v>
      </c>
      <c r="E493" t="str">
        <f>PROPER(TRIM(Raw_Data_Copy!E493))</f>
        <v>West Africa</v>
      </c>
      <c r="F493" t="str">
        <f>PROPER(TRIM(Raw_Data_Copy!F493))</f>
        <v>Laptop</v>
      </c>
      <c r="G493" t="str">
        <f>PROPER(TRIM(Raw_Data_Copy!G493))</f>
        <v>Electronics</v>
      </c>
      <c r="H493" t="str">
        <f>TRIM(Raw_Data_Copy!H493)</f>
        <v>3</v>
      </c>
      <c r="I493" t="str">
        <f>TRIM(Raw_Data_Copy!I493)</f>
        <v>814.04</v>
      </c>
      <c r="J493" t="str">
        <f>TRIM(Raw_Data_Copy!J493)</f>
        <v>0.05</v>
      </c>
      <c r="K493">
        <f>ROUND(Cleaned_data!$H493*Cleaned_data!$I493*(1-Cleaned_data!$J493),2)</f>
        <v>2320.0100000000002</v>
      </c>
      <c r="L493" t="str">
        <f>PROPER(TRIM(Raw_Data_Copy!L493))</f>
        <v>Bank Transfer</v>
      </c>
    </row>
    <row r="494" spans="1:12" x14ac:dyDescent="0.3">
      <c r="A494" t="str">
        <f>TRIM(Raw_Data_Copy!A494)</f>
        <v>ORD-0151</v>
      </c>
      <c r="B494" s="2">
        <v>45962</v>
      </c>
      <c r="C494" t="str">
        <f>TRIM(Raw_Data_Copy!C494)</f>
        <v>CUST-0017</v>
      </c>
      <c r="D494" t="str">
        <f>PROPER(TRIM(Raw_Data_Copy!D494))</f>
        <v>South Africa</v>
      </c>
      <c r="E494" t="str">
        <f>PROPER(TRIM(Raw_Data_Copy!E494))</f>
        <v>Southern Africa</v>
      </c>
      <c r="F494" t="str">
        <f>PROPER(TRIM(Raw_Data_Copy!F494))</f>
        <v>Backpack</v>
      </c>
      <c r="G494" t="str">
        <f>PROPER(TRIM(Raw_Data_Copy!G494))</f>
        <v>Accessories</v>
      </c>
      <c r="H494" t="str">
        <f>TRIM(Raw_Data_Copy!H494)</f>
        <v>2</v>
      </c>
      <c r="I494" t="str">
        <f>TRIM(Raw_Data_Copy!I494)</f>
        <v>69.05</v>
      </c>
      <c r="J494" t="str">
        <f>TRIM(Raw_Data_Copy!J494)</f>
        <v>0.05</v>
      </c>
      <c r="K494">
        <f>ROUND(Cleaned_data!$H494*Cleaned_data!$I494*(1-Cleaned_data!$J494),2)</f>
        <v>131.19999999999999</v>
      </c>
      <c r="L494" t="str">
        <f>PROPER(TRIM(Raw_Data_Copy!L494))</f>
        <v>Bank Transfer</v>
      </c>
    </row>
    <row r="495" spans="1:12" x14ac:dyDescent="0.3">
      <c r="A495" t="str">
        <f>TRIM(Raw_Data_Copy!A495)</f>
        <v>ORD-0350</v>
      </c>
      <c r="B495" s="2">
        <v>45962</v>
      </c>
      <c r="C495" t="str">
        <f>TRIM(Raw_Data_Copy!C495)</f>
        <v>CUST-0041</v>
      </c>
      <c r="D495" t="str">
        <f>PROPER(TRIM(Raw_Data_Copy!D495))</f>
        <v>Ghana</v>
      </c>
      <c r="E495" t="str">
        <f>PROPER(TRIM(Raw_Data_Copy!E495))</f>
        <v>West Africa</v>
      </c>
      <c r="F495" t="str">
        <f>PROPER(TRIM(Raw_Data_Copy!F495))</f>
        <v>Printer</v>
      </c>
      <c r="G495" t="str">
        <f>PROPER(TRIM(Raw_Data_Copy!G495))</f>
        <v>Office Supplies</v>
      </c>
      <c r="H495" t="str">
        <f>TRIM(Raw_Data_Copy!H495)</f>
        <v>3</v>
      </c>
      <c r="I495" t="str">
        <f>TRIM(Raw_Data_Copy!I495)</f>
        <v>227.22</v>
      </c>
      <c r="J495" t="str">
        <f>TRIM(Raw_Data_Copy!J495)</f>
        <v>0.05</v>
      </c>
      <c r="K495">
        <f>ROUND(Cleaned_data!$H495*Cleaned_data!$I495*(1-Cleaned_data!$J495),2)</f>
        <v>647.58000000000004</v>
      </c>
      <c r="L495" t="str">
        <f>PROPER(TRIM(Raw_Data_Copy!L495))</f>
        <v>Bank Transfer</v>
      </c>
    </row>
    <row r="496" spans="1:12" x14ac:dyDescent="0.3">
      <c r="A496" t="str">
        <f>TRIM(Raw_Data_Copy!A496)</f>
        <v>ORD-0130</v>
      </c>
      <c r="B496" s="2">
        <v>45962</v>
      </c>
      <c r="C496" t="str">
        <f>TRIM(Raw_Data_Copy!C496)</f>
        <v>CUST-0173</v>
      </c>
      <c r="D496" t="str">
        <f>PROPER(TRIM(Raw_Data_Copy!D496))</f>
        <v>Nigeria</v>
      </c>
      <c r="E496" t="str">
        <f>PROPER(TRIM(Raw_Data_Copy!E496))</f>
        <v>West Africa</v>
      </c>
      <c r="F496" t="str">
        <f>PROPER(TRIM(Raw_Data_Copy!F496))</f>
        <v>Headphones</v>
      </c>
      <c r="G496" t="str">
        <f>PROPER(TRIM(Raw_Data_Copy!G496))</f>
        <v>Electronics</v>
      </c>
      <c r="H496" t="str">
        <f>TRIM(Raw_Data_Copy!H496)</f>
        <v>3</v>
      </c>
      <c r="I496" t="str">
        <f>TRIM(Raw_Data_Copy!I496)</f>
        <v>127.19</v>
      </c>
      <c r="J496" t="str">
        <f>TRIM(Raw_Data_Copy!J496)</f>
        <v>0.05</v>
      </c>
      <c r="K496">
        <f>ROUND(Cleaned_data!$H496*Cleaned_data!$I496*(1-Cleaned_data!$J496),2)</f>
        <v>362.49</v>
      </c>
      <c r="L496" t="str">
        <f>PROPER(TRIM(Raw_Data_Copy!L496))</f>
        <v>Mobile Money</v>
      </c>
    </row>
    <row r="497" spans="1:12" x14ac:dyDescent="0.3">
      <c r="A497" t="str">
        <f>TRIM(Raw_Data_Copy!A497)</f>
        <v>ORD-0083</v>
      </c>
      <c r="B497" s="2">
        <v>45963</v>
      </c>
      <c r="C497" t="str">
        <f>TRIM(Raw_Data_Copy!C497)</f>
        <v>CUST-0012</v>
      </c>
      <c r="D497" t="str">
        <f>PROPER(TRIM(Raw_Data_Copy!D497))</f>
        <v>Nigeria</v>
      </c>
      <c r="E497" t="str">
        <f>PROPER(TRIM(Raw_Data_Copy!E497))</f>
        <v>West Africa</v>
      </c>
      <c r="F497" t="str">
        <f>PROPER(TRIM(Raw_Data_Copy!F497))</f>
        <v>Keyboard</v>
      </c>
      <c r="G497" t="str">
        <f>PROPER(TRIM(Raw_Data_Copy!G497))</f>
        <v>Electronics</v>
      </c>
      <c r="H497" t="str">
        <f>TRIM(Raw_Data_Copy!H497)</f>
        <v>7</v>
      </c>
      <c r="I497" t="str">
        <f>TRIM(Raw_Data_Copy!I497)</f>
        <v>82.75</v>
      </c>
      <c r="J497" t="str">
        <f>TRIM(Raw_Data_Copy!J497)</f>
        <v>0.1</v>
      </c>
      <c r="K497">
        <f>ROUND(Cleaned_data!$H497*Cleaned_data!$I497*(1-Cleaned_data!$J497),2)</f>
        <v>521.33000000000004</v>
      </c>
      <c r="L497" t="str">
        <f>PROPER(TRIM(Raw_Data_Copy!L497))</f>
        <v>Bank Transfer</v>
      </c>
    </row>
    <row r="498" spans="1:12" x14ac:dyDescent="0.3">
      <c r="A498" t="str">
        <f>TRIM(Raw_Data_Copy!A498)</f>
        <v>ORD-0041</v>
      </c>
      <c r="B498" s="2">
        <v>45963</v>
      </c>
      <c r="C498" t="str">
        <f>TRIM(Raw_Data_Copy!C498)</f>
        <v>CUST-0153</v>
      </c>
      <c r="D498" t="str">
        <f>PROPER(TRIM(Raw_Data_Copy!D498))</f>
        <v>Ghana</v>
      </c>
      <c r="E498" t="str">
        <f>PROPER(TRIM(Raw_Data_Copy!E498))</f>
        <v>West Africa</v>
      </c>
      <c r="F498" t="str">
        <f>PROPER(TRIM(Raw_Data_Copy!F498))</f>
        <v>Backpack</v>
      </c>
      <c r="G498" t="str">
        <f>PROPER(TRIM(Raw_Data_Copy!G498))</f>
        <v>Accessories</v>
      </c>
      <c r="H498" t="str">
        <f>TRIM(Raw_Data_Copy!H498)</f>
        <v>8</v>
      </c>
      <c r="I498" t="str">
        <f>TRIM(Raw_Data_Copy!I498)</f>
        <v>75.79</v>
      </c>
      <c r="J498" t="str">
        <f>TRIM(Raw_Data_Copy!J498)</f>
        <v>0.05</v>
      </c>
      <c r="K498">
        <f>ROUND(Cleaned_data!$H498*Cleaned_data!$I498*(1-Cleaned_data!$J498),2)</f>
        <v>576</v>
      </c>
      <c r="L498" t="str">
        <f>PROPER(TRIM(Raw_Data_Copy!L498))</f>
        <v>Card</v>
      </c>
    </row>
    <row r="499" spans="1:12" x14ac:dyDescent="0.3">
      <c r="A499" t="str">
        <f>TRIM(Raw_Data_Copy!A499)</f>
        <v>ORD-0266</v>
      </c>
      <c r="B499" s="2">
        <v>45965</v>
      </c>
      <c r="C499" t="str">
        <f>TRIM(Raw_Data_Copy!C499)</f>
        <v>CUST-0117</v>
      </c>
      <c r="D499" t="str">
        <f>PROPER(TRIM(Raw_Data_Copy!D499))</f>
        <v>Ghana</v>
      </c>
      <c r="E499" t="str">
        <f>PROPER(TRIM(Raw_Data_Copy!E499))</f>
        <v>West Africa</v>
      </c>
      <c r="F499" t="str">
        <f>PROPER(TRIM(Raw_Data_Copy!F499))</f>
        <v>Office Chair</v>
      </c>
      <c r="G499" t="str">
        <f>PROPER(TRIM(Raw_Data_Copy!G499))</f>
        <v>Furniture</v>
      </c>
      <c r="H499" t="str">
        <f>TRIM(Raw_Data_Copy!H499)</f>
        <v>1</v>
      </c>
      <c r="I499" t="str">
        <f>TRIM(Raw_Data_Copy!I499)</f>
        <v>202.83</v>
      </c>
      <c r="J499" t="str">
        <f>TRIM(Raw_Data_Copy!J499)</f>
        <v>0.1</v>
      </c>
      <c r="K499">
        <f>ROUND(Cleaned_data!$H499*Cleaned_data!$I499*(1-Cleaned_data!$J499),2)</f>
        <v>182.55</v>
      </c>
      <c r="L499" t="str">
        <f>PROPER(TRIM(Raw_Data_Copy!L499))</f>
        <v>Mobile Money</v>
      </c>
    </row>
    <row r="500" spans="1:12" x14ac:dyDescent="0.3">
      <c r="A500" t="str">
        <f>TRIM(Raw_Data_Copy!A500)</f>
        <v>ORD-0420</v>
      </c>
      <c r="B500" s="2">
        <v>45965</v>
      </c>
      <c r="C500" t="str">
        <f>TRIM(Raw_Data_Copy!C500)</f>
        <v>CUST-0105</v>
      </c>
      <c r="D500" t="str">
        <f>PROPER(TRIM(Raw_Data_Copy!D500))</f>
        <v>United States</v>
      </c>
      <c r="E500" t="str">
        <f>PROPER(TRIM(Raw_Data_Copy!E500))</f>
        <v>North America</v>
      </c>
      <c r="F500" t="str">
        <f>PROPER(TRIM(Raw_Data_Copy!F500))</f>
        <v>Mouse</v>
      </c>
      <c r="G500" t="str">
        <f>PROPER(TRIM(Raw_Data_Copy!G500))</f>
        <v>Electronics</v>
      </c>
      <c r="H500" t="str">
        <f>TRIM(Raw_Data_Copy!H500)</f>
        <v>6</v>
      </c>
      <c r="I500" t="str">
        <f>TRIM(Raw_Data_Copy!I500)</f>
        <v>41.06</v>
      </c>
      <c r="J500" t="str">
        <f>TRIM(Raw_Data_Copy!J500)</f>
        <v>0</v>
      </c>
      <c r="K500">
        <f>ROUND(Cleaned_data!$H500*Cleaned_data!$I500*(1-Cleaned_data!$J500),2)</f>
        <v>246.36</v>
      </c>
      <c r="L500" t="str">
        <f>PROPER(TRIM(Raw_Data_Copy!L500))</f>
        <v>Card</v>
      </c>
    </row>
    <row r="501" spans="1:12" x14ac:dyDescent="0.3">
      <c r="A501" t="str">
        <f>TRIM(Raw_Data_Copy!A501)</f>
        <v>ORD-0451</v>
      </c>
      <c r="B501" s="2">
        <v>45965</v>
      </c>
      <c r="C501" t="str">
        <f>TRIM(Raw_Data_Copy!C501)</f>
        <v>CUST-0003</v>
      </c>
      <c r="D501" t="str">
        <f>PROPER(TRIM(Raw_Data_Copy!D501))</f>
        <v>Nigeria</v>
      </c>
      <c r="E501" t="str">
        <f>PROPER(TRIM(Raw_Data_Copy!E501))</f>
        <v>West Africa</v>
      </c>
      <c r="F501" t="str">
        <f>PROPER(TRIM(Raw_Data_Copy!F501))</f>
        <v>Notebook</v>
      </c>
      <c r="G501" t="str">
        <f>PROPER(TRIM(Raw_Data_Copy!G501))</f>
        <v>Office Supplies</v>
      </c>
      <c r="H501" t="str">
        <f>TRIM(Raw_Data_Copy!H501)</f>
        <v>1</v>
      </c>
      <c r="I501" t="str">
        <f>TRIM(Raw_Data_Copy!I501)</f>
        <v>14.09</v>
      </c>
      <c r="J501" t="str">
        <f>TRIM(Raw_Data_Copy!J501)</f>
        <v>0.05</v>
      </c>
      <c r="K501">
        <f>ROUND(Cleaned_data!$H501*Cleaned_data!$I501*(1-Cleaned_data!$J501),2)</f>
        <v>13.39</v>
      </c>
      <c r="L501" t="str">
        <f>PROPER(TRIM(Raw_Data_Copy!L501))</f>
        <v>Card</v>
      </c>
    </row>
    <row r="502" spans="1:12" x14ac:dyDescent="0.3">
      <c r="A502" t="str">
        <f>TRIM(Raw_Data_Copy!A502)</f>
        <v>ORD-0262</v>
      </c>
      <c r="B502" s="2">
        <v>45965</v>
      </c>
      <c r="C502" t="str">
        <f>TRIM(Raw_Data_Copy!C502)</f>
        <v>CUST-0164</v>
      </c>
      <c r="D502" t="str">
        <f>PROPER(TRIM(Raw_Data_Copy!D502))</f>
        <v>Kenya</v>
      </c>
      <c r="E502" t="str">
        <f>PROPER(TRIM(Raw_Data_Copy!E502))</f>
        <v>East Africa</v>
      </c>
      <c r="F502" t="str">
        <f>PROPER(TRIM(Raw_Data_Copy!F502))</f>
        <v>Monitor</v>
      </c>
      <c r="G502" t="str">
        <f>PROPER(TRIM(Raw_Data_Copy!G502))</f>
        <v>Electronics</v>
      </c>
      <c r="H502" t="str">
        <f>TRIM(Raw_Data_Copy!H502)</f>
        <v>8</v>
      </c>
      <c r="I502" t="str">
        <f>TRIM(Raw_Data_Copy!I502)</f>
        <v>318.84</v>
      </c>
      <c r="J502" t="str">
        <f>TRIM(Raw_Data_Copy!J502)</f>
        <v>0.15</v>
      </c>
      <c r="K502">
        <f>ROUND(Cleaned_data!$H502*Cleaned_data!$I502*(1-Cleaned_data!$J502),2)</f>
        <v>2168.11</v>
      </c>
      <c r="L502" t="str">
        <f>PROPER(TRIM(Raw_Data_Copy!L502))</f>
        <v>Card</v>
      </c>
    </row>
    <row r="503" spans="1:12" x14ac:dyDescent="0.3">
      <c r="A503" t="str">
        <f>TRIM(Raw_Data_Copy!A503)</f>
        <v>ORD-0124</v>
      </c>
      <c r="B503" s="2">
        <v>45966</v>
      </c>
      <c r="C503" t="str">
        <f>TRIM(Raw_Data_Copy!C503)</f>
        <v>CUST-0137</v>
      </c>
      <c r="D503" t="str">
        <f>PROPER(TRIM(Raw_Data_Copy!D503))</f>
        <v>Nigeria</v>
      </c>
      <c r="E503" t="str">
        <f>PROPER(TRIM(Raw_Data_Copy!E503))</f>
        <v>West Africa</v>
      </c>
      <c r="F503" t="str">
        <f>PROPER(TRIM(Raw_Data_Copy!F503))</f>
        <v>Backpack</v>
      </c>
      <c r="G503" t="str">
        <f>PROPER(TRIM(Raw_Data_Copy!G503))</f>
        <v>Accessories</v>
      </c>
      <c r="H503" t="str">
        <f>TRIM(Raw_Data_Copy!H503)</f>
        <v>7</v>
      </c>
      <c r="I503" t="str">
        <f>TRIM(Raw_Data_Copy!I503)</f>
        <v>70.91</v>
      </c>
      <c r="J503" t="str">
        <f>TRIM(Raw_Data_Copy!J503)</f>
        <v>0.15</v>
      </c>
      <c r="K503">
        <f>ROUND(Cleaned_data!$H503*Cleaned_data!$I503*(1-Cleaned_data!$J503),2)</f>
        <v>421.91</v>
      </c>
      <c r="L503" t="str">
        <f>PROPER(TRIM(Raw_Data_Copy!L503))</f>
        <v>Card</v>
      </c>
    </row>
    <row r="504" spans="1:12" x14ac:dyDescent="0.3">
      <c r="A504" t="str">
        <f>TRIM(Raw_Data_Copy!A504)</f>
        <v>ORD-0468</v>
      </c>
      <c r="B504" s="2">
        <v>45966</v>
      </c>
      <c r="C504" t="str">
        <f>TRIM(Raw_Data_Copy!C504)</f>
        <v>CUST-0079</v>
      </c>
      <c r="D504" t="str">
        <f>PROPER(TRIM(Raw_Data_Copy!D504))</f>
        <v>Nigeria</v>
      </c>
      <c r="E504" t="str">
        <f>PROPER(TRIM(Raw_Data_Copy!E504))</f>
        <v>West Africa</v>
      </c>
      <c r="F504" t="str">
        <f>PROPER(TRIM(Raw_Data_Copy!F504))</f>
        <v>Smartphone</v>
      </c>
      <c r="G504" t="str">
        <f>PROPER(TRIM(Raw_Data_Copy!G504))</f>
        <v>Electronics</v>
      </c>
      <c r="H504" t="str">
        <f>TRIM(Raw_Data_Copy!H504)</f>
        <v>5</v>
      </c>
      <c r="I504" t="str">
        <f>TRIM(Raw_Data_Copy!I504)</f>
        <v>607.63</v>
      </c>
      <c r="J504" t="str">
        <f>TRIM(Raw_Data_Copy!J504)</f>
        <v>0</v>
      </c>
      <c r="K504">
        <f>ROUND(Cleaned_data!$H504*Cleaned_data!$I504*(1-Cleaned_data!$J504),2)</f>
        <v>3038.15</v>
      </c>
      <c r="L504" t="str">
        <f>PROPER(TRIM(Raw_Data_Copy!L504))</f>
        <v>Mobile Money</v>
      </c>
    </row>
    <row r="505" spans="1:12" x14ac:dyDescent="0.3">
      <c r="A505" t="str">
        <f>TRIM(Raw_Data_Copy!A505)</f>
        <v>ORD-0496</v>
      </c>
      <c r="B505" s="2">
        <v>45966</v>
      </c>
      <c r="C505" t="str">
        <f>TRIM(Raw_Data_Copy!C505)</f>
        <v>CUST-0062</v>
      </c>
      <c r="D505" t="str">
        <f>PROPER(TRIM(Raw_Data_Copy!D505))</f>
        <v>Ghana</v>
      </c>
      <c r="E505" t="str">
        <f>PROPER(TRIM(Raw_Data_Copy!E505))</f>
        <v>West Africa</v>
      </c>
      <c r="F505" t="str">
        <f>PROPER(TRIM(Raw_Data_Copy!F505))</f>
        <v>Desk</v>
      </c>
      <c r="G505" t="str">
        <f>PROPER(TRIM(Raw_Data_Copy!G505))</f>
        <v>Furniture</v>
      </c>
      <c r="H505" t="str">
        <f>TRIM(Raw_Data_Copy!H505)</f>
        <v>2</v>
      </c>
      <c r="I505" t="str">
        <f>TRIM(Raw_Data_Copy!I505)</f>
        <v>377.7</v>
      </c>
      <c r="J505" t="str">
        <f>TRIM(Raw_Data_Copy!J505)</f>
        <v>0.05</v>
      </c>
      <c r="K505">
        <f>ROUND(Cleaned_data!$H505*Cleaned_data!$I505*(1-Cleaned_data!$J505),2)</f>
        <v>717.63</v>
      </c>
      <c r="L505" t="str">
        <f>PROPER(TRIM(Raw_Data_Copy!L505))</f>
        <v>Mobile Money</v>
      </c>
    </row>
    <row r="506" spans="1:12" x14ac:dyDescent="0.3">
      <c r="A506" t="str">
        <f>TRIM(Raw_Data_Copy!A506)</f>
        <v>ORD-0466</v>
      </c>
      <c r="B506" s="2">
        <v>45966</v>
      </c>
      <c r="C506" t="str">
        <f>TRIM(Raw_Data_Copy!C506)</f>
        <v>CUST-0034</v>
      </c>
      <c r="D506" t="str">
        <f>PROPER(TRIM(Raw_Data_Copy!D506))</f>
        <v>Nigeria</v>
      </c>
      <c r="E506" t="str">
        <f>PROPER(TRIM(Raw_Data_Copy!E506))</f>
        <v>West Africa</v>
      </c>
      <c r="F506" t="str">
        <f>PROPER(TRIM(Raw_Data_Copy!F506))</f>
        <v>Backpack</v>
      </c>
      <c r="G506" t="str">
        <f>PROPER(TRIM(Raw_Data_Copy!G506))</f>
        <v>Accessories</v>
      </c>
      <c r="H506" t="str">
        <f>TRIM(Raw_Data_Copy!H506)</f>
        <v>4</v>
      </c>
      <c r="I506" t="str">
        <f>TRIM(Raw_Data_Copy!I506)</f>
        <v>76.49</v>
      </c>
      <c r="J506" t="str">
        <f>TRIM(Raw_Data_Copy!J506)</f>
        <v>0.15</v>
      </c>
      <c r="K506">
        <f>ROUND(Cleaned_data!$H506*Cleaned_data!$I506*(1-Cleaned_data!$J506),2)</f>
        <v>260.07</v>
      </c>
      <c r="L506" t="str">
        <f>PROPER(TRIM(Raw_Data_Copy!L506))</f>
        <v>Mobile Money</v>
      </c>
    </row>
    <row r="507" spans="1:12" x14ac:dyDescent="0.3">
      <c r="A507" t="str">
        <f>TRIM(Raw_Data_Copy!A507)</f>
        <v>ORD-0338</v>
      </c>
      <c r="B507" s="2">
        <v>45966</v>
      </c>
      <c r="C507" t="str">
        <f>TRIM(Raw_Data_Copy!C507)</f>
        <v>CUST-0078</v>
      </c>
      <c r="D507" t="str">
        <f>PROPER(TRIM(Raw_Data_Copy!D507))</f>
        <v>Ghana</v>
      </c>
      <c r="E507" t="str">
        <f>PROPER(TRIM(Raw_Data_Copy!E507))</f>
        <v>West Africa</v>
      </c>
      <c r="F507" t="str">
        <f>PROPER(TRIM(Raw_Data_Copy!F507))</f>
        <v>Mouse</v>
      </c>
      <c r="G507" t="str">
        <f>PROPER(TRIM(Raw_Data_Copy!G507))</f>
        <v>Electronics</v>
      </c>
      <c r="H507" t="str">
        <f>TRIM(Raw_Data_Copy!H507)</f>
        <v>8</v>
      </c>
      <c r="I507" t="str">
        <f>TRIM(Raw_Data_Copy!I507)</f>
        <v>45.6</v>
      </c>
      <c r="J507" t="str">
        <f>TRIM(Raw_Data_Copy!J507)</f>
        <v>0.05</v>
      </c>
      <c r="K507">
        <f>ROUND(Cleaned_data!$H507*Cleaned_data!$I507*(1-Cleaned_data!$J507),2)</f>
        <v>346.56</v>
      </c>
      <c r="L507" t="str">
        <f>PROPER(TRIM(Raw_Data_Copy!L507))</f>
        <v>Bank Transfer</v>
      </c>
    </row>
    <row r="508" spans="1:12" x14ac:dyDescent="0.3">
      <c r="A508" t="str">
        <f>TRIM(Raw_Data_Copy!A508)</f>
        <v>ORD-0032</v>
      </c>
      <c r="B508" s="2">
        <v>45967</v>
      </c>
      <c r="C508" t="str">
        <f>TRIM(Raw_Data_Copy!C508)</f>
        <v>CUST-0163</v>
      </c>
      <c r="D508" t="str">
        <f>PROPER(TRIM(Raw_Data_Copy!D508))</f>
        <v>Ghana</v>
      </c>
      <c r="E508" t="str">
        <f>PROPER(TRIM(Raw_Data_Copy!E508))</f>
        <v>West Africa</v>
      </c>
      <c r="F508" t="str">
        <f>PROPER(TRIM(Raw_Data_Copy!F508))</f>
        <v>Headphones</v>
      </c>
      <c r="G508" t="str">
        <f>PROPER(TRIM(Raw_Data_Copy!G508))</f>
        <v>Electronics</v>
      </c>
      <c r="H508" t="str">
        <f>TRIM(Raw_Data_Copy!H508)</f>
        <v>1</v>
      </c>
      <c r="I508" t="str">
        <f>TRIM(Raw_Data_Copy!I508)</f>
        <v>108.12</v>
      </c>
      <c r="J508" t="str">
        <f>TRIM(Raw_Data_Copy!J508)</f>
        <v>0</v>
      </c>
      <c r="K508">
        <f>ROUND(Cleaned_data!$H508*Cleaned_data!$I508*(1-Cleaned_data!$J508),2)</f>
        <v>108.12</v>
      </c>
      <c r="L508" t="str">
        <f>PROPER(TRIM(Raw_Data_Copy!L508))</f>
        <v>Mobile Money</v>
      </c>
    </row>
    <row r="509" spans="1:12" x14ac:dyDescent="0.3">
      <c r="A509" t="str">
        <f>TRIM(Raw_Data_Copy!A509)</f>
        <v>ORD-0461</v>
      </c>
      <c r="B509" s="2">
        <v>45967</v>
      </c>
      <c r="C509" t="str">
        <f>TRIM(Raw_Data_Copy!C509)</f>
        <v>CUST-0148</v>
      </c>
      <c r="D509" t="str">
        <f>PROPER(TRIM(Raw_Data_Copy!D509))</f>
        <v>South Africa</v>
      </c>
      <c r="E509" t="str">
        <f>PROPER(TRIM(Raw_Data_Copy!E509))</f>
        <v>Southern Africa</v>
      </c>
      <c r="F509" t="str">
        <f>PROPER(TRIM(Raw_Data_Copy!F509))</f>
        <v>Backpack</v>
      </c>
      <c r="G509" t="str">
        <f>PROPER(TRIM(Raw_Data_Copy!G509))</f>
        <v>Accessories</v>
      </c>
      <c r="H509" t="str">
        <f>TRIM(Raw_Data_Copy!H509)</f>
        <v>7</v>
      </c>
      <c r="I509" t="str">
        <f>TRIM(Raw_Data_Copy!I509)</f>
        <v>76.98</v>
      </c>
      <c r="J509" t="str">
        <f>TRIM(Raw_Data_Copy!J509)</f>
        <v>0</v>
      </c>
      <c r="K509">
        <f>ROUND(Cleaned_data!$H509*Cleaned_data!$I509*(1-Cleaned_data!$J509),2)</f>
        <v>538.86</v>
      </c>
      <c r="L509" t="str">
        <f>PROPER(TRIM(Raw_Data_Copy!L509))</f>
        <v>Card</v>
      </c>
    </row>
    <row r="510" spans="1:12" x14ac:dyDescent="0.3">
      <c r="A510" t="str">
        <f>TRIM(Raw_Data_Copy!A510)</f>
        <v>ORD-0233</v>
      </c>
      <c r="B510" s="2">
        <v>45969</v>
      </c>
      <c r="C510" t="str">
        <f>TRIM(Raw_Data_Copy!C510)</f>
        <v>CUST-0170</v>
      </c>
      <c r="D510" t="str">
        <f>PROPER(TRIM(Raw_Data_Copy!D510))</f>
        <v>Kenya</v>
      </c>
      <c r="E510" t="str">
        <f>PROPER(TRIM(Raw_Data_Copy!E510))</f>
        <v>East Africa</v>
      </c>
      <c r="F510" t="str">
        <f>PROPER(TRIM(Raw_Data_Copy!F510))</f>
        <v>Monitor</v>
      </c>
      <c r="G510" t="str">
        <f>PROPER(TRIM(Raw_Data_Copy!G510))</f>
        <v>Electronics</v>
      </c>
      <c r="H510" t="str">
        <f>TRIM(Raw_Data_Copy!H510)</f>
        <v>7</v>
      </c>
      <c r="I510" t="str">
        <f>TRIM(Raw_Data_Copy!I510)</f>
        <v>321.56</v>
      </c>
      <c r="J510" t="str">
        <f>TRIM(Raw_Data_Copy!J510)</f>
        <v>0.2</v>
      </c>
      <c r="K510">
        <f>ROUND(Cleaned_data!$H510*Cleaned_data!$I510*(1-Cleaned_data!$J510),2)</f>
        <v>1800.74</v>
      </c>
      <c r="L510" t="str">
        <f>PROPER(TRIM(Raw_Data_Copy!L510))</f>
        <v>Card</v>
      </c>
    </row>
    <row r="511" spans="1:12" x14ac:dyDescent="0.3">
      <c r="A511" t="str">
        <f>TRIM(Raw_Data_Copy!A511)</f>
        <v>ORD-0416</v>
      </c>
      <c r="B511" s="2">
        <v>45969</v>
      </c>
      <c r="C511" t="str">
        <f>TRIM(Raw_Data_Copy!C511)</f>
        <v>CUST-0096</v>
      </c>
      <c r="D511" t="str">
        <f>PROPER(TRIM(Raw_Data_Copy!D511))</f>
        <v>Ghana</v>
      </c>
      <c r="E511" t="str">
        <f>PROPER(TRIM(Raw_Data_Copy!E511))</f>
        <v>West Africa</v>
      </c>
      <c r="F511" t="str">
        <f>PROPER(TRIM(Raw_Data_Copy!F511))</f>
        <v>Desk Lamp</v>
      </c>
      <c r="G511" t="str">
        <f>PROPER(TRIM(Raw_Data_Copy!G511))</f>
        <v>Furniture</v>
      </c>
      <c r="H511" t="str">
        <f>TRIM(Raw_Data_Copy!H511)</f>
        <v>2</v>
      </c>
      <c r="I511" t="str">
        <f>TRIM(Raw_Data_Copy!I511)</f>
        <v>55.9</v>
      </c>
      <c r="J511" t="str">
        <f>TRIM(Raw_Data_Copy!J511)</f>
        <v>0.3</v>
      </c>
      <c r="K511">
        <f>ROUND(Cleaned_data!$H511*Cleaned_data!$I511*(1-Cleaned_data!$J511),2)</f>
        <v>78.260000000000005</v>
      </c>
      <c r="L511" t="str">
        <f>PROPER(TRIM(Raw_Data_Copy!L511))</f>
        <v>Card</v>
      </c>
    </row>
    <row r="512" spans="1:12" x14ac:dyDescent="0.3">
      <c r="A512" t="str">
        <f>TRIM(Raw_Data_Copy!A512)</f>
        <v>ORD-0501</v>
      </c>
      <c r="B512" s="2">
        <v>45970</v>
      </c>
      <c r="C512" t="str">
        <f>TRIM(Raw_Data_Copy!C512)</f>
        <v>CUST-0049</v>
      </c>
      <c r="D512" t="str">
        <f>PROPER(TRIM(Raw_Data_Copy!D512))</f>
        <v>United States</v>
      </c>
      <c r="E512" t="str">
        <f>PROPER(TRIM(Raw_Data_Copy!E512))</f>
        <v>North America</v>
      </c>
      <c r="F512" t="str">
        <f>PROPER(TRIM(Raw_Data_Copy!F512))</f>
        <v>Desk Lamp</v>
      </c>
      <c r="G512" t="str">
        <f>PROPER(TRIM(Raw_Data_Copy!G512))</f>
        <v>Furniture</v>
      </c>
      <c r="H512" t="str">
        <f>TRIM(Raw_Data_Copy!H512)</f>
        <v>7</v>
      </c>
      <c r="I512" t="str">
        <f>TRIM(Raw_Data_Copy!I512)</f>
        <v>55.46</v>
      </c>
      <c r="J512" t="str">
        <f>TRIM(Raw_Data_Copy!J512)</f>
        <v>0.25</v>
      </c>
      <c r="K512">
        <f>ROUND(Cleaned_data!$H512*Cleaned_data!$I512*(1-Cleaned_data!$J512),2)</f>
        <v>291.17</v>
      </c>
      <c r="L512" t="str">
        <f>PROPER(TRIM(Raw_Data_Copy!L512))</f>
        <v>Card</v>
      </c>
    </row>
    <row r="513" spans="1:12" x14ac:dyDescent="0.3">
      <c r="A513" t="str">
        <f>TRIM(Raw_Data_Copy!A513)</f>
        <v>ORD-0407</v>
      </c>
      <c r="B513" s="2">
        <v>45970</v>
      </c>
      <c r="C513" t="str">
        <f>TRIM(Raw_Data_Copy!C513)</f>
        <v>CUST-0049</v>
      </c>
      <c r="D513" t="str">
        <f>PROPER(TRIM(Raw_Data_Copy!D513))</f>
        <v>South Africa</v>
      </c>
      <c r="E513" t="str">
        <f>PROPER(TRIM(Raw_Data_Copy!E513))</f>
        <v>Southern Africa</v>
      </c>
      <c r="F513" t="str">
        <f>PROPER(TRIM(Raw_Data_Copy!F513))</f>
        <v>Backpack</v>
      </c>
      <c r="G513" t="str">
        <f>PROPER(TRIM(Raw_Data_Copy!G513))</f>
        <v>Accessories</v>
      </c>
      <c r="H513" t="str">
        <f>TRIM(Raw_Data_Copy!H513)</f>
        <v>1</v>
      </c>
      <c r="I513" t="str">
        <f>TRIM(Raw_Data_Copy!I513)</f>
        <v>80.85</v>
      </c>
      <c r="J513" t="str">
        <f>TRIM(Raw_Data_Copy!J513)</f>
        <v>0.05</v>
      </c>
      <c r="K513">
        <f>ROUND(Cleaned_data!$H513*Cleaned_data!$I513*(1-Cleaned_data!$J513),2)</f>
        <v>76.81</v>
      </c>
      <c r="L513" t="str">
        <f>PROPER(TRIM(Raw_Data_Copy!L513))</f>
        <v>Card</v>
      </c>
    </row>
    <row r="514" spans="1:12" x14ac:dyDescent="0.3">
      <c r="A514" t="str">
        <f>TRIM(Raw_Data_Copy!A514)</f>
        <v>ORD-0488</v>
      </c>
      <c r="B514" s="2">
        <v>45970</v>
      </c>
      <c r="C514" t="str">
        <f>TRIM(Raw_Data_Copy!C514)</f>
        <v>CUST-0127</v>
      </c>
      <c r="D514" t="str">
        <f>PROPER(TRIM(Raw_Data_Copy!D514))</f>
        <v>Kenya</v>
      </c>
      <c r="E514" t="str">
        <f>PROPER(TRIM(Raw_Data_Copy!E514))</f>
        <v>East Africa</v>
      </c>
      <c r="F514" t="str">
        <f>PROPER(TRIM(Raw_Data_Copy!F514))</f>
        <v>Desk</v>
      </c>
      <c r="G514" t="str">
        <f>PROPER(TRIM(Raw_Data_Copy!G514))</f>
        <v>Furniture</v>
      </c>
      <c r="H514" t="str">
        <f>TRIM(Raw_Data_Copy!H514)</f>
        <v>2</v>
      </c>
      <c r="I514" t="str">
        <f>TRIM(Raw_Data_Copy!I514)</f>
        <v>376.91</v>
      </c>
      <c r="J514" t="str">
        <f>TRIM(Raw_Data_Copy!J514)</f>
        <v>0.05</v>
      </c>
      <c r="K514">
        <f>ROUND(Cleaned_data!$H514*Cleaned_data!$I514*(1-Cleaned_data!$J514),2)</f>
        <v>716.13</v>
      </c>
      <c r="L514" t="str">
        <f>PROPER(TRIM(Raw_Data_Copy!L514))</f>
        <v>Mobile Money</v>
      </c>
    </row>
    <row r="515" spans="1:12" x14ac:dyDescent="0.3">
      <c r="A515" t="str">
        <f>TRIM(Raw_Data_Copy!A515)</f>
        <v>ORD-0165</v>
      </c>
      <c r="B515" s="2">
        <v>45970</v>
      </c>
      <c r="C515" t="str">
        <f>TRIM(Raw_Data_Copy!C515)</f>
        <v>CUST-0169</v>
      </c>
      <c r="D515" t="str">
        <f>PROPER(TRIM(Raw_Data_Copy!D515))</f>
        <v>Nigeria</v>
      </c>
      <c r="E515" t="str">
        <f>PROPER(TRIM(Raw_Data_Copy!E515))</f>
        <v>West Africa</v>
      </c>
      <c r="F515" t="str">
        <f>PROPER(TRIM(Raw_Data_Copy!F515))</f>
        <v>Backpack</v>
      </c>
      <c r="G515" t="str">
        <f>PROPER(TRIM(Raw_Data_Copy!G515))</f>
        <v>Accessories</v>
      </c>
      <c r="H515" t="str">
        <f>TRIM(Raw_Data_Copy!H515)</f>
        <v>5</v>
      </c>
      <c r="I515" t="str">
        <f>TRIM(Raw_Data_Copy!I515)</f>
        <v>79.96</v>
      </c>
      <c r="J515" t="str">
        <f>TRIM(Raw_Data_Copy!J515)</f>
        <v>0</v>
      </c>
      <c r="K515">
        <f>ROUND(Cleaned_data!$H515*Cleaned_data!$I515*(1-Cleaned_data!$J515),2)</f>
        <v>399.8</v>
      </c>
      <c r="L515" t="str">
        <f>PROPER(TRIM(Raw_Data_Copy!L515))</f>
        <v>Card</v>
      </c>
    </row>
    <row r="516" spans="1:12" x14ac:dyDescent="0.3">
      <c r="A516" t="str">
        <f>TRIM(Raw_Data_Copy!A516)</f>
        <v>ORD-0599</v>
      </c>
      <c r="B516" s="2">
        <v>45971</v>
      </c>
      <c r="C516" t="str">
        <f>TRIM(Raw_Data_Copy!C516)</f>
        <v>CUST-0094</v>
      </c>
      <c r="D516" t="str">
        <f>PROPER(TRIM(Raw_Data_Copy!D516))</f>
        <v>United Kingdom</v>
      </c>
      <c r="E516" t="str">
        <f>PROPER(TRIM(Raw_Data_Copy!E516))</f>
        <v>Europe</v>
      </c>
      <c r="F516" t="str">
        <f>PROPER(TRIM(Raw_Data_Copy!F516))</f>
        <v>Smartphone</v>
      </c>
      <c r="G516" t="str">
        <f>PROPER(TRIM(Raw_Data_Copy!G516))</f>
        <v>Electronics</v>
      </c>
      <c r="H516" t="str">
        <f>TRIM(Raw_Data_Copy!H516)</f>
        <v>5</v>
      </c>
      <c r="I516" t="str">
        <f>TRIM(Raw_Data_Copy!I516)</f>
        <v>658.5</v>
      </c>
      <c r="J516" t="str">
        <f>TRIM(Raw_Data_Copy!J516)</f>
        <v>0.1</v>
      </c>
      <c r="K516">
        <f>ROUND(Cleaned_data!$H516*Cleaned_data!$I516*(1-Cleaned_data!$J516),2)</f>
        <v>2963.25</v>
      </c>
      <c r="L516" t="str">
        <f>PROPER(TRIM(Raw_Data_Copy!L516))</f>
        <v>Bank Transfer</v>
      </c>
    </row>
    <row r="517" spans="1:12" x14ac:dyDescent="0.3">
      <c r="A517" t="str">
        <f>TRIM(Raw_Data_Copy!A517)</f>
        <v>ORD-0486</v>
      </c>
      <c r="B517" s="2">
        <v>45971</v>
      </c>
      <c r="C517" t="str">
        <f>TRIM(Raw_Data_Copy!C517)</f>
        <v>CUST-0039</v>
      </c>
      <c r="D517" t="str">
        <f>PROPER(TRIM(Raw_Data_Copy!D517))</f>
        <v>Ghana</v>
      </c>
      <c r="E517" t="str">
        <f>PROPER(TRIM(Raw_Data_Copy!E517))</f>
        <v>West Africa</v>
      </c>
      <c r="F517" t="str">
        <f>PROPER(TRIM(Raw_Data_Copy!F517))</f>
        <v>Monitor</v>
      </c>
      <c r="G517" t="str">
        <f>PROPER(TRIM(Raw_Data_Copy!G517))</f>
        <v>Electronics</v>
      </c>
      <c r="H517" t="str">
        <f>TRIM(Raw_Data_Copy!H517)</f>
        <v>8</v>
      </c>
      <c r="I517" t="str">
        <f>TRIM(Raw_Data_Copy!I517)</f>
        <v>317.18</v>
      </c>
      <c r="J517" t="str">
        <f>TRIM(Raw_Data_Copy!J517)</f>
        <v>0.15</v>
      </c>
      <c r="K517">
        <f>ROUND(Cleaned_data!$H517*Cleaned_data!$I517*(1-Cleaned_data!$J517),2)</f>
        <v>2156.8200000000002</v>
      </c>
      <c r="L517" t="str">
        <f>PROPER(TRIM(Raw_Data_Copy!L517))</f>
        <v>Card</v>
      </c>
    </row>
    <row r="518" spans="1:12" x14ac:dyDescent="0.3">
      <c r="A518" t="str">
        <f>TRIM(Raw_Data_Copy!A518)</f>
        <v>ORD-0435</v>
      </c>
      <c r="B518" s="2">
        <v>45972</v>
      </c>
      <c r="C518" t="str">
        <f>TRIM(Raw_Data_Copy!C518)</f>
        <v>CUST-0041</v>
      </c>
      <c r="D518" t="str">
        <f>PROPER(TRIM(Raw_Data_Copy!D518))</f>
        <v>United Kingdom</v>
      </c>
      <c r="E518" t="str">
        <f>PROPER(TRIM(Raw_Data_Copy!E518))</f>
        <v>Europe</v>
      </c>
      <c r="F518" t="str">
        <f>PROPER(TRIM(Raw_Data_Copy!F518))</f>
        <v>Laptop</v>
      </c>
      <c r="G518" t="str">
        <f>PROPER(TRIM(Raw_Data_Copy!G518))</f>
        <v>Electronics</v>
      </c>
      <c r="H518" t="str">
        <f>TRIM(Raw_Data_Copy!H518)</f>
        <v>2</v>
      </c>
      <c r="I518" t="str">
        <f>TRIM(Raw_Data_Copy!I518)</f>
        <v>967.92</v>
      </c>
      <c r="J518" t="str">
        <f>TRIM(Raw_Data_Copy!J518)</f>
        <v>0.3</v>
      </c>
      <c r="K518">
        <f>ROUND(Cleaned_data!$H518*Cleaned_data!$I518*(1-Cleaned_data!$J518),2)</f>
        <v>1355.09</v>
      </c>
      <c r="L518" t="str">
        <f>PROPER(TRIM(Raw_Data_Copy!L518))</f>
        <v>Card</v>
      </c>
    </row>
    <row r="519" spans="1:12" x14ac:dyDescent="0.3">
      <c r="A519" t="str">
        <f>TRIM(Raw_Data_Copy!A519)</f>
        <v>ORD-0100</v>
      </c>
      <c r="B519" s="2">
        <v>45972</v>
      </c>
      <c r="C519" t="str">
        <f>TRIM(Raw_Data_Copy!C519)</f>
        <v>CUST-0109</v>
      </c>
      <c r="D519" t="str">
        <f>PROPER(TRIM(Raw_Data_Copy!D519))</f>
        <v>Nigeria</v>
      </c>
      <c r="E519" t="str">
        <f>PROPER(TRIM(Raw_Data_Copy!E519))</f>
        <v>West Africa</v>
      </c>
      <c r="F519" t="str">
        <f>PROPER(TRIM(Raw_Data_Copy!F519))</f>
        <v>Desk</v>
      </c>
      <c r="G519" t="str">
        <f>PROPER(TRIM(Raw_Data_Copy!G519))</f>
        <v>Furniture</v>
      </c>
      <c r="H519" t="str">
        <f>TRIM(Raw_Data_Copy!H519)</f>
        <v>6</v>
      </c>
      <c r="I519" t="str">
        <f>TRIM(Raw_Data_Copy!I519)</f>
        <v>377.98</v>
      </c>
      <c r="J519" t="str">
        <f>TRIM(Raw_Data_Copy!J519)</f>
        <v>0.15</v>
      </c>
      <c r="K519">
        <f>ROUND(Cleaned_data!$H519*Cleaned_data!$I519*(1-Cleaned_data!$J519),2)</f>
        <v>1927.7</v>
      </c>
      <c r="L519" t="str">
        <f>PROPER(TRIM(Raw_Data_Copy!L519))</f>
        <v>Card</v>
      </c>
    </row>
    <row r="520" spans="1:12" x14ac:dyDescent="0.3">
      <c r="A520" t="str">
        <f>TRIM(Raw_Data_Copy!A520)</f>
        <v>ORD-0252</v>
      </c>
      <c r="B520" s="2">
        <v>45973</v>
      </c>
      <c r="C520" t="str">
        <f>TRIM(Raw_Data_Copy!C520)</f>
        <v>CUST-0101</v>
      </c>
      <c r="D520" t="str">
        <f>PROPER(TRIM(Raw_Data_Copy!D520))</f>
        <v>United States</v>
      </c>
      <c r="E520" t="str">
        <f>PROPER(TRIM(Raw_Data_Copy!E520))</f>
        <v>North America</v>
      </c>
      <c r="F520" t="str">
        <f>PROPER(TRIM(Raw_Data_Copy!F520))</f>
        <v>Smartphone</v>
      </c>
      <c r="G520" t="str">
        <f>PROPER(TRIM(Raw_Data_Copy!G520))</f>
        <v>Electronics</v>
      </c>
      <c r="H520" t="str">
        <f>TRIM(Raw_Data_Copy!H520)</f>
        <v>7</v>
      </c>
      <c r="I520" t="str">
        <f>TRIM(Raw_Data_Copy!I520)</f>
        <v>606.03</v>
      </c>
      <c r="J520" t="str">
        <f>TRIM(Raw_Data_Copy!J520)</f>
        <v>0.2</v>
      </c>
      <c r="K520">
        <f>ROUND(Cleaned_data!$H520*Cleaned_data!$I520*(1-Cleaned_data!$J520),2)</f>
        <v>3393.77</v>
      </c>
      <c r="L520" t="str">
        <f>PROPER(TRIM(Raw_Data_Copy!L520))</f>
        <v>Mobile Money</v>
      </c>
    </row>
    <row r="521" spans="1:12" x14ac:dyDescent="0.3">
      <c r="A521" t="str">
        <f>TRIM(Raw_Data_Copy!A521)</f>
        <v>ORD-0171</v>
      </c>
      <c r="B521" s="2">
        <v>45973</v>
      </c>
      <c r="C521" t="str">
        <f>TRIM(Raw_Data_Copy!C521)</f>
        <v>CUST-0176</v>
      </c>
      <c r="D521" t="str">
        <f>PROPER(TRIM(Raw_Data_Copy!D521))</f>
        <v>Nigeria</v>
      </c>
      <c r="E521" t="str">
        <f>PROPER(TRIM(Raw_Data_Copy!E521))</f>
        <v>West Africa</v>
      </c>
      <c r="F521" t="str">
        <f>PROPER(TRIM(Raw_Data_Copy!F521))</f>
        <v>Keyboard</v>
      </c>
      <c r="G521" t="str">
        <f>PROPER(TRIM(Raw_Data_Copy!G521))</f>
        <v>Electronics</v>
      </c>
      <c r="H521" t="str">
        <f>TRIM(Raw_Data_Copy!H521)</f>
        <v>3</v>
      </c>
      <c r="I521" t="str">
        <f>TRIM(Raw_Data_Copy!I521)</f>
        <v>83.57</v>
      </c>
      <c r="J521" t="str">
        <f>TRIM(Raw_Data_Copy!J521)</f>
        <v>0.1</v>
      </c>
      <c r="K521">
        <f>ROUND(Cleaned_data!$H521*Cleaned_data!$I521*(1-Cleaned_data!$J521),2)</f>
        <v>225.64</v>
      </c>
      <c r="L521" t="str">
        <f>PROPER(TRIM(Raw_Data_Copy!L521))</f>
        <v>Card</v>
      </c>
    </row>
    <row r="522" spans="1:12" x14ac:dyDescent="0.3">
      <c r="A522" t="str">
        <f>TRIM(Raw_Data_Copy!A522)</f>
        <v>ORD-0337</v>
      </c>
      <c r="B522" s="2">
        <v>45974</v>
      </c>
      <c r="C522" t="str">
        <f>TRIM(Raw_Data_Copy!C522)</f>
        <v>CUST-0164</v>
      </c>
      <c r="D522" t="str">
        <f>PROPER(TRIM(Raw_Data_Copy!D522))</f>
        <v>Nigeria</v>
      </c>
      <c r="E522" t="str">
        <f>PROPER(TRIM(Raw_Data_Copy!E522))</f>
        <v>West Africa</v>
      </c>
      <c r="F522" t="str">
        <f>PROPER(TRIM(Raw_Data_Copy!F522))</f>
        <v>Monitor</v>
      </c>
      <c r="G522" t="str">
        <f>PROPER(TRIM(Raw_Data_Copy!G522))</f>
        <v>Electronics</v>
      </c>
      <c r="H522" t="str">
        <f>TRIM(Raw_Data_Copy!H522)</f>
        <v>1</v>
      </c>
      <c r="I522" t="str">
        <f>TRIM(Raw_Data_Copy!I522)</f>
        <v>286.89</v>
      </c>
      <c r="J522" t="str">
        <f>TRIM(Raw_Data_Copy!J522)</f>
        <v>0.2</v>
      </c>
      <c r="K522">
        <f>ROUND(Cleaned_data!$H522*Cleaned_data!$I522*(1-Cleaned_data!$J522),2)</f>
        <v>229.51</v>
      </c>
      <c r="L522" t="str">
        <f>PROPER(TRIM(Raw_Data_Copy!L522))</f>
        <v>Card</v>
      </c>
    </row>
    <row r="523" spans="1:12" x14ac:dyDescent="0.3">
      <c r="A523" t="str">
        <f>TRIM(Raw_Data_Copy!A523)</f>
        <v>ORD-0035</v>
      </c>
      <c r="B523" s="2">
        <v>45974</v>
      </c>
      <c r="C523" t="str">
        <f>TRIM(Raw_Data_Copy!C523)</f>
        <v>CUST-0048</v>
      </c>
      <c r="D523" t="str">
        <f>PROPER(TRIM(Raw_Data_Copy!D523))</f>
        <v>Kenya</v>
      </c>
      <c r="E523" t="str">
        <f>PROPER(TRIM(Raw_Data_Copy!E523))</f>
        <v>East Africa</v>
      </c>
      <c r="F523" t="str">
        <f>PROPER(TRIM(Raw_Data_Copy!F523))</f>
        <v>Keyboard</v>
      </c>
      <c r="G523" t="str">
        <f>PROPER(TRIM(Raw_Data_Copy!G523))</f>
        <v>Electronics</v>
      </c>
      <c r="H523" t="str">
        <f>TRIM(Raw_Data_Copy!H523)</f>
        <v>3</v>
      </c>
      <c r="I523" t="str">
        <f>TRIM(Raw_Data_Copy!I523)</f>
        <v>78.95</v>
      </c>
      <c r="J523" t="str">
        <f>TRIM(Raw_Data_Copy!J523)</f>
        <v>0.05</v>
      </c>
      <c r="K523">
        <f>ROUND(Cleaned_data!$H523*Cleaned_data!$I523*(1-Cleaned_data!$J523),2)</f>
        <v>225.01</v>
      </c>
      <c r="L523" t="str">
        <f>PROPER(TRIM(Raw_Data_Copy!L523))</f>
        <v>Mobile Money</v>
      </c>
    </row>
    <row r="524" spans="1:12" x14ac:dyDescent="0.3">
      <c r="A524" t="str">
        <f>TRIM(Raw_Data_Copy!A524)</f>
        <v>ORD-0160</v>
      </c>
      <c r="B524" s="2">
        <v>45975</v>
      </c>
      <c r="C524" t="str">
        <f>TRIM(Raw_Data_Copy!C524)</f>
        <v>CUST-0016</v>
      </c>
      <c r="D524" t="str">
        <f>PROPER(TRIM(Raw_Data_Copy!D524))</f>
        <v>Kenya</v>
      </c>
      <c r="E524" t="str">
        <f>PROPER(TRIM(Raw_Data_Copy!E524))</f>
        <v>East Africa</v>
      </c>
      <c r="F524" t="str">
        <f>PROPER(TRIM(Raw_Data_Copy!F524))</f>
        <v>Headphones</v>
      </c>
      <c r="G524" t="str">
        <f>PROPER(TRIM(Raw_Data_Copy!G524))</f>
        <v>Electronics</v>
      </c>
      <c r="H524" t="str">
        <f>TRIM(Raw_Data_Copy!H524)</f>
        <v>3</v>
      </c>
      <c r="I524" t="str">
        <f>TRIM(Raw_Data_Copy!I524)</f>
        <v>131.95</v>
      </c>
      <c r="J524" t="str">
        <f>TRIM(Raw_Data_Copy!J524)</f>
        <v>0.05</v>
      </c>
      <c r="K524">
        <f>ROUND(Cleaned_data!$H524*Cleaned_data!$I524*(1-Cleaned_data!$J524),2)</f>
        <v>376.06</v>
      </c>
      <c r="L524" t="str">
        <f>PROPER(TRIM(Raw_Data_Copy!L524))</f>
        <v>Bank Transfer</v>
      </c>
    </row>
    <row r="525" spans="1:12" x14ac:dyDescent="0.3">
      <c r="A525" t="str">
        <f>TRIM(Raw_Data_Copy!A525)</f>
        <v>ORD-0313</v>
      </c>
      <c r="B525" s="2">
        <v>45976</v>
      </c>
      <c r="C525" t="str">
        <f>TRIM(Raw_Data_Copy!C525)</f>
        <v>CUST-0049</v>
      </c>
      <c r="D525" t="str">
        <f>PROPER(TRIM(Raw_Data_Copy!D525))</f>
        <v>Nigeria</v>
      </c>
      <c r="E525" t="str">
        <f>PROPER(TRIM(Raw_Data_Copy!E525))</f>
        <v>West Africa</v>
      </c>
      <c r="F525" t="str">
        <f>PROPER(TRIM(Raw_Data_Copy!F525))</f>
        <v>Keyboard</v>
      </c>
      <c r="G525" t="str">
        <f>PROPER(TRIM(Raw_Data_Copy!G525))</f>
        <v>Electronics</v>
      </c>
      <c r="H525" t="str">
        <f>TRIM(Raw_Data_Copy!H525)</f>
        <v>6</v>
      </c>
      <c r="I525" t="str">
        <f>TRIM(Raw_Data_Copy!I525)</f>
        <v>84.9</v>
      </c>
      <c r="J525" t="str">
        <f>TRIM(Raw_Data_Copy!J525)</f>
        <v>0.1</v>
      </c>
      <c r="K525">
        <f>ROUND(Cleaned_data!$H525*Cleaned_data!$I525*(1-Cleaned_data!$J525),2)</f>
        <v>458.46</v>
      </c>
      <c r="L525" t="str">
        <f>PROPER(TRIM(Raw_Data_Copy!L525))</f>
        <v>Card</v>
      </c>
    </row>
    <row r="526" spans="1:12" x14ac:dyDescent="0.3">
      <c r="A526" t="str">
        <f>TRIM(Raw_Data_Copy!A526)</f>
        <v>ORD-0476</v>
      </c>
      <c r="B526" s="2">
        <v>45976</v>
      </c>
      <c r="C526" t="str">
        <f>TRIM(Raw_Data_Copy!C526)</f>
        <v>CUST-0077</v>
      </c>
      <c r="D526" t="str">
        <f>PROPER(TRIM(Raw_Data_Copy!D526))</f>
        <v>South Africa</v>
      </c>
      <c r="E526" t="str">
        <f>PROPER(TRIM(Raw_Data_Copy!E526))</f>
        <v>Southern Africa</v>
      </c>
      <c r="F526" t="str">
        <f>PROPER(TRIM(Raw_Data_Copy!F526))</f>
        <v>Monitor</v>
      </c>
      <c r="G526" t="str">
        <f>PROPER(TRIM(Raw_Data_Copy!G526))</f>
        <v>Electronics</v>
      </c>
      <c r="H526" t="str">
        <f>TRIM(Raw_Data_Copy!H526)</f>
        <v>2</v>
      </c>
      <c r="I526" t="str">
        <f>TRIM(Raw_Data_Copy!I526)</f>
        <v>323.1</v>
      </c>
      <c r="J526" t="str">
        <f>TRIM(Raw_Data_Copy!J526)</f>
        <v>0.1</v>
      </c>
      <c r="K526">
        <f>ROUND(Cleaned_data!$H526*Cleaned_data!$I526*(1-Cleaned_data!$J526),2)</f>
        <v>581.58000000000004</v>
      </c>
      <c r="L526" t="str">
        <f>PROPER(TRIM(Raw_Data_Copy!L526))</f>
        <v>Mobile Money</v>
      </c>
    </row>
    <row r="527" spans="1:12" x14ac:dyDescent="0.3">
      <c r="A527" t="str">
        <f>TRIM(Raw_Data_Copy!A527)</f>
        <v>ORD-0286</v>
      </c>
      <c r="B527" s="2">
        <v>45977</v>
      </c>
      <c r="C527" t="str">
        <f>TRIM(Raw_Data_Copy!C527)</f>
        <v>CUST-0106</v>
      </c>
      <c r="D527" t="str">
        <f>PROPER(TRIM(Raw_Data_Copy!D527))</f>
        <v>United Kingdom</v>
      </c>
      <c r="E527" t="str">
        <f>PROPER(TRIM(Raw_Data_Copy!E527))</f>
        <v>Europe</v>
      </c>
      <c r="F527" t="str">
        <f>PROPER(TRIM(Raw_Data_Copy!F527))</f>
        <v>Desk Lamp</v>
      </c>
      <c r="G527" t="str">
        <f>PROPER(TRIM(Raw_Data_Copy!G527))</f>
        <v>Furniture</v>
      </c>
      <c r="H527" t="str">
        <f>TRIM(Raw_Data_Copy!H527)</f>
        <v>5</v>
      </c>
      <c r="I527" t="str">
        <f>TRIM(Raw_Data_Copy!I527)</f>
        <v>59.2</v>
      </c>
      <c r="J527" t="str">
        <f>TRIM(Raw_Data_Copy!J527)</f>
        <v>0.05</v>
      </c>
      <c r="K527">
        <f>ROUND(Cleaned_data!$H527*Cleaned_data!$I527*(1-Cleaned_data!$J527),2)</f>
        <v>281.2</v>
      </c>
      <c r="L527" t="str">
        <f>PROPER(TRIM(Raw_Data_Copy!L527))</f>
        <v>Card</v>
      </c>
    </row>
    <row r="528" spans="1:12" x14ac:dyDescent="0.3">
      <c r="A528" t="str">
        <f>TRIM(Raw_Data_Copy!A528)</f>
        <v>ORD-0191</v>
      </c>
      <c r="B528" s="2">
        <v>45977</v>
      </c>
      <c r="C528" t="str">
        <f>TRIM(Raw_Data_Copy!C528)</f>
        <v>CUST-0082</v>
      </c>
      <c r="D528" t="str">
        <f>PROPER(TRIM(Raw_Data_Copy!D528))</f>
        <v>United Kingdom</v>
      </c>
      <c r="E528" t="str">
        <f>PROPER(TRIM(Raw_Data_Copy!E528))</f>
        <v>Europe</v>
      </c>
      <c r="F528" t="str">
        <f>PROPER(TRIM(Raw_Data_Copy!F528))</f>
        <v>Notebook</v>
      </c>
      <c r="G528" t="str">
        <f>PROPER(TRIM(Raw_Data_Copy!G528))</f>
        <v>Office Supplies</v>
      </c>
      <c r="H528" t="str">
        <f>TRIM(Raw_Data_Copy!H528)</f>
        <v>8</v>
      </c>
      <c r="I528" t="str">
        <f>TRIM(Raw_Data_Copy!I528)</f>
        <v>14.87</v>
      </c>
      <c r="J528" t="str">
        <f>TRIM(Raw_Data_Copy!J528)</f>
        <v>0</v>
      </c>
      <c r="K528">
        <f>ROUND(Cleaned_data!$H528*Cleaned_data!$I528*(1-Cleaned_data!$J528),2)</f>
        <v>118.96</v>
      </c>
      <c r="L528" t="str">
        <f>PROPER(TRIM(Raw_Data_Copy!L528))</f>
        <v>Card</v>
      </c>
    </row>
    <row r="529" spans="1:12" x14ac:dyDescent="0.3">
      <c r="A529" t="str">
        <f>TRIM(Raw_Data_Copy!A529)</f>
        <v>ORD-0038</v>
      </c>
      <c r="B529" s="2">
        <v>45980</v>
      </c>
      <c r="C529" t="str">
        <f>TRIM(Raw_Data_Copy!C529)</f>
        <v>CUST-0128</v>
      </c>
      <c r="D529" t="str">
        <f>PROPER(TRIM(Raw_Data_Copy!D529))</f>
        <v>United States</v>
      </c>
      <c r="E529" t="str">
        <f>PROPER(TRIM(Raw_Data_Copy!E529))</f>
        <v>North America</v>
      </c>
      <c r="F529" t="str">
        <f>PROPER(TRIM(Raw_Data_Copy!F529))</f>
        <v>Office Chair</v>
      </c>
      <c r="G529" t="str">
        <f>PROPER(TRIM(Raw_Data_Copy!G529))</f>
        <v>Furniture</v>
      </c>
      <c r="H529" t="str">
        <f>TRIM(Raw_Data_Copy!H529)</f>
        <v>7</v>
      </c>
      <c r="I529" t="str">
        <f>TRIM(Raw_Data_Copy!I529)</f>
        <v>211.45</v>
      </c>
      <c r="J529" t="str">
        <f>TRIM(Raw_Data_Copy!J529)</f>
        <v>0</v>
      </c>
      <c r="K529">
        <f>ROUND(Cleaned_data!$H529*Cleaned_data!$I529*(1-Cleaned_data!$J529),2)</f>
        <v>1480.15</v>
      </c>
      <c r="L529" t="str">
        <f>PROPER(TRIM(Raw_Data_Copy!L529))</f>
        <v>Card</v>
      </c>
    </row>
    <row r="530" spans="1:12" x14ac:dyDescent="0.3">
      <c r="A530" t="str">
        <f>TRIM(Raw_Data_Copy!A530)</f>
        <v>ORD-0222</v>
      </c>
      <c r="B530" s="2">
        <v>45981</v>
      </c>
      <c r="C530" t="str">
        <f>TRIM(Raw_Data_Copy!C530)</f>
        <v>CUST-0098</v>
      </c>
      <c r="D530" t="str">
        <f>PROPER(TRIM(Raw_Data_Copy!D530))</f>
        <v>United States</v>
      </c>
      <c r="E530" t="str">
        <f>PROPER(TRIM(Raw_Data_Copy!E530))</f>
        <v>North America</v>
      </c>
      <c r="F530" t="str">
        <f>PROPER(TRIM(Raw_Data_Copy!F530))</f>
        <v>Mouse</v>
      </c>
      <c r="G530" t="str">
        <f>PROPER(TRIM(Raw_Data_Copy!G530))</f>
        <v>Electronics</v>
      </c>
      <c r="H530" t="str">
        <f>TRIM(Raw_Data_Copy!H530)</f>
        <v>1</v>
      </c>
      <c r="I530" t="str">
        <f>TRIM(Raw_Data_Copy!I530)</f>
        <v>48.34</v>
      </c>
      <c r="J530" t="str">
        <f>TRIM(Raw_Data_Copy!J530)</f>
        <v>0.2</v>
      </c>
      <c r="K530">
        <f>ROUND(Cleaned_data!$H530*Cleaned_data!$I530*(1-Cleaned_data!$J530),2)</f>
        <v>38.67</v>
      </c>
      <c r="L530" t="str">
        <f>PROPER(TRIM(Raw_Data_Copy!L530))</f>
        <v>Mobile Money</v>
      </c>
    </row>
    <row r="531" spans="1:12" x14ac:dyDescent="0.3">
      <c r="A531" t="str">
        <f>TRIM(Raw_Data_Copy!A531)</f>
        <v>ORD-0179</v>
      </c>
      <c r="B531" s="2">
        <v>45981</v>
      </c>
      <c r="C531" t="str">
        <f>TRIM(Raw_Data_Copy!C531)</f>
        <v>CUST-0017</v>
      </c>
      <c r="D531" t="str">
        <f>PROPER(TRIM(Raw_Data_Copy!D531))</f>
        <v>Nigeria</v>
      </c>
      <c r="E531" t="str">
        <f>PROPER(TRIM(Raw_Data_Copy!E531))</f>
        <v>West Africa</v>
      </c>
      <c r="F531" t="str">
        <f>PROPER(TRIM(Raw_Data_Copy!F531))</f>
        <v>Desk</v>
      </c>
      <c r="G531" t="str">
        <f>PROPER(TRIM(Raw_Data_Copy!G531))</f>
        <v>Furniture</v>
      </c>
      <c r="H531" t="str">
        <f>TRIM(Raw_Data_Copy!H531)</f>
        <v>5</v>
      </c>
      <c r="I531" t="str">
        <f>TRIM(Raw_Data_Copy!I531)</f>
        <v>370.22</v>
      </c>
      <c r="J531" t="str">
        <f>TRIM(Raw_Data_Copy!J531)</f>
        <v>0</v>
      </c>
      <c r="K531">
        <f>ROUND(Cleaned_data!$H531*Cleaned_data!$I531*(1-Cleaned_data!$J531),2)</f>
        <v>1851.1</v>
      </c>
      <c r="L531" t="str">
        <f>PROPER(TRIM(Raw_Data_Copy!L531))</f>
        <v>Bank Transfer</v>
      </c>
    </row>
    <row r="532" spans="1:12" x14ac:dyDescent="0.3">
      <c r="A532" t="str">
        <f>TRIM(Raw_Data_Copy!A532)</f>
        <v>ORD-0439</v>
      </c>
      <c r="B532" s="2">
        <v>45981</v>
      </c>
      <c r="C532" t="str">
        <f>TRIM(Raw_Data_Copy!C532)</f>
        <v>CUST-0122</v>
      </c>
      <c r="D532" t="str">
        <f>PROPER(TRIM(Raw_Data_Copy!D532))</f>
        <v>Kenya</v>
      </c>
      <c r="E532" t="str">
        <f>PROPER(TRIM(Raw_Data_Copy!E532))</f>
        <v>East Africa</v>
      </c>
      <c r="F532" t="str">
        <f>PROPER(TRIM(Raw_Data_Copy!F532))</f>
        <v>Keyboard</v>
      </c>
      <c r="G532" t="str">
        <f>PROPER(TRIM(Raw_Data_Copy!G532))</f>
        <v>Electronics</v>
      </c>
      <c r="H532" t="str">
        <f>TRIM(Raw_Data_Copy!H532)</f>
        <v>1</v>
      </c>
      <c r="I532" t="str">
        <f>TRIM(Raw_Data_Copy!I532)</f>
        <v>76.73</v>
      </c>
      <c r="J532" t="str">
        <f>TRIM(Raw_Data_Copy!J532)</f>
        <v>0.1</v>
      </c>
      <c r="K532">
        <f>ROUND(Cleaned_data!$H532*Cleaned_data!$I532*(1-Cleaned_data!$J532),2)</f>
        <v>69.06</v>
      </c>
      <c r="L532" t="str">
        <f>PROPER(TRIM(Raw_Data_Copy!L532))</f>
        <v>Card</v>
      </c>
    </row>
    <row r="533" spans="1:12" x14ac:dyDescent="0.3">
      <c r="A533" t="str">
        <f>TRIM(Raw_Data_Copy!A533)</f>
        <v>ORD-0024</v>
      </c>
      <c r="B533" s="2">
        <v>45981</v>
      </c>
      <c r="C533" t="str">
        <f>TRIM(Raw_Data_Copy!C533)</f>
        <v>CUST-0123</v>
      </c>
      <c r="D533" t="str">
        <f>PROPER(TRIM(Raw_Data_Copy!D533))</f>
        <v>Nigeria</v>
      </c>
      <c r="E533" t="str">
        <f>PROPER(TRIM(Raw_Data_Copy!E533))</f>
        <v>West Africa</v>
      </c>
      <c r="F533" t="str">
        <f>PROPER(TRIM(Raw_Data_Copy!F533))</f>
        <v>Smartphone</v>
      </c>
      <c r="G533" t="str">
        <f>PROPER(TRIM(Raw_Data_Copy!G533))</f>
        <v>Electronics</v>
      </c>
      <c r="H533" t="str">
        <f>TRIM(Raw_Data_Copy!H533)</f>
        <v>5</v>
      </c>
      <c r="I533" t="str">
        <f>TRIM(Raw_Data_Copy!I533)</f>
        <v>648.63</v>
      </c>
      <c r="J533" t="str">
        <f>TRIM(Raw_Data_Copy!J533)</f>
        <v>0.3</v>
      </c>
      <c r="K533">
        <f>ROUND(Cleaned_data!$H533*Cleaned_data!$I533*(1-Cleaned_data!$J533),2)</f>
        <v>2270.21</v>
      </c>
      <c r="L533" t="str">
        <f>PROPER(TRIM(Raw_Data_Copy!L533))</f>
        <v>Card</v>
      </c>
    </row>
    <row r="534" spans="1:12" x14ac:dyDescent="0.3">
      <c r="A534" t="str">
        <f>TRIM(Raw_Data_Copy!A534)</f>
        <v>ORD-0397</v>
      </c>
      <c r="B534" s="2">
        <v>45982</v>
      </c>
      <c r="C534" t="str">
        <f>TRIM(Raw_Data_Copy!C534)</f>
        <v>CUST-0172</v>
      </c>
      <c r="D534" t="str">
        <f>PROPER(TRIM(Raw_Data_Copy!D534))</f>
        <v>Nigeria</v>
      </c>
      <c r="E534" t="str">
        <f>PROPER(TRIM(Raw_Data_Copy!E534))</f>
        <v>West Africa</v>
      </c>
      <c r="F534" t="str">
        <f>PROPER(TRIM(Raw_Data_Copy!F534))</f>
        <v>Backpack</v>
      </c>
      <c r="G534" t="str">
        <f>PROPER(TRIM(Raw_Data_Copy!G534))</f>
        <v>Accessories</v>
      </c>
      <c r="H534" t="str">
        <f>TRIM(Raw_Data_Copy!H534)</f>
        <v>1</v>
      </c>
      <c r="I534" t="str">
        <f>TRIM(Raw_Data_Copy!I534)</f>
        <v>68.44</v>
      </c>
      <c r="J534" t="str">
        <f>TRIM(Raw_Data_Copy!J534)</f>
        <v>0.2</v>
      </c>
      <c r="K534">
        <f>ROUND(Cleaned_data!$H534*Cleaned_data!$I534*(1-Cleaned_data!$J534),2)</f>
        <v>54.75</v>
      </c>
      <c r="L534" t="str">
        <f>PROPER(TRIM(Raw_Data_Copy!L534))</f>
        <v>Card</v>
      </c>
    </row>
    <row r="535" spans="1:12" x14ac:dyDescent="0.3">
      <c r="A535" t="str">
        <f>TRIM(Raw_Data_Copy!A535)</f>
        <v>ORD-0207</v>
      </c>
      <c r="B535" s="2">
        <v>45982</v>
      </c>
      <c r="C535" t="str">
        <f>TRIM(Raw_Data_Copy!C535)</f>
        <v>CUST-0166</v>
      </c>
      <c r="D535" t="str">
        <f>PROPER(TRIM(Raw_Data_Copy!D535))</f>
        <v>South Africa</v>
      </c>
      <c r="E535" t="str">
        <f>PROPER(TRIM(Raw_Data_Copy!E535))</f>
        <v>Southern Africa</v>
      </c>
      <c r="F535" t="str">
        <f>PROPER(TRIM(Raw_Data_Copy!F535))</f>
        <v>Monitor</v>
      </c>
      <c r="G535" t="str">
        <f>PROPER(TRIM(Raw_Data_Copy!G535))</f>
        <v>Electronics</v>
      </c>
      <c r="H535" t="str">
        <f>TRIM(Raw_Data_Copy!H535)</f>
        <v>2</v>
      </c>
      <c r="I535" t="str">
        <f>TRIM(Raw_Data_Copy!I535)</f>
        <v>284.25</v>
      </c>
      <c r="J535" t="str">
        <f>TRIM(Raw_Data_Copy!J535)</f>
        <v>0.3</v>
      </c>
      <c r="K535">
        <f>ROUND(Cleaned_data!$H535*Cleaned_data!$I535*(1-Cleaned_data!$J535),2)</f>
        <v>397.95</v>
      </c>
      <c r="L535" t="str">
        <f>PROPER(TRIM(Raw_Data_Copy!L535))</f>
        <v>Card</v>
      </c>
    </row>
    <row r="536" spans="1:12" x14ac:dyDescent="0.3">
      <c r="A536" t="str">
        <f>TRIM(Raw_Data_Copy!A536)</f>
        <v>ORD-0091</v>
      </c>
      <c r="B536" s="2">
        <v>45983</v>
      </c>
      <c r="C536" t="str">
        <f>TRIM(Raw_Data_Copy!C536)</f>
        <v>CUST-0001</v>
      </c>
      <c r="D536" t="str">
        <f>PROPER(TRIM(Raw_Data_Copy!D536))</f>
        <v>Nigeria</v>
      </c>
      <c r="E536" t="str">
        <f>PROPER(TRIM(Raw_Data_Copy!E536))</f>
        <v>West Africa</v>
      </c>
      <c r="F536" t="str">
        <f>PROPER(TRIM(Raw_Data_Copy!F536))</f>
        <v>Desk</v>
      </c>
      <c r="G536" t="str">
        <f>PROPER(TRIM(Raw_Data_Copy!G536))</f>
        <v>Furniture</v>
      </c>
      <c r="H536" t="str">
        <f>TRIM(Raw_Data_Copy!H536)</f>
        <v>5</v>
      </c>
      <c r="I536" t="str">
        <f>TRIM(Raw_Data_Copy!I536)</f>
        <v>339.16</v>
      </c>
      <c r="J536" t="str">
        <f>TRIM(Raw_Data_Copy!J536)</f>
        <v>0.05</v>
      </c>
      <c r="K536">
        <f>ROUND(Cleaned_data!$H536*Cleaned_data!$I536*(1-Cleaned_data!$J536),2)</f>
        <v>1611.01</v>
      </c>
      <c r="L536" t="str">
        <f>PROPER(TRIM(Raw_Data_Copy!L536))</f>
        <v>Card</v>
      </c>
    </row>
    <row r="537" spans="1:12" x14ac:dyDescent="0.3">
      <c r="A537" t="str">
        <f>TRIM(Raw_Data_Copy!A537)</f>
        <v>ORD-0467</v>
      </c>
      <c r="B537" s="2">
        <v>45983</v>
      </c>
      <c r="C537" t="str">
        <f>TRIM(Raw_Data_Copy!C537)</f>
        <v>CUST-0100</v>
      </c>
      <c r="D537" t="str">
        <f>PROPER(TRIM(Raw_Data_Copy!D537))</f>
        <v>South Africa</v>
      </c>
      <c r="E537" t="str">
        <f>PROPER(TRIM(Raw_Data_Copy!E537))</f>
        <v>Southern Africa</v>
      </c>
      <c r="F537" t="str">
        <f>PROPER(TRIM(Raw_Data_Copy!F537))</f>
        <v>Backpack</v>
      </c>
      <c r="G537" t="str">
        <f>PROPER(TRIM(Raw_Data_Copy!G537))</f>
        <v>Accessories</v>
      </c>
      <c r="H537" t="str">
        <f>TRIM(Raw_Data_Copy!H537)</f>
        <v>7</v>
      </c>
      <c r="I537" t="str">
        <f>TRIM(Raw_Data_Copy!I537)</f>
        <v>75.95</v>
      </c>
      <c r="J537" t="str">
        <f>TRIM(Raw_Data_Copy!J537)</f>
        <v>0.1</v>
      </c>
      <c r="K537">
        <f>ROUND(Cleaned_data!$H537*Cleaned_data!$I537*(1-Cleaned_data!$J537),2)</f>
        <v>478.49</v>
      </c>
      <c r="L537" t="str">
        <f>PROPER(TRIM(Raw_Data_Copy!L537))</f>
        <v>Mobile Money</v>
      </c>
    </row>
    <row r="538" spans="1:12" x14ac:dyDescent="0.3">
      <c r="A538" t="str">
        <f>TRIM(Raw_Data_Copy!A538)</f>
        <v>ORD-0228</v>
      </c>
      <c r="B538" s="2">
        <v>45983</v>
      </c>
      <c r="C538" t="str">
        <f>TRIM(Raw_Data_Copy!C538)</f>
        <v>CUST-0046</v>
      </c>
      <c r="D538" t="str">
        <f>PROPER(TRIM(Raw_Data_Copy!D538))</f>
        <v>Ghana</v>
      </c>
      <c r="E538" t="str">
        <f>PROPER(TRIM(Raw_Data_Copy!E538))</f>
        <v>West Africa</v>
      </c>
      <c r="F538" t="str">
        <f>PROPER(TRIM(Raw_Data_Copy!F538))</f>
        <v>Desk</v>
      </c>
      <c r="G538" t="str">
        <f>PROPER(TRIM(Raw_Data_Copy!G538))</f>
        <v>Furniture</v>
      </c>
      <c r="H538" t="str">
        <f>TRIM(Raw_Data_Copy!H538)</f>
        <v>7</v>
      </c>
      <c r="I538" t="str">
        <f>TRIM(Raw_Data_Copy!I538)</f>
        <v>352.35</v>
      </c>
      <c r="J538" t="str">
        <f>TRIM(Raw_Data_Copy!J538)</f>
        <v>0.15</v>
      </c>
      <c r="K538">
        <f>ROUND(Cleaned_data!$H538*Cleaned_data!$I538*(1-Cleaned_data!$J538),2)</f>
        <v>2096.48</v>
      </c>
      <c r="L538" t="str">
        <f>PROPER(TRIM(Raw_Data_Copy!L538))</f>
        <v>Bank Transfer</v>
      </c>
    </row>
    <row r="539" spans="1:12" x14ac:dyDescent="0.3">
      <c r="A539" t="str">
        <f>TRIM(Raw_Data_Copy!A539)</f>
        <v>ORD-0526</v>
      </c>
      <c r="B539" s="2">
        <v>45984</v>
      </c>
      <c r="C539" t="str">
        <f>TRIM(Raw_Data_Copy!C539)</f>
        <v>CUST-0004</v>
      </c>
      <c r="D539" t="str">
        <f>PROPER(TRIM(Raw_Data_Copy!D539))</f>
        <v>South Africa</v>
      </c>
      <c r="E539" t="str">
        <f>PROPER(TRIM(Raw_Data_Copy!E539))</f>
        <v>Southern Africa</v>
      </c>
      <c r="F539" t="str">
        <f>PROPER(TRIM(Raw_Data_Copy!F539))</f>
        <v>Mouse</v>
      </c>
      <c r="G539" t="str">
        <f>PROPER(TRIM(Raw_Data_Copy!G539))</f>
        <v>Electronics</v>
      </c>
      <c r="H539" t="str">
        <f>TRIM(Raw_Data_Copy!H539)</f>
        <v>1</v>
      </c>
      <c r="I539" t="str">
        <f>TRIM(Raw_Data_Copy!I539)</f>
        <v>41.13</v>
      </c>
      <c r="J539" t="str">
        <f>TRIM(Raw_Data_Copy!J539)</f>
        <v>0.1</v>
      </c>
      <c r="K539">
        <f>ROUND(Cleaned_data!$H539*Cleaned_data!$I539*(1-Cleaned_data!$J539),2)</f>
        <v>37.020000000000003</v>
      </c>
      <c r="L539" t="str">
        <f>PROPER(TRIM(Raw_Data_Copy!L539))</f>
        <v>Bank Transfer</v>
      </c>
    </row>
    <row r="540" spans="1:12" x14ac:dyDescent="0.3">
      <c r="A540" t="str">
        <f>TRIM(Raw_Data_Copy!A540)</f>
        <v>ORD-0309</v>
      </c>
      <c r="B540" s="2">
        <v>45984</v>
      </c>
      <c r="C540" t="str">
        <f>TRIM(Raw_Data_Copy!C540)</f>
        <v>CUST-0086</v>
      </c>
      <c r="D540" t="str">
        <f>PROPER(TRIM(Raw_Data_Copy!D540))</f>
        <v>South Africa</v>
      </c>
      <c r="E540" t="str">
        <f>PROPER(TRIM(Raw_Data_Copy!E540))</f>
        <v>Southern Africa</v>
      </c>
      <c r="F540" t="str">
        <f>PROPER(TRIM(Raw_Data_Copy!F540))</f>
        <v>Mouse</v>
      </c>
      <c r="G540" t="str">
        <f>PROPER(TRIM(Raw_Data_Copy!G540))</f>
        <v>Electronics</v>
      </c>
      <c r="H540" t="str">
        <f>TRIM(Raw_Data_Copy!H540)</f>
        <v>5</v>
      </c>
      <c r="I540" t="str">
        <f>TRIM(Raw_Data_Copy!I540)</f>
        <v>41.53</v>
      </c>
      <c r="J540" t="str">
        <f>TRIM(Raw_Data_Copy!J540)</f>
        <v>0</v>
      </c>
      <c r="K540">
        <f>ROUND(Cleaned_data!$H540*Cleaned_data!$I540*(1-Cleaned_data!$J540),2)</f>
        <v>207.65</v>
      </c>
      <c r="L540" t="str">
        <f>PROPER(TRIM(Raw_Data_Copy!L540))</f>
        <v>Card</v>
      </c>
    </row>
    <row r="541" spans="1:12" x14ac:dyDescent="0.3">
      <c r="A541" t="str">
        <f>TRIM(Raw_Data_Copy!A541)</f>
        <v>ORD-0110</v>
      </c>
      <c r="B541" s="2">
        <v>45985</v>
      </c>
      <c r="C541" t="str">
        <f>TRIM(Raw_Data_Copy!C541)</f>
        <v>CUST-0011</v>
      </c>
      <c r="D541" t="str">
        <f>PROPER(TRIM(Raw_Data_Copy!D541))</f>
        <v>Ghana</v>
      </c>
      <c r="E541" t="str">
        <f>PROPER(TRIM(Raw_Data_Copy!E541))</f>
        <v>West Africa</v>
      </c>
      <c r="F541" t="str">
        <f>PROPER(TRIM(Raw_Data_Copy!F541))</f>
        <v>Headphones</v>
      </c>
      <c r="G541" t="str">
        <f>PROPER(TRIM(Raw_Data_Copy!G541))</f>
        <v>Electronics</v>
      </c>
      <c r="H541" t="str">
        <f>TRIM(Raw_Data_Copy!H541)</f>
        <v>1</v>
      </c>
      <c r="I541" t="str">
        <f>TRIM(Raw_Data_Copy!I541)</f>
        <v>125.79</v>
      </c>
      <c r="J541" t="str">
        <f>TRIM(Raw_Data_Copy!J541)</f>
        <v>0.1</v>
      </c>
      <c r="K541">
        <f>ROUND(Cleaned_data!$H541*Cleaned_data!$I541*(1-Cleaned_data!$J541),2)</f>
        <v>113.21</v>
      </c>
      <c r="L541" t="str">
        <f>PROPER(TRIM(Raw_Data_Copy!L541))</f>
        <v>Bank Transfer</v>
      </c>
    </row>
    <row r="542" spans="1:12" x14ac:dyDescent="0.3">
      <c r="A542" t="str">
        <f>TRIM(Raw_Data_Copy!A542)</f>
        <v>ORD-0121</v>
      </c>
      <c r="B542" s="2">
        <v>45985</v>
      </c>
      <c r="C542" t="str">
        <f>TRIM(Raw_Data_Copy!C542)</f>
        <v>CUST-0127</v>
      </c>
      <c r="D542" t="str">
        <f>PROPER(TRIM(Raw_Data_Copy!D542))</f>
        <v>United States</v>
      </c>
      <c r="E542" t="str">
        <f>PROPER(TRIM(Raw_Data_Copy!E542))</f>
        <v>North America</v>
      </c>
      <c r="F542" t="str">
        <f>PROPER(TRIM(Raw_Data_Copy!F542))</f>
        <v>Desk Lamp</v>
      </c>
      <c r="G542" t="str">
        <f>PROPER(TRIM(Raw_Data_Copy!G542))</f>
        <v>Furniture</v>
      </c>
      <c r="H542" t="str">
        <f>TRIM(Raw_Data_Copy!H542)</f>
        <v>4</v>
      </c>
      <c r="I542" t="str">
        <f>TRIM(Raw_Data_Copy!I542)</f>
        <v>55.72</v>
      </c>
      <c r="J542" t="str">
        <f>TRIM(Raw_Data_Copy!J542)</f>
        <v>0.15</v>
      </c>
      <c r="K542">
        <f>ROUND(Cleaned_data!$H542*Cleaned_data!$I542*(1-Cleaned_data!$J542),2)</f>
        <v>189.45</v>
      </c>
      <c r="L542" t="str">
        <f>PROPER(TRIM(Raw_Data_Copy!L542))</f>
        <v>Cash</v>
      </c>
    </row>
    <row r="543" spans="1:12" x14ac:dyDescent="0.3">
      <c r="A543" t="str">
        <f>TRIM(Raw_Data_Copy!A543)</f>
        <v>ORD-0197</v>
      </c>
      <c r="B543" s="2">
        <v>45985</v>
      </c>
      <c r="C543" t="str">
        <f>TRIM(Raw_Data_Copy!C543)</f>
        <v>CUST-0178</v>
      </c>
      <c r="D543" t="str">
        <f>PROPER(TRIM(Raw_Data_Copy!D543))</f>
        <v>South Africa</v>
      </c>
      <c r="E543" t="str">
        <f>PROPER(TRIM(Raw_Data_Copy!E543))</f>
        <v>Southern Africa</v>
      </c>
      <c r="F543" t="str">
        <f>PROPER(TRIM(Raw_Data_Copy!F543))</f>
        <v>Mouse</v>
      </c>
      <c r="G543" t="str">
        <f>PROPER(TRIM(Raw_Data_Copy!G543))</f>
        <v>Electronics</v>
      </c>
      <c r="H543" t="str">
        <f>TRIM(Raw_Data_Copy!H543)</f>
        <v>7</v>
      </c>
      <c r="I543" t="str">
        <f>TRIM(Raw_Data_Copy!I543)</f>
        <v>46.02</v>
      </c>
      <c r="J543" t="str">
        <f>TRIM(Raw_Data_Copy!J543)</f>
        <v>0.05</v>
      </c>
      <c r="K543">
        <f>ROUND(Cleaned_data!$H543*Cleaned_data!$I543*(1-Cleaned_data!$J543),2)</f>
        <v>306.02999999999997</v>
      </c>
      <c r="L543" t="str">
        <f>PROPER(TRIM(Raw_Data_Copy!L543))</f>
        <v>Cash</v>
      </c>
    </row>
    <row r="544" spans="1:12" x14ac:dyDescent="0.3">
      <c r="A544" t="str">
        <f>TRIM(Raw_Data_Copy!A544)</f>
        <v>ORD-0001</v>
      </c>
      <c r="B544" s="2">
        <v>45988</v>
      </c>
      <c r="C544" t="str">
        <f>TRIM(Raw_Data_Copy!C544)</f>
        <v>CUST-0088</v>
      </c>
      <c r="D544" t="str">
        <f>PROPER(TRIM(Raw_Data_Copy!D544))</f>
        <v>Nigeria</v>
      </c>
      <c r="E544" t="str">
        <f>PROPER(TRIM(Raw_Data_Copy!E544))</f>
        <v>West Africa</v>
      </c>
      <c r="F544" t="str">
        <f>PROPER(TRIM(Raw_Data_Copy!F544))</f>
        <v>Notebook</v>
      </c>
      <c r="G544" t="str">
        <f>PROPER(TRIM(Raw_Data_Copy!G544))</f>
        <v>Office Supplies</v>
      </c>
      <c r="H544" t="str">
        <f>TRIM(Raw_Data_Copy!H544)</f>
        <v>8</v>
      </c>
      <c r="I544" t="str">
        <f>TRIM(Raw_Data_Copy!I544)</f>
        <v>15.3</v>
      </c>
      <c r="J544" t="str">
        <f>TRIM(Raw_Data_Copy!J544)</f>
        <v>0</v>
      </c>
      <c r="K544">
        <f>ROUND(Cleaned_data!$H544*Cleaned_data!$I544*(1-Cleaned_data!$J544),2)</f>
        <v>122.4</v>
      </c>
      <c r="L544" t="str">
        <f>PROPER(TRIM(Raw_Data_Copy!L544))</f>
        <v>Card</v>
      </c>
    </row>
    <row r="545" spans="1:12" x14ac:dyDescent="0.3">
      <c r="A545" t="str">
        <f>TRIM(Raw_Data_Copy!A545)</f>
        <v>ORD-0508</v>
      </c>
      <c r="B545" s="2">
        <v>45989</v>
      </c>
      <c r="C545" t="str">
        <f>TRIM(Raw_Data_Copy!C545)</f>
        <v>CUST-0170</v>
      </c>
      <c r="D545" t="str">
        <f>PROPER(TRIM(Raw_Data_Copy!D545))</f>
        <v>Kenya</v>
      </c>
      <c r="E545" t="str">
        <f>PROPER(TRIM(Raw_Data_Copy!E545))</f>
        <v>East Africa</v>
      </c>
      <c r="F545" t="str">
        <f>PROPER(TRIM(Raw_Data_Copy!F545))</f>
        <v>Printer</v>
      </c>
      <c r="G545" t="str">
        <f>PROPER(TRIM(Raw_Data_Copy!G545))</f>
        <v>Office Supplies</v>
      </c>
      <c r="H545" t="str">
        <f>TRIM(Raw_Data_Copy!H545)</f>
        <v>4</v>
      </c>
      <c r="I545" t="str">
        <f>TRIM(Raw_Data_Copy!I545)</f>
        <v>267.63</v>
      </c>
      <c r="J545" t="str">
        <f>TRIM(Raw_Data_Copy!J545)</f>
        <v>0.1</v>
      </c>
      <c r="K545">
        <f>ROUND(Cleaned_data!$H545*Cleaned_data!$I545*(1-Cleaned_data!$J545),2)</f>
        <v>963.47</v>
      </c>
      <c r="L545" t="str">
        <f>PROPER(TRIM(Raw_Data_Copy!L545))</f>
        <v>Bank Transfer</v>
      </c>
    </row>
    <row r="546" spans="1:12" x14ac:dyDescent="0.3">
      <c r="A546" t="str">
        <f>TRIM(Raw_Data_Copy!A546)</f>
        <v>ORD-0425</v>
      </c>
      <c r="B546" s="2">
        <v>45989</v>
      </c>
      <c r="C546" t="str">
        <f>TRIM(Raw_Data_Copy!C546)</f>
        <v>CUST-0139</v>
      </c>
      <c r="D546" t="str">
        <f>PROPER(TRIM(Raw_Data_Copy!D546))</f>
        <v>South Africa</v>
      </c>
      <c r="E546" t="str">
        <f>PROPER(TRIM(Raw_Data_Copy!E546))</f>
        <v>Southern Africa</v>
      </c>
      <c r="F546" t="str">
        <f>PROPER(TRIM(Raw_Data_Copy!F546))</f>
        <v>Desk Lamp</v>
      </c>
      <c r="G546" t="str">
        <f>PROPER(TRIM(Raw_Data_Copy!G546))</f>
        <v>Furniture</v>
      </c>
      <c r="H546" t="str">
        <f>TRIM(Raw_Data_Copy!H546)</f>
        <v>8</v>
      </c>
      <c r="I546" t="str">
        <f>TRIM(Raw_Data_Copy!I546)</f>
        <v>53.97</v>
      </c>
      <c r="J546" t="str">
        <f>TRIM(Raw_Data_Copy!J546)</f>
        <v>0.25</v>
      </c>
      <c r="K546">
        <f>ROUND(Cleaned_data!$H546*Cleaned_data!$I546*(1-Cleaned_data!$J546),2)</f>
        <v>323.82</v>
      </c>
      <c r="L546" t="str">
        <f>PROPER(TRIM(Raw_Data_Copy!L546))</f>
        <v>Mobile Money</v>
      </c>
    </row>
    <row r="547" spans="1:12" x14ac:dyDescent="0.3">
      <c r="A547" t="str">
        <f>TRIM(Raw_Data_Copy!A547)</f>
        <v>ORD-0452</v>
      </c>
      <c r="B547" s="2">
        <v>45994</v>
      </c>
      <c r="C547" t="str">
        <f>TRIM(Raw_Data_Copy!C547)</f>
        <v>CUST-0015</v>
      </c>
      <c r="D547" t="str">
        <f>PROPER(TRIM(Raw_Data_Copy!D547))</f>
        <v>Ghana</v>
      </c>
      <c r="E547" t="str">
        <f>PROPER(TRIM(Raw_Data_Copy!E547))</f>
        <v>West Africa</v>
      </c>
      <c r="F547" t="str">
        <f>PROPER(TRIM(Raw_Data_Copy!F547))</f>
        <v>Laptop</v>
      </c>
      <c r="G547" t="str">
        <f>PROPER(TRIM(Raw_Data_Copy!G547))</f>
        <v>Electronics</v>
      </c>
      <c r="H547" t="str">
        <f>TRIM(Raw_Data_Copy!H547)</f>
        <v>4</v>
      </c>
      <c r="I547" t="str">
        <f>TRIM(Raw_Data_Copy!I547)</f>
        <v>930.79</v>
      </c>
      <c r="J547" t="str">
        <f>TRIM(Raw_Data_Copy!J547)</f>
        <v>0.1</v>
      </c>
      <c r="K547">
        <f>ROUND(Cleaned_data!$H547*Cleaned_data!$I547*(1-Cleaned_data!$J547),2)</f>
        <v>3350.84</v>
      </c>
      <c r="L547" t="str">
        <f>PROPER(TRIM(Raw_Data_Copy!L547))</f>
        <v>Mobile Money</v>
      </c>
    </row>
    <row r="548" spans="1:12" x14ac:dyDescent="0.3">
      <c r="A548" t="str">
        <f>TRIM(Raw_Data_Copy!A548)</f>
        <v>ORD-0595</v>
      </c>
      <c r="B548" s="2">
        <v>45994</v>
      </c>
      <c r="C548" t="str">
        <f>TRIM(Raw_Data_Copy!C548)</f>
        <v>CUST-0041</v>
      </c>
      <c r="D548" t="str">
        <f>PROPER(TRIM(Raw_Data_Copy!D548))</f>
        <v>Nigeria</v>
      </c>
      <c r="E548" t="str">
        <f>PROPER(TRIM(Raw_Data_Copy!E548))</f>
        <v>West Africa</v>
      </c>
      <c r="F548" t="str">
        <f>PROPER(TRIM(Raw_Data_Copy!F548))</f>
        <v>Notebook</v>
      </c>
      <c r="G548" t="str">
        <f>PROPER(TRIM(Raw_Data_Copy!G548))</f>
        <v>Office Supplies</v>
      </c>
      <c r="H548" t="str">
        <f>TRIM(Raw_Data_Copy!H548)</f>
        <v>7</v>
      </c>
      <c r="I548" t="str">
        <f>TRIM(Raw_Data_Copy!I548)</f>
        <v>14.32</v>
      </c>
      <c r="J548" t="str">
        <f>TRIM(Raw_Data_Copy!J548)</f>
        <v>0</v>
      </c>
      <c r="K548">
        <f>ROUND(Cleaned_data!$H548*Cleaned_data!$I548*(1-Cleaned_data!$J548),2)</f>
        <v>100.24</v>
      </c>
      <c r="L548" t="str">
        <f>PROPER(TRIM(Raw_Data_Copy!L548))</f>
        <v>Cash</v>
      </c>
    </row>
    <row r="549" spans="1:12" x14ac:dyDescent="0.3">
      <c r="A549" t="str">
        <f>TRIM(Raw_Data_Copy!A549)</f>
        <v>ORD-0392</v>
      </c>
      <c r="B549" s="2">
        <v>45994</v>
      </c>
      <c r="C549" t="str">
        <f>TRIM(Raw_Data_Copy!C549)</f>
        <v>CUST-0023</v>
      </c>
      <c r="D549" t="str">
        <f>PROPER(TRIM(Raw_Data_Copy!D549))</f>
        <v>United States</v>
      </c>
      <c r="E549" t="str">
        <f>PROPER(TRIM(Raw_Data_Copy!E549))</f>
        <v>North America</v>
      </c>
      <c r="F549" t="str">
        <f>PROPER(TRIM(Raw_Data_Copy!F549))</f>
        <v>Desk</v>
      </c>
      <c r="G549" t="str">
        <f>PROPER(TRIM(Raw_Data_Copy!G549))</f>
        <v>Furniture</v>
      </c>
      <c r="H549" t="str">
        <f>TRIM(Raw_Data_Copy!H549)</f>
        <v>3</v>
      </c>
      <c r="I549" t="str">
        <f>TRIM(Raw_Data_Copy!I549)</f>
        <v>340.05</v>
      </c>
      <c r="J549" t="str">
        <f>TRIM(Raw_Data_Copy!J549)</f>
        <v>0.15</v>
      </c>
      <c r="K549">
        <f>ROUND(Cleaned_data!$H549*Cleaned_data!$I549*(1-Cleaned_data!$J549),2)</f>
        <v>867.13</v>
      </c>
      <c r="L549" t="str">
        <f>PROPER(TRIM(Raw_Data_Copy!L549))</f>
        <v>Card</v>
      </c>
    </row>
    <row r="550" spans="1:12" x14ac:dyDescent="0.3">
      <c r="A550" t="str">
        <f>TRIM(Raw_Data_Copy!A550)</f>
        <v>ORD-0354</v>
      </c>
      <c r="B550" s="2">
        <v>45995</v>
      </c>
      <c r="C550" t="str">
        <f>TRIM(Raw_Data_Copy!C550)</f>
        <v>CUST-0146</v>
      </c>
      <c r="D550" t="str">
        <f>PROPER(TRIM(Raw_Data_Copy!D550))</f>
        <v>United States</v>
      </c>
      <c r="E550" t="str">
        <f>PROPER(TRIM(Raw_Data_Copy!E550))</f>
        <v>North America</v>
      </c>
      <c r="F550" t="str">
        <f>PROPER(TRIM(Raw_Data_Copy!F550))</f>
        <v>Monitor</v>
      </c>
      <c r="G550" t="str">
        <f>PROPER(TRIM(Raw_Data_Copy!G550))</f>
        <v>Electronics</v>
      </c>
      <c r="H550" t="str">
        <f>TRIM(Raw_Data_Copy!H550)</f>
        <v>6</v>
      </c>
      <c r="I550" t="str">
        <f>TRIM(Raw_Data_Copy!I550)</f>
        <v>285.46</v>
      </c>
      <c r="J550" t="str">
        <f>TRIM(Raw_Data_Copy!J550)</f>
        <v>0</v>
      </c>
      <c r="K550">
        <f>ROUND(Cleaned_data!$H550*Cleaned_data!$I550*(1-Cleaned_data!$J550),2)</f>
        <v>1712.76</v>
      </c>
      <c r="L550" t="str">
        <f>PROPER(TRIM(Raw_Data_Copy!L550))</f>
        <v>Mobile Money</v>
      </c>
    </row>
    <row r="551" spans="1:12" x14ac:dyDescent="0.3">
      <c r="A551" t="str">
        <f>TRIM(Raw_Data_Copy!A551)</f>
        <v>ORD-0327</v>
      </c>
      <c r="B551" s="2">
        <v>45995</v>
      </c>
      <c r="C551" t="str">
        <f>TRIM(Raw_Data_Copy!C551)</f>
        <v>CUST-0058</v>
      </c>
      <c r="D551" t="str">
        <f>PROPER(TRIM(Raw_Data_Copy!D551))</f>
        <v>United Kingdom</v>
      </c>
      <c r="E551" t="str">
        <f>PROPER(TRIM(Raw_Data_Copy!E551))</f>
        <v>Europe</v>
      </c>
      <c r="F551" t="str">
        <f>PROPER(TRIM(Raw_Data_Copy!F551))</f>
        <v>Laptop</v>
      </c>
      <c r="G551" t="str">
        <f>PROPER(TRIM(Raw_Data_Copy!G551))</f>
        <v>Electronics</v>
      </c>
      <c r="H551" t="str">
        <f>TRIM(Raw_Data_Copy!H551)</f>
        <v>5</v>
      </c>
      <c r="I551" t="str">
        <f>TRIM(Raw_Data_Copy!I551)</f>
        <v>885.62</v>
      </c>
      <c r="J551" t="str">
        <f>TRIM(Raw_Data_Copy!J551)</f>
        <v>0.25</v>
      </c>
      <c r="K551">
        <f>ROUND(Cleaned_data!$H551*Cleaned_data!$I551*(1-Cleaned_data!$J551),2)</f>
        <v>3321.08</v>
      </c>
      <c r="L551" t="str">
        <f>PROPER(TRIM(Raw_Data_Copy!L551))</f>
        <v>Bank Transfer</v>
      </c>
    </row>
    <row r="552" spans="1:12" x14ac:dyDescent="0.3">
      <c r="A552" t="str">
        <f>TRIM(Raw_Data_Copy!A552)</f>
        <v>ORD-0009</v>
      </c>
      <c r="B552" s="2">
        <v>45995</v>
      </c>
      <c r="C552" t="str">
        <f>TRIM(Raw_Data_Copy!C552)</f>
        <v>CUST-0111</v>
      </c>
      <c r="D552" t="str">
        <f>PROPER(TRIM(Raw_Data_Copy!D552))</f>
        <v>Nigeria</v>
      </c>
      <c r="E552" t="str">
        <f>PROPER(TRIM(Raw_Data_Copy!E552))</f>
        <v>West Africa</v>
      </c>
      <c r="F552" t="str">
        <f>PROPER(TRIM(Raw_Data_Copy!F552))</f>
        <v>Monitor</v>
      </c>
      <c r="G552" t="str">
        <f>PROPER(TRIM(Raw_Data_Copy!G552))</f>
        <v>Electronics</v>
      </c>
      <c r="H552" t="str">
        <f>TRIM(Raw_Data_Copy!H552)</f>
        <v>4</v>
      </c>
      <c r="I552" t="str">
        <f>TRIM(Raw_Data_Copy!I552)</f>
        <v>272.71</v>
      </c>
      <c r="J552" t="str">
        <f>TRIM(Raw_Data_Copy!J552)</f>
        <v>0.05</v>
      </c>
      <c r="K552">
        <f>ROUND(Cleaned_data!$H552*Cleaned_data!$I552*(1-Cleaned_data!$J552),2)</f>
        <v>1036.3</v>
      </c>
      <c r="L552" t="str">
        <f>PROPER(TRIM(Raw_Data_Copy!L552))</f>
        <v>Card</v>
      </c>
    </row>
    <row r="553" spans="1:12" x14ac:dyDescent="0.3">
      <c r="A553" t="str">
        <f>TRIM(Raw_Data_Copy!A553)</f>
        <v>ORD-0031</v>
      </c>
      <c r="B553" s="2">
        <v>45997</v>
      </c>
      <c r="C553" t="str">
        <f>TRIM(Raw_Data_Copy!C553)</f>
        <v>CUST-0112</v>
      </c>
      <c r="D553" t="str">
        <f>PROPER(TRIM(Raw_Data_Copy!D553))</f>
        <v>United Kingdom</v>
      </c>
      <c r="E553" t="str">
        <f>PROPER(TRIM(Raw_Data_Copy!E553))</f>
        <v>Europe</v>
      </c>
      <c r="F553" t="str">
        <f>PROPER(TRIM(Raw_Data_Copy!F553))</f>
        <v>Keyboard</v>
      </c>
      <c r="G553" t="str">
        <f>PROPER(TRIM(Raw_Data_Copy!G553))</f>
        <v>Electronics</v>
      </c>
      <c r="H553" t="str">
        <f>TRIM(Raw_Data_Copy!H553)</f>
        <v>4</v>
      </c>
      <c r="I553" t="str">
        <f>TRIM(Raw_Data_Copy!I553)</f>
        <v>73.35</v>
      </c>
      <c r="J553" t="str">
        <f>TRIM(Raw_Data_Copy!J553)</f>
        <v>0</v>
      </c>
      <c r="K553">
        <f>ROUND(Cleaned_data!$H553*Cleaned_data!$I553*(1-Cleaned_data!$J553),2)</f>
        <v>293.39999999999998</v>
      </c>
      <c r="L553" t="str">
        <f>PROPER(TRIM(Raw_Data_Copy!L553))</f>
        <v>Bank Transfer</v>
      </c>
    </row>
    <row r="554" spans="1:12" x14ac:dyDescent="0.3">
      <c r="A554" t="str">
        <f>TRIM(Raw_Data_Copy!A554)</f>
        <v>ORD-0571</v>
      </c>
      <c r="B554" s="2">
        <v>45997</v>
      </c>
      <c r="C554" t="str">
        <f>TRIM(Raw_Data_Copy!C554)</f>
        <v>CUST-0177</v>
      </c>
      <c r="D554" t="str">
        <f>PROPER(TRIM(Raw_Data_Copy!D554))</f>
        <v>South Africa</v>
      </c>
      <c r="E554" t="str">
        <f>PROPER(TRIM(Raw_Data_Copy!E554))</f>
        <v>Southern Africa</v>
      </c>
      <c r="F554" t="str">
        <f>PROPER(TRIM(Raw_Data_Copy!F554))</f>
        <v>Laptop</v>
      </c>
      <c r="G554" t="str">
        <f>PROPER(TRIM(Raw_Data_Copy!G554))</f>
        <v>Electronics</v>
      </c>
      <c r="H554" t="str">
        <f>TRIM(Raw_Data_Copy!H554)</f>
        <v>6</v>
      </c>
      <c r="I554" t="str">
        <f>TRIM(Raw_Data_Copy!I554)</f>
        <v>844.31</v>
      </c>
      <c r="J554" t="str">
        <f>TRIM(Raw_Data_Copy!J554)</f>
        <v>0</v>
      </c>
      <c r="K554">
        <f>ROUND(Cleaned_data!$H554*Cleaned_data!$I554*(1-Cleaned_data!$J554),2)</f>
        <v>5065.8599999999997</v>
      </c>
      <c r="L554" t="str">
        <f>PROPER(TRIM(Raw_Data_Copy!L554))</f>
        <v>Card</v>
      </c>
    </row>
    <row r="555" spans="1:12" x14ac:dyDescent="0.3">
      <c r="A555" t="str">
        <f>TRIM(Raw_Data_Copy!A555)</f>
        <v>ORD-0311</v>
      </c>
      <c r="B555" s="2">
        <v>45998</v>
      </c>
      <c r="C555" t="str">
        <f>TRIM(Raw_Data_Copy!C555)</f>
        <v>CUST-0005</v>
      </c>
      <c r="D555" t="str">
        <f>PROPER(TRIM(Raw_Data_Copy!D555))</f>
        <v>South Africa</v>
      </c>
      <c r="E555" t="str">
        <f>PROPER(TRIM(Raw_Data_Copy!E555))</f>
        <v>Southern Africa</v>
      </c>
      <c r="F555" t="str">
        <f>PROPER(TRIM(Raw_Data_Copy!F555))</f>
        <v>Laptop</v>
      </c>
      <c r="G555" t="str">
        <f>PROPER(TRIM(Raw_Data_Copy!G555))</f>
        <v>Electronics</v>
      </c>
      <c r="H555" t="str">
        <f>TRIM(Raw_Data_Copy!H555)</f>
        <v>2</v>
      </c>
      <c r="I555" t="str">
        <f>TRIM(Raw_Data_Copy!I555)</f>
        <v>824.71</v>
      </c>
      <c r="J555" t="str">
        <f>TRIM(Raw_Data_Copy!J555)</f>
        <v>0.1</v>
      </c>
      <c r="K555">
        <f>ROUND(Cleaned_data!$H555*Cleaned_data!$I555*(1-Cleaned_data!$J555),2)</f>
        <v>1484.48</v>
      </c>
      <c r="L555" t="str">
        <f>PROPER(TRIM(Raw_Data_Copy!L555))</f>
        <v>Mobile Money</v>
      </c>
    </row>
    <row r="556" spans="1:12" x14ac:dyDescent="0.3">
      <c r="A556" t="str">
        <f>TRIM(Raw_Data_Copy!A556)</f>
        <v>ORD-0043</v>
      </c>
      <c r="B556" s="2">
        <v>45999</v>
      </c>
      <c r="C556" t="str">
        <f>TRIM(Raw_Data_Copy!C556)</f>
        <v>CUST-0051</v>
      </c>
      <c r="D556" t="str">
        <f>PROPER(TRIM(Raw_Data_Copy!D556))</f>
        <v>Ghana</v>
      </c>
      <c r="E556" t="str">
        <f>PROPER(TRIM(Raw_Data_Copy!E556))</f>
        <v>West Africa</v>
      </c>
      <c r="F556" t="str">
        <f>PROPER(TRIM(Raw_Data_Copy!F556))</f>
        <v>Headphones</v>
      </c>
      <c r="G556" t="str">
        <f>PROPER(TRIM(Raw_Data_Copy!G556))</f>
        <v>Electronics</v>
      </c>
      <c r="H556" t="str">
        <f>TRIM(Raw_Data_Copy!H556)</f>
        <v>7</v>
      </c>
      <c r="I556" t="str">
        <f>TRIM(Raw_Data_Copy!I556)</f>
        <v>108.66</v>
      </c>
      <c r="J556" t="str">
        <f>TRIM(Raw_Data_Copy!J556)</f>
        <v>0.1</v>
      </c>
      <c r="K556">
        <f>ROUND(Cleaned_data!$H556*Cleaned_data!$I556*(1-Cleaned_data!$J556),2)</f>
        <v>684.56</v>
      </c>
      <c r="L556" t="str">
        <f>PROPER(TRIM(Raw_Data_Copy!L556))</f>
        <v>Mobile Money</v>
      </c>
    </row>
    <row r="557" spans="1:12" x14ac:dyDescent="0.3">
      <c r="A557" t="str">
        <f>TRIM(Raw_Data_Copy!A557)</f>
        <v>ORD-0560</v>
      </c>
      <c r="B557" s="2">
        <v>45999</v>
      </c>
      <c r="C557" t="str">
        <f>TRIM(Raw_Data_Copy!C557)</f>
        <v>CUST-0178</v>
      </c>
      <c r="D557" t="str">
        <f>PROPER(TRIM(Raw_Data_Copy!D557))</f>
        <v>United Kingdom</v>
      </c>
      <c r="E557" t="str">
        <f>PROPER(TRIM(Raw_Data_Copy!E557))</f>
        <v>Europe</v>
      </c>
      <c r="F557" t="str">
        <f>PROPER(TRIM(Raw_Data_Copy!F557))</f>
        <v>Printer</v>
      </c>
      <c r="G557" t="str">
        <f>PROPER(TRIM(Raw_Data_Copy!G557))</f>
        <v>Office Supplies</v>
      </c>
      <c r="H557" t="str">
        <f>TRIM(Raw_Data_Copy!H557)</f>
        <v>5</v>
      </c>
      <c r="I557" t="str">
        <f>TRIM(Raw_Data_Copy!I557)</f>
        <v>267.82</v>
      </c>
      <c r="J557" t="str">
        <f>TRIM(Raw_Data_Copy!J557)</f>
        <v>0.2</v>
      </c>
      <c r="K557">
        <f>ROUND(Cleaned_data!$H557*Cleaned_data!$I557*(1-Cleaned_data!$J557),2)</f>
        <v>1071.28</v>
      </c>
      <c r="L557" t="str">
        <f>PROPER(TRIM(Raw_Data_Copy!L557))</f>
        <v>Cash</v>
      </c>
    </row>
    <row r="558" spans="1:12" x14ac:dyDescent="0.3">
      <c r="A558" t="str">
        <f>TRIM(Raw_Data_Copy!A558)</f>
        <v>ORD-0270</v>
      </c>
      <c r="B558" s="2">
        <v>46000</v>
      </c>
      <c r="C558" t="str">
        <f>TRIM(Raw_Data_Copy!C558)</f>
        <v>CUST-0088</v>
      </c>
      <c r="D558" t="str">
        <f>PROPER(TRIM(Raw_Data_Copy!D558))</f>
        <v>United Kingdom</v>
      </c>
      <c r="E558" t="str">
        <f>PROPER(TRIM(Raw_Data_Copy!E558))</f>
        <v>Europe</v>
      </c>
      <c r="F558" t="str">
        <f>PROPER(TRIM(Raw_Data_Copy!F558))</f>
        <v>Monitor</v>
      </c>
      <c r="G558" t="str">
        <f>PROPER(TRIM(Raw_Data_Copy!G558))</f>
        <v>Electronics</v>
      </c>
      <c r="H558" t="str">
        <f>TRIM(Raw_Data_Copy!H558)</f>
        <v>2</v>
      </c>
      <c r="I558" t="str">
        <f>TRIM(Raw_Data_Copy!I558)</f>
        <v>293.18</v>
      </c>
      <c r="J558" t="str">
        <f>TRIM(Raw_Data_Copy!J558)</f>
        <v>0.1</v>
      </c>
      <c r="K558">
        <f>ROUND(Cleaned_data!$H558*Cleaned_data!$I558*(1-Cleaned_data!$J558),2)</f>
        <v>527.72</v>
      </c>
      <c r="L558" t="str">
        <f>PROPER(TRIM(Raw_Data_Copy!L558))</f>
        <v>Card</v>
      </c>
    </row>
    <row r="559" spans="1:12" x14ac:dyDescent="0.3">
      <c r="A559" t="str">
        <f>TRIM(Raw_Data_Copy!A559)</f>
        <v>ORD-0522</v>
      </c>
      <c r="B559" s="2">
        <v>46000</v>
      </c>
      <c r="C559" t="str">
        <f>TRIM(Raw_Data_Copy!C559)</f>
        <v>CUST-0152</v>
      </c>
      <c r="D559" t="str">
        <f>PROPER(TRIM(Raw_Data_Copy!D559))</f>
        <v>United Kingdom</v>
      </c>
      <c r="E559" t="str">
        <f>PROPER(TRIM(Raw_Data_Copy!E559))</f>
        <v>Europe</v>
      </c>
      <c r="F559" t="str">
        <f>PROPER(TRIM(Raw_Data_Copy!F559))</f>
        <v>Smartphone</v>
      </c>
      <c r="G559" t="str">
        <f>PROPER(TRIM(Raw_Data_Copy!G559))</f>
        <v>Electronics</v>
      </c>
      <c r="H559" t="str">
        <f>TRIM(Raw_Data_Copy!H559)</f>
        <v>2</v>
      </c>
      <c r="I559" t="str">
        <f>TRIM(Raw_Data_Copy!I559)</f>
        <v>603</v>
      </c>
      <c r="J559" t="str">
        <f>TRIM(Raw_Data_Copy!J559)</f>
        <v>0.1</v>
      </c>
      <c r="K559">
        <f>ROUND(Cleaned_data!$H559*Cleaned_data!$I559*(1-Cleaned_data!$J559),2)</f>
        <v>1085.4000000000001</v>
      </c>
      <c r="L559" t="str">
        <f>PROPER(TRIM(Raw_Data_Copy!L559))</f>
        <v>Mobile Money</v>
      </c>
    </row>
    <row r="560" spans="1:12" x14ac:dyDescent="0.3">
      <c r="A560" t="str">
        <f>TRIM(Raw_Data_Copy!A560)</f>
        <v>ORD-0371</v>
      </c>
      <c r="B560" s="2">
        <v>46000</v>
      </c>
      <c r="C560" t="str">
        <f>TRIM(Raw_Data_Copy!C560)</f>
        <v>CUST-0179</v>
      </c>
      <c r="D560" t="str">
        <f>PROPER(TRIM(Raw_Data_Copy!D560))</f>
        <v>Kenya</v>
      </c>
      <c r="E560" t="str">
        <f>PROPER(TRIM(Raw_Data_Copy!E560))</f>
        <v>East Africa</v>
      </c>
      <c r="F560" t="str">
        <f>PROPER(TRIM(Raw_Data_Copy!F560))</f>
        <v>Desk</v>
      </c>
      <c r="G560" t="str">
        <f>PROPER(TRIM(Raw_Data_Copy!G560))</f>
        <v>Furniture</v>
      </c>
      <c r="H560" t="str">
        <f>TRIM(Raw_Data_Copy!H560)</f>
        <v>1</v>
      </c>
      <c r="I560" t="str">
        <f>TRIM(Raw_Data_Copy!I560)</f>
        <v>353.76</v>
      </c>
      <c r="J560" t="str">
        <f>TRIM(Raw_Data_Copy!J560)</f>
        <v>0.1</v>
      </c>
      <c r="K560">
        <f>ROUND(Cleaned_data!$H560*Cleaned_data!$I560*(1-Cleaned_data!$J560),2)</f>
        <v>318.38</v>
      </c>
      <c r="L560" t="str">
        <f>PROPER(TRIM(Raw_Data_Copy!L560))</f>
        <v>Bank Transfer</v>
      </c>
    </row>
    <row r="561" spans="1:12" x14ac:dyDescent="0.3">
      <c r="A561" t="str">
        <f>TRIM(Raw_Data_Copy!A561)</f>
        <v>ORD-0561</v>
      </c>
      <c r="B561" s="2">
        <v>46001</v>
      </c>
      <c r="C561" t="str">
        <f>TRIM(Raw_Data_Copy!C561)</f>
        <v>CUST-0049</v>
      </c>
      <c r="D561" t="str">
        <f>PROPER(TRIM(Raw_Data_Copy!D561))</f>
        <v>Nigeria</v>
      </c>
      <c r="E561" t="str">
        <f>PROPER(TRIM(Raw_Data_Copy!E561))</f>
        <v>West Africa</v>
      </c>
      <c r="F561" t="str">
        <f>PROPER(TRIM(Raw_Data_Copy!F561))</f>
        <v>Headphones</v>
      </c>
      <c r="G561" t="str">
        <f>PROPER(TRIM(Raw_Data_Copy!G561))</f>
        <v>Electronics</v>
      </c>
      <c r="H561" t="str">
        <f>TRIM(Raw_Data_Copy!H561)</f>
        <v>6</v>
      </c>
      <c r="I561" t="str">
        <f>TRIM(Raw_Data_Copy!I561)</f>
        <v>110.1</v>
      </c>
      <c r="J561" t="str">
        <f>TRIM(Raw_Data_Copy!J561)</f>
        <v>0.05</v>
      </c>
      <c r="K561">
        <f>ROUND(Cleaned_data!$H561*Cleaned_data!$I561*(1-Cleaned_data!$J561),2)</f>
        <v>627.57000000000005</v>
      </c>
      <c r="L561" t="str">
        <f>PROPER(TRIM(Raw_Data_Copy!L561))</f>
        <v>Card</v>
      </c>
    </row>
    <row r="562" spans="1:12" x14ac:dyDescent="0.3">
      <c r="A562" t="str">
        <f>TRIM(Raw_Data_Copy!A562)</f>
        <v>ORD-0237</v>
      </c>
      <c r="B562" s="2">
        <v>46002</v>
      </c>
      <c r="C562" t="str">
        <f>TRIM(Raw_Data_Copy!C562)</f>
        <v>CUST-0146</v>
      </c>
      <c r="D562" t="str">
        <f>PROPER(TRIM(Raw_Data_Copy!D562))</f>
        <v>Nigeria</v>
      </c>
      <c r="E562" t="str">
        <f>PROPER(TRIM(Raw_Data_Copy!E562))</f>
        <v>West Africa</v>
      </c>
      <c r="F562" t="str">
        <f>PROPER(TRIM(Raw_Data_Copy!F562))</f>
        <v>Office Chair</v>
      </c>
      <c r="G562" t="str">
        <f>PROPER(TRIM(Raw_Data_Copy!G562))</f>
        <v>Furniture</v>
      </c>
      <c r="H562" t="str">
        <f>TRIM(Raw_Data_Copy!H562)</f>
        <v>2</v>
      </c>
      <c r="I562" t="str">
        <f>TRIM(Raw_Data_Copy!I562)</f>
        <v>230.21</v>
      </c>
      <c r="J562" t="str">
        <f>TRIM(Raw_Data_Copy!J562)</f>
        <v>0.2</v>
      </c>
      <c r="K562">
        <f>ROUND(Cleaned_data!$H562*Cleaned_data!$I562*(1-Cleaned_data!$J562),2)</f>
        <v>368.34</v>
      </c>
      <c r="L562" t="str">
        <f>PROPER(TRIM(Raw_Data_Copy!L562))</f>
        <v>Mobile Money</v>
      </c>
    </row>
    <row r="563" spans="1:12" x14ac:dyDescent="0.3">
      <c r="A563" t="str">
        <f>TRIM(Raw_Data_Copy!A563)</f>
        <v>ORD-0308</v>
      </c>
      <c r="B563" s="2">
        <v>46002</v>
      </c>
      <c r="C563" t="str">
        <f>TRIM(Raw_Data_Copy!C563)</f>
        <v>CUST-0085</v>
      </c>
      <c r="D563" t="str">
        <f>PROPER(TRIM(Raw_Data_Copy!D563))</f>
        <v>United States</v>
      </c>
      <c r="E563" t="str">
        <f>PROPER(TRIM(Raw_Data_Copy!E563))</f>
        <v>North America</v>
      </c>
      <c r="F563" t="str">
        <f>PROPER(TRIM(Raw_Data_Copy!F563))</f>
        <v>Desk</v>
      </c>
      <c r="G563" t="str">
        <f>PROPER(TRIM(Raw_Data_Copy!G563))</f>
        <v>Furniture</v>
      </c>
      <c r="H563" t="str">
        <f>TRIM(Raw_Data_Copy!H563)</f>
        <v>3</v>
      </c>
      <c r="I563" t="str">
        <f>TRIM(Raw_Data_Copy!I563)</f>
        <v>365.76</v>
      </c>
      <c r="J563" t="str">
        <f>TRIM(Raw_Data_Copy!J563)</f>
        <v>0</v>
      </c>
      <c r="K563">
        <f>ROUND(Cleaned_data!$H563*Cleaned_data!$I563*(1-Cleaned_data!$J563),2)</f>
        <v>1097.28</v>
      </c>
      <c r="L563" t="str">
        <f>PROPER(TRIM(Raw_Data_Copy!L563))</f>
        <v>Card</v>
      </c>
    </row>
    <row r="564" spans="1:12" x14ac:dyDescent="0.3">
      <c r="A564" t="str">
        <f>TRIM(Raw_Data_Copy!A564)</f>
        <v>ORD-0026</v>
      </c>
      <c r="B564" s="2">
        <v>46003</v>
      </c>
      <c r="C564" t="str">
        <f>TRIM(Raw_Data_Copy!C564)</f>
        <v>CUST-0147</v>
      </c>
      <c r="D564" t="str">
        <f>PROPER(TRIM(Raw_Data_Copy!D564))</f>
        <v>United Kingdom</v>
      </c>
      <c r="E564" t="str">
        <f>PROPER(TRIM(Raw_Data_Copy!E564))</f>
        <v>Europe</v>
      </c>
      <c r="F564" t="str">
        <f>PROPER(TRIM(Raw_Data_Copy!F564))</f>
        <v>Desk Lamp</v>
      </c>
      <c r="G564" t="str">
        <f>PROPER(TRIM(Raw_Data_Copy!G564))</f>
        <v>Furniture</v>
      </c>
      <c r="H564" t="str">
        <f>TRIM(Raw_Data_Copy!H564)</f>
        <v>3</v>
      </c>
      <c r="I564" t="str">
        <f>TRIM(Raw_Data_Copy!I564)</f>
        <v>51.55</v>
      </c>
      <c r="J564" t="str">
        <f>TRIM(Raw_Data_Copy!J564)</f>
        <v>0</v>
      </c>
      <c r="K564">
        <f>ROUND(Cleaned_data!$H564*Cleaned_data!$I564*(1-Cleaned_data!$J564),2)</f>
        <v>154.65</v>
      </c>
      <c r="L564" t="str">
        <f>PROPER(TRIM(Raw_Data_Copy!L564))</f>
        <v>Mobile Money</v>
      </c>
    </row>
    <row r="565" spans="1:12" x14ac:dyDescent="0.3">
      <c r="A565" t="str">
        <f>TRIM(Raw_Data_Copy!A565)</f>
        <v>ORD-0047</v>
      </c>
      <c r="B565" s="2">
        <v>46003</v>
      </c>
      <c r="C565" t="str">
        <f>TRIM(Raw_Data_Copy!C565)</f>
        <v>CUST-0117</v>
      </c>
      <c r="D565" t="str">
        <f>PROPER(TRIM(Raw_Data_Copy!D565))</f>
        <v>Kenya</v>
      </c>
      <c r="E565" t="str">
        <f>PROPER(TRIM(Raw_Data_Copy!E565))</f>
        <v>East Africa</v>
      </c>
      <c r="F565" t="str">
        <f>PROPER(TRIM(Raw_Data_Copy!F565))</f>
        <v>Headphones</v>
      </c>
      <c r="G565" t="str">
        <f>PROPER(TRIM(Raw_Data_Copy!G565))</f>
        <v>Electronics</v>
      </c>
      <c r="H565" t="str">
        <f>TRIM(Raw_Data_Copy!H565)</f>
        <v>1</v>
      </c>
      <c r="I565" t="str">
        <f>TRIM(Raw_Data_Copy!I565)</f>
        <v>117.57</v>
      </c>
      <c r="J565" t="str">
        <f>TRIM(Raw_Data_Copy!J565)</f>
        <v>0.1</v>
      </c>
      <c r="K565">
        <f>ROUND(Cleaned_data!$H565*Cleaned_data!$I565*(1-Cleaned_data!$J565),2)</f>
        <v>105.81</v>
      </c>
      <c r="L565" t="str">
        <f>PROPER(TRIM(Raw_Data_Copy!L565))</f>
        <v>Bank Transfer</v>
      </c>
    </row>
    <row r="566" spans="1:12" x14ac:dyDescent="0.3">
      <c r="A566" t="str">
        <f>TRIM(Raw_Data_Copy!A566)</f>
        <v>ORD-0015</v>
      </c>
      <c r="B566" s="2">
        <v>46003</v>
      </c>
      <c r="C566" t="str">
        <f>TRIM(Raw_Data_Copy!C566)</f>
        <v>CUST-0042</v>
      </c>
      <c r="D566" t="str">
        <f>PROPER(TRIM(Raw_Data_Copy!D566))</f>
        <v>United Kingdom</v>
      </c>
      <c r="E566" t="str">
        <f>PROPER(TRIM(Raw_Data_Copy!E566))</f>
        <v>Europe</v>
      </c>
      <c r="F566" t="str">
        <f>PROPER(TRIM(Raw_Data_Copy!F566))</f>
        <v>Monitor</v>
      </c>
      <c r="G566" t="str">
        <f>PROPER(TRIM(Raw_Data_Copy!G566))</f>
        <v>Electronics</v>
      </c>
      <c r="H566" t="str">
        <f>TRIM(Raw_Data_Copy!H566)</f>
        <v>7</v>
      </c>
      <c r="I566" t="str">
        <f>TRIM(Raw_Data_Copy!I566)</f>
        <v>285.36</v>
      </c>
      <c r="J566" t="str">
        <f>TRIM(Raw_Data_Copy!J566)</f>
        <v>0</v>
      </c>
      <c r="K566">
        <f>ROUND(Cleaned_data!$H566*Cleaned_data!$I566*(1-Cleaned_data!$J566),2)</f>
        <v>1997.52</v>
      </c>
      <c r="L566" t="str">
        <f>PROPER(TRIM(Raw_Data_Copy!L566))</f>
        <v>Bank Transfer</v>
      </c>
    </row>
    <row r="567" spans="1:12" x14ac:dyDescent="0.3">
      <c r="A567" t="str">
        <f>TRIM(Raw_Data_Copy!A567)</f>
        <v>ORD-0172</v>
      </c>
      <c r="B567" s="2">
        <v>46006</v>
      </c>
      <c r="C567" t="str">
        <f>TRIM(Raw_Data_Copy!C567)</f>
        <v>CUST-0115</v>
      </c>
      <c r="D567" t="str">
        <f>PROPER(TRIM(Raw_Data_Copy!D567))</f>
        <v>South Africa</v>
      </c>
      <c r="E567" t="str">
        <f>PROPER(TRIM(Raw_Data_Copy!E567))</f>
        <v>Southern Africa</v>
      </c>
      <c r="F567" t="str">
        <f>PROPER(TRIM(Raw_Data_Copy!F567))</f>
        <v>Desk</v>
      </c>
      <c r="G567" t="str">
        <f>PROPER(TRIM(Raw_Data_Copy!G567))</f>
        <v>Furniture</v>
      </c>
      <c r="H567" t="str">
        <f>TRIM(Raw_Data_Copy!H567)</f>
        <v>5</v>
      </c>
      <c r="I567" t="str">
        <f>TRIM(Raw_Data_Copy!I567)</f>
        <v>374.58</v>
      </c>
      <c r="J567" t="str">
        <f>TRIM(Raw_Data_Copy!J567)</f>
        <v>0.1</v>
      </c>
      <c r="K567">
        <f>ROUND(Cleaned_data!$H567*Cleaned_data!$I567*(1-Cleaned_data!$J567),2)</f>
        <v>1685.61</v>
      </c>
      <c r="L567" t="str">
        <f>PROPER(TRIM(Raw_Data_Copy!L567))</f>
        <v>Mobile Money</v>
      </c>
    </row>
    <row r="568" spans="1:12" x14ac:dyDescent="0.3">
      <c r="A568" t="str">
        <f>TRIM(Raw_Data_Copy!A568)</f>
        <v>ORD-0328</v>
      </c>
      <c r="B568" s="2">
        <v>46007</v>
      </c>
      <c r="C568" t="str">
        <f>TRIM(Raw_Data_Copy!C568)</f>
        <v>CUST-0015</v>
      </c>
      <c r="D568" t="str">
        <f>PROPER(TRIM(Raw_Data_Copy!D568))</f>
        <v>South Africa</v>
      </c>
      <c r="E568" t="str">
        <f>PROPER(TRIM(Raw_Data_Copy!E568))</f>
        <v>Southern Africa</v>
      </c>
      <c r="F568" t="str">
        <f>PROPER(TRIM(Raw_Data_Copy!F568))</f>
        <v>Monitor</v>
      </c>
      <c r="G568" t="str">
        <f>PROPER(TRIM(Raw_Data_Copy!G568))</f>
        <v>Electronics</v>
      </c>
      <c r="H568" t="str">
        <f>TRIM(Raw_Data_Copy!H568)</f>
        <v>8</v>
      </c>
      <c r="I568" t="str">
        <f>TRIM(Raw_Data_Copy!I568)</f>
        <v>304.63</v>
      </c>
      <c r="J568" t="str">
        <f>TRIM(Raw_Data_Copy!J568)</f>
        <v>0.15</v>
      </c>
      <c r="K568">
        <f>ROUND(Cleaned_data!$H568*Cleaned_data!$I568*(1-Cleaned_data!$J568),2)</f>
        <v>2071.48</v>
      </c>
      <c r="L568" t="str">
        <f>PROPER(TRIM(Raw_Data_Copy!L568))</f>
        <v>Bank Transfer</v>
      </c>
    </row>
    <row r="569" spans="1:12" x14ac:dyDescent="0.3">
      <c r="A569" t="str">
        <f>TRIM(Raw_Data_Copy!A569)</f>
        <v>ORD-0008</v>
      </c>
      <c r="B569" s="2">
        <v>46008</v>
      </c>
      <c r="C569" t="str">
        <f>TRIM(Raw_Data_Copy!C569)</f>
        <v>CUST-0048</v>
      </c>
      <c r="D569" t="str">
        <f>PROPER(TRIM(Raw_Data_Copy!D569))</f>
        <v>Kenya</v>
      </c>
      <c r="E569" t="str">
        <f>PROPER(TRIM(Raw_Data_Copy!E569))</f>
        <v>East Africa</v>
      </c>
      <c r="F569" t="str">
        <f>PROPER(TRIM(Raw_Data_Copy!F569))</f>
        <v>Smartphone</v>
      </c>
      <c r="G569" t="str">
        <f>PROPER(TRIM(Raw_Data_Copy!G569))</f>
        <v>Electronics</v>
      </c>
      <c r="H569" t="str">
        <f>TRIM(Raw_Data_Copy!H569)</f>
        <v>2</v>
      </c>
      <c r="I569" t="str">
        <f>TRIM(Raw_Data_Copy!I569)</f>
        <v>643.47</v>
      </c>
      <c r="J569" t="str">
        <f>TRIM(Raw_Data_Copy!J569)</f>
        <v>0.1</v>
      </c>
      <c r="K569">
        <f>ROUND(Cleaned_data!$H569*Cleaned_data!$I569*(1-Cleaned_data!$J569),2)</f>
        <v>1158.25</v>
      </c>
      <c r="L569" t="str">
        <f>PROPER(TRIM(Raw_Data_Copy!L569))</f>
        <v>Cash</v>
      </c>
    </row>
    <row r="570" spans="1:12" x14ac:dyDescent="0.3">
      <c r="A570" t="str">
        <f>TRIM(Raw_Data_Copy!A570)</f>
        <v>ORD-0080</v>
      </c>
      <c r="B570" s="2">
        <v>46008</v>
      </c>
      <c r="C570" t="str">
        <f>TRIM(Raw_Data_Copy!C570)</f>
        <v>CUST-0133</v>
      </c>
      <c r="D570" t="str">
        <f>PROPER(TRIM(Raw_Data_Copy!D570))</f>
        <v>Nigeria</v>
      </c>
      <c r="E570" t="str">
        <f>PROPER(TRIM(Raw_Data_Copy!E570))</f>
        <v>West Africa</v>
      </c>
      <c r="F570" t="str">
        <f>PROPER(TRIM(Raw_Data_Copy!F570))</f>
        <v>Laptop</v>
      </c>
      <c r="G570" t="str">
        <f>PROPER(TRIM(Raw_Data_Copy!G570))</f>
        <v>Electronics</v>
      </c>
      <c r="H570" t="str">
        <f>TRIM(Raw_Data_Copy!H570)</f>
        <v>5</v>
      </c>
      <c r="I570" t="str">
        <f>TRIM(Raw_Data_Copy!I570)</f>
        <v>820.15</v>
      </c>
      <c r="J570" t="str">
        <f>TRIM(Raw_Data_Copy!J570)</f>
        <v>0.2</v>
      </c>
      <c r="K570">
        <f>ROUND(Cleaned_data!$H570*Cleaned_data!$I570*(1-Cleaned_data!$J570),2)</f>
        <v>3280.6</v>
      </c>
      <c r="L570" t="str">
        <f>PROPER(TRIM(Raw_Data_Copy!L570))</f>
        <v>Bank Transfer</v>
      </c>
    </row>
    <row r="571" spans="1:12" x14ac:dyDescent="0.3">
      <c r="A571" t="str">
        <f>TRIM(Raw_Data_Copy!A571)</f>
        <v>ORD-0381</v>
      </c>
      <c r="B571" s="2">
        <v>46009</v>
      </c>
      <c r="C571" t="str">
        <f>TRIM(Raw_Data_Copy!C571)</f>
        <v>CUST-0072</v>
      </c>
      <c r="D571" t="str">
        <f>PROPER(TRIM(Raw_Data_Copy!D571))</f>
        <v>Ghana</v>
      </c>
      <c r="E571" t="str">
        <f>PROPER(TRIM(Raw_Data_Copy!E571))</f>
        <v>West Africa</v>
      </c>
      <c r="F571" t="str">
        <f>PROPER(TRIM(Raw_Data_Copy!F571))</f>
        <v>Mouse</v>
      </c>
      <c r="G571" t="str">
        <f>PROPER(TRIM(Raw_Data_Copy!G571))</f>
        <v>Electronics</v>
      </c>
      <c r="H571" t="str">
        <f>TRIM(Raw_Data_Copy!H571)</f>
        <v>8</v>
      </c>
      <c r="I571" t="str">
        <f>TRIM(Raw_Data_Copy!I571)</f>
        <v>48.19</v>
      </c>
      <c r="J571" t="str">
        <f>TRIM(Raw_Data_Copy!J571)</f>
        <v>0.1</v>
      </c>
      <c r="K571">
        <f>ROUND(Cleaned_data!$H571*Cleaned_data!$I571*(1-Cleaned_data!$J571),2)</f>
        <v>346.97</v>
      </c>
      <c r="L571" t="str">
        <f>PROPER(TRIM(Raw_Data_Copy!L571))</f>
        <v>Bank Transfer</v>
      </c>
    </row>
    <row r="572" spans="1:12" x14ac:dyDescent="0.3">
      <c r="A572" t="str">
        <f>TRIM(Raw_Data_Copy!A572)</f>
        <v>ORD-0242</v>
      </c>
      <c r="B572" s="2">
        <v>46010</v>
      </c>
      <c r="C572" t="str">
        <f>TRIM(Raw_Data_Copy!C572)</f>
        <v>CUST-0164</v>
      </c>
      <c r="D572" t="str">
        <f>PROPER(TRIM(Raw_Data_Copy!D572))</f>
        <v>United Kingdom</v>
      </c>
      <c r="E572" t="str">
        <f>PROPER(TRIM(Raw_Data_Copy!E572))</f>
        <v>Europe</v>
      </c>
      <c r="F572" t="str">
        <f>PROPER(TRIM(Raw_Data_Copy!F572))</f>
        <v>Printer</v>
      </c>
      <c r="G572" t="str">
        <f>PROPER(TRIM(Raw_Data_Copy!G572))</f>
        <v>Office Supplies</v>
      </c>
      <c r="H572" t="str">
        <f>TRIM(Raw_Data_Copy!H572)</f>
        <v>8</v>
      </c>
      <c r="I572" t="str">
        <f>TRIM(Raw_Data_Copy!I572)</f>
        <v>238.71</v>
      </c>
      <c r="J572" t="str">
        <f>TRIM(Raw_Data_Copy!J572)</f>
        <v>0</v>
      </c>
      <c r="K572">
        <f>ROUND(Cleaned_data!$H572*Cleaned_data!$I572*(1-Cleaned_data!$J572),2)</f>
        <v>1909.68</v>
      </c>
      <c r="L572" t="str">
        <f>PROPER(TRIM(Raw_Data_Copy!L572))</f>
        <v>Card</v>
      </c>
    </row>
    <row r="573" spans="1:12" x14ac:dyDescent="0.3">
      <c r="A573" t="str">
        <f>TRIM(Raw_Data_Copy!A573)</f>
        <v>ORD-0361</v>
      </c>
      <c r="B573" s="2">
        <v>46011</v>
      </c>
      <c r="C573" t="str">
        <f>TRIM(Raw_Data_Copy!C573)</f>
        <v>CUST-0032</v>
      </c>
      <c r="D573" t="str">
        <f>PROPER(TRIM(Raw_Data_Copy!D573))</f>
        <v>Nigeria</v>
      </c>
      <c r="E573" t="str">
        <f>PROPER(TRIM(Raw_Data_Copy!E573))</f>
        <v>West Africa</v>
      </c>
      <c r="F573" t="str">
        <f>PROPER(TRIM(Raw_Data_Copy!F573))</f>
        <v>Monitor</v>
      </c>
      <c r="G573" t="str">
        <f>PROPER(TRIM(Raw_Data_Copy!G573))</f>
        <v>Electronics</v>
      </c>
      <c r="H573" t="str">
        <f>TRIM(Raw_Data_Copy!H573)</f>
        <v>1</v>
      </c>
      <c r="I573" t="str">
        <f>TRIM(Raw_Data_Copy!I573)</f>
        <v>288.38</v>
      </c>
      <c r="J573" t="str">
        <f>TRIM(Raw_Data_Copy!J573)</f>
        <v>0.2</v>
      </c>
      <c r="K573">
        <f>ROUND(Cleaned_data!$H573*Cleaned_data!$I573*(1-Cleaned_data!$J573),2)</f>
        <v>230.7</v>
      </c>
      <c r="L573" t="str">
        <f>PROPER(TRIM(Raw_Data_Copy!L573))</f>
        <v>Mobile Money</v>
      </c>
    </row>
    <row r="574" spans="1:12" x14ac:dyDescent="0.3">
      <c r="A574" t="str">
        <f>TRIM(Raw_Data_Copy!A574)</f>
        <v>ORD-0395</v>
      </c>
      <c r="B574" s="2">
        <v>46011</v>
      </c>
      <c r="C574" t="str">
        <f>TRIM(Raw_Data_Copy!C574)</f>
        <v>CUST-0127</v>
      </c>
      <c r="D574" t="str">
        <f>PROPER(TRIM(Raw_Data_Copy!D574))</f>
        <v>United Kingdom</v>
      </c>
      <c r="E574" t="str">
        <f>PROPER(TRIM(Raw_Data_Copy!E574))</f>
        <v>Europe</v>
      </c>
      <c r="F574" t="str">
        <f>PROPER(TRIM(Raw_Data_Copy!F574))</f>
        <v>Smartphone</v>
      </c>
      <c r="G574" t="str">
        <f>PROPER(TRIM(Raw_Data_Copy!G574))</f>
        <v>Electronics</v>
      </c>
      <c r="H574" t="str">
        <f>TRIM(Raw_Data_Copy!H574)</f>
        <v>4</v>
      </c>
      <c r="I574" t="str">
        <f>TRIM(Raw_Data_Copy!I574)</f>
        <v>649.57</v>
      </c>
      <c r="J574" t="str">
        <f>TRIM(Raw_Data_Copy!J574)</f>
        <v>0.05</v>
      </c>
      <c r="K574">
        <f>ROUND(Cleaned_data!$H574*Cleaned_data!$I574*(1-Cleaned_data!$J574),2)</f>
        <v>2468.37</v>
      </c>
      <c r="L574" t="str">
        <f>PROPER(TRIM(Raw_Data_Copy!L574))</f>
        <v>Card</v>
      </c>
    </row>
    <row r="575" spans="1:12" x14ac:dyDescent="0.3">
      <c r="A575" t="str">
        <f>TRIM(Raw_Data_Copy!A575)</f>
        <v>ORD-0139</v>
      </c>
      <c r="B575" s="2">
        <v>46012</v>
      </c>
      <c r="C575" t="str">
        <f>TRIM(Raw_Data_Copy!C575)</f>
        <v>CUST-0086</v>
      </c>
      <c r="D575" t="str">
        <f>PROPER(TRIM(Raw_Data_Copy!D575))</f>
        <v>Nigeria</v>
      </c>
      <c r="E575" t="str">
        <f>PROPER(TRIM(Raw_Data_Copy!E575))</f>
        <v>West Africa</v>
      </c>
      <c r="F575" t="str">
        <f>PROPER(TRIM(Raw_Data_Copy!F575))</f>
        <v>Desk</v>
      </c>
      <c r="G575" t="str">
        <f>PROPER(TRIM(Raw_Data_Copy!G575))</f>
        <v>Furniture</v>
      </c>
      <c r="H575" t="str">
        <f>TRIM(Raw_Data_Copy!H575)</f>
        <v>5</v>
      </c>
      <c r="I575" t="str">
        <f>TRIM(Raw_Data_Copy!I575)</f>
        <v>343.66</v>
      </c>
      <c r="J575" t="str">
        <f>TRIM(Raw_Data_Copy!J575)</f>
        <v>0.1</v>
      </c>
      <c r="K575">
        <f>ROUND(Cleaned_data!$H575*Cleaned_data!$I575*(1-Cleaned_data!$J575),2)</f>
        <v>1546.47</v>
      </c>
      <c r="L575" t="str">
        <f>PROPER(TRIM(Raw_Data_Copy!L575))</f>
        <v>Mobile Money</v>
      </c>
    </row>
    <row r="576" spans="1:12" x14ac:dyDescent="0.3">
      <c r="A576" t="str">
        <f>TRIM(Raw_Data_Copy!A576)</f>
        <v>ORD-0206</v>
      </c>
      <c r="B576" s="2">
        <v>46012</v>
      </c>
      <c r="C576" t="str">
        <f>TRIM(Raw_Data_Copy!C576)</f>
        <v>CUST-0026</v>
      </c>
      <c r="D576" t="str">
        <f>PROPER(TRIM(Raw_Data_Copy!D576))</f>
        <v>Nigeria</v>
      </c>
      <c r="E576" t="str">
        <f>PROPER(TRIM(Raw_Data_Copy!E576))</f>
        <v>West Africa</v>
      </c>
      <c r="F576" t="str">
        <f>PROPER(TRIM(Raw_Data_Copy!F576))</f>
        <v>Desk Lamp</v>
      </c>
      <c r="G576" t="str">
        <f>PROPER(TRIM(Raw_Data_Copy!G576))</f>
        <v>Furniture</v>
      </c>
      <c r="H576" t="str">
        <f>TRIM(Raw_Data_Copy!H576)</f>
        <v>3</v>
      </c>
      <c r="I576" t="str">
        <f>TRIM(Raw_Data_Copy!I576)</f>
        <v>56.35</v>
      </c>
      <c r="J576" t="str">
        <f>TRIM(Raw_Data_Copy!J576)</f>
        <v>0.15</v>
      </c>
      <c r="K576">
        <f>ROUND(Cleaned_data!$H576*Cleaned_data!$I576*(1-Cleaned_data!$J576),2)</f>
        <v>143.69</v>
      </c>
      <c r="L576" t="str">
        <f>PROPER(TRIM(Raw_Data_Copy!L576))</f>
        <v>Bank Transfer</v>
      </c>
    </row>
    <row r="577" spans="1:12" x14ac:dyDescent="0.3">
      <c r="A577" t="str">
        <f>TRIM(Raw_Data_Copy!A577)</f>
        <v>ORD-0106</v>
      </c>
      <c r="B577" s="2">
        <v>46013</v>
      </c>
      <c r="C577" t="str">
        <f>TRIM(Raw_Data_Copy!C577)</f>
        <v>CUST-0077</v>
      </c>
      <c r="D577" t="str">
        <f>PROPER(TRIM(Raw_Data_Copy!D577))</f>
        <v>Kenya</v>
      </c>
      <c r="E577" t="str">
        <f>PROPER(TRIM(Raw_Data_Copy!E577))</f>
        <v>East Africa</v>
      </c>
      <c r="F577" t="str">
        <f>PROPER(TRIM(Raw_Data_Copy!F577))</f>
        <v>Laptop</v>
      </c>
      <c r="G577" t="str">
        <f>PROPER(TRIM(Raw_Data_Copy!G577))</f>
        <v>Electronics</v>
      </c>
      <c r="H577" t="str">
        <f>TRIM(Raw_Data_Copy!H577)</f>
        <v>2</v>
      </c>
      <c r="I577" t="str">
        <f>TRIM(Raw_Data_Copy!I577)</f>
        <v>948.2</v>
      </c>
      <c r="J577" t="str">
        <f>TRIM(Raw_Data_Copy!J577)</f>
        <v>0</v>
      </c>
      <c r="K577">
        <f>ROUND(Cleaned_data!$H577*Cleaned_data!$I577*(1-Cleaned_data!$J577),2)</f>
        <v>1896.4</v>
      </c>
      <c r="L577" t="str">
        <f>PROPER(TRIM(Raw_Data_Copy!L577))</f>
        <v>Mobile Money</v>
      </c>
    </row>
    <row r="578" spans="1:12" x14ac:dyDescent="0.3">
      <c r="A578" t="str">
        <f>TRIM(Raw_Data_Copy!A578)</f>
        <v>ORD-0359</v>
      </c>
      <c r="B578" s="2">
        <v>46014</v>
      </c>
      <c r="C578" t="str">
        <f>TRIM(Raw_Data_Copy!C578)</f>
        <v>CUST-0062</v>
      </c>
      <c r="D578" t="str">
        <f>PROPER(TRIM(Raw_Data_Copy!D578))</f>
        <v>Ghana</v>
      </c>
      <c r="E578" t="str">
        <f>PROPER(TRIM(Raw_Data_Copy!E578))</f>
        <v>West Africa</v>
      </c>
      <c r="F578" t="str">
        <f>PROPER(TRIM(Raw_Data_Copy!F578))</f>
        <v>Desk Lamp</v>
      </c>
      <c r="G578" t="str">
        <f>PROPER(TRIM(Raw_Data_Copy!G578))</f>
        <v>Furniture</v>
      </c>
      <c r="H578" t="str">
        <f>TRIM(Raw_Data_Copy!H578)</f>
        <v>3</v>
      </c>
      <c r="I578" t="str">
        <f>TRIM(Raw_Data_Copy!I578)</f>
        <v>54.44</v>
      </c>
      <c r="J578" t="str">
        <f>TRIM(Raw_Data_Copy!J578)</f>
        <v>0</v>
      </c>
      <c r="K578">
        <f>ROUND(Cleaned_data!$H578*Cleaned_data!$I578*(1-Cleaned_data!$J578),2)</f>
        <v>163.32</v>
      </c>
      <c r="L578" t="str">
        <f>PROPER(TRIM(Raw_Data_Copy!L578))</f>
        <v>Card</v>
      </c>
    </row>
    <row r="579" spans="1:12" x14ac:dyDescent="0.3">
      <c r="A579" t="str">
        <f>TRIM(Raw_Data_Copy!A579)</f>
        <v>ORD-0448</v>
      </c>
      <c r="B579" s="2">
        <v>46014</v>
      </c>
      <c r="C579" t="str">
        <f>TRIM(Raw_Data_Copy!C579)</f>
        <v>CUST-0102</v>
      </c>
      <c r="D579" t="str">
        <f>PROPER(TRIM(Raw_Data_Copy!D579))</f>
        <v>Kenya</v>
      </c>
      <c r="E579" t="str">
        <f>PROPER(TRIM(Raw_Data_Copy!E579))</f>
        <v>East Africa</v>
      </c>
      <c r="F579" t="str">
        <f>PROPER(TRIM(Raw_Data_Copy!F579))</f>
        <v>Laptop</v>
      </c>
      <c r="G579" t="str">
        <f>PROPER(TRIM(Raw_Data_Copy!G579))</f>
        <v>Electronics</v>
      </c>
      <c r="H579" t="str">
        <f>TRIM(Raw_Data_Copy!H579)</f>
        <v>4</v>
      </c>
      <c r="I579" t="str">
        <f>TRIM(Raw_Data_Copy!I579)</f>
        <v>980.86</v>
      </c>
      <c r="J579" t="str">
        <f>TRIM(Raw_Data_Copy!J579)</f>
        <v>0.15</v>
      </c>
      <c r="K579">
        <f>ROUND(Cleaned_data!$H579*Cleaned_data!$I579*(1-Cleaned_data!$J579),2)</f>
        <v>3334.92</v>
      </c>
      <c r="L579" t="str">
        <f>PROPER(TRIM(Raw_Data_Copy!L579))</f>
        <v>Card</v>
      </c>
    </row>
    <row r="580" spans="1:12" x14ac:dyDescent="0.3">
      <c r="A580" t="str">
        <f>TRIM(Raw_Data_Copy!A580)</f>
        <v>ORD-0389</v>
      </c>
      <c r="B580" s="2">
        <v>46015</v>
      </c>
      <c r="C580" t="str">
        <f>TRIM(Raw_Data_Copy!C580)</f>
        <v>CUST-0066</v>
      </c>
      <c r="D580" t="str">
        <f>PROPER(TRIM(Raw_Data_Copy!D580))</f>
        <v>Kenya</v>
      </c>
      <c r="E580" t="str">
        <f>PROPER(TRIM(Raw_Data_Copy!E580))</f>
        <v>East Africa</v>
      </c>
      <c r="F580" t="str">
        <f>PROPER(TRIM(Raw_Data_Copy!F580))</f>
        <v>Smartphone</v>
      </c>
      <c r="G580" t="str">
        <f>PROPER(TRIM(Raw_Data_Copy!G580))</f>
        <v>Electronics</v>
      </c>
      <c r="H580" t="str">
        <f>TRIM(Raw_Data_Copy!H580)</f>
        <v>8</v>
      </c>
      <c r="I580" t="str">
        <f>TRIM(Raw_Data_Copy!I580)</f>
        <v>599.68</v>
      </c>
      <c r="J580" t="str">
        <f>TRIM(Raw_Data_Copy!J580)</f>
        <v>0.2</v>
      </c>
      <c r="K580">
        <f>ROUND(Cleaned_data!$H580*Cleaned_data!$I580*(1-Cleaned_data!$J580),2)</f>
        <v>3837.95</v>
      </c>
      <c r="L580" t="str">
        <f>PROPER(TRIM(Raw_Data_Copy!L580))</f>
        <v>Card</v>
      </c>
    </row>
    <row r="581" spans="1:12" x14ac:dyDescent="0.3">
      <c r="A581" t="str">
        <f>TRIM(Raw_Data_Copy!A581)</f>
        <v>ORD-0576</v>
      </c>
      <c r="B581" s="2">
        <v>46015</v>
      </c>
      <c r="C581" t="str">
        <f>TRIM(Raw_Data_Copy!C581)</f>
        <v>CUST-0093</v>
      </c>
      <c r="D581" t="str">
        <f>PROPER(TRIM(Raw_Data_Copy!D581))</f>
        <v>United Kingdom</v>
      </c>
      <c r="E581" t="str">
        <f>PROPER(TRIM(Raw_Data_Copy!E581))</f>
        <v>Europe</v>
      </c>
      <c r="F581" t="str">
        <f>PROPER(TRIM(Raw_Data_Copy!F581))</f>
        <v>Printer</v>
      </c>
      <c r="G581" t="str">
        <f>PROPER(TRIM(Raw_Data_Copy!G581))</f>
        <v>Office Supplies</v>
      </c>
      <c r="H581" t="str">
        <f>TRIM(Raw_Data_Copy!H581)</f>
        <v>5</v>
      </c>
      <c r="I581" t="str">
        <f>TRIM(Raw_Data_Copy!I581)</f>
        <v>228.78</v>
      </c>
      <c r="J581" t="str">
        <f>TRIM(Raw_Data_Copy!J581)</f>
        <v>0.05</v>
      </c>
      <c r="K581">
        <f>ROUND(Cleaned_data!$H581*Cleaned_data!$I581*(1-Cleaned_data!$J581),2)</f>
        <v>1086.71</v>
      </c>
      <c r="L581" t="str">
        <f>PROPER(TRIM(Raw_Data_Copy!L581))</f>
        <v>Card</v>
      </c>
    </row>
    <row r="582" spans="1:12" x14ac:dyDescent="0.3">
      <c r="A582" t="str">
        <f>TRIM(Raw_Data_Copy!A582)</f>
        <v>ORD-0387</v>
      </c>
      <c r="B582" s="2">
        <v>46015</v>
      </c>
      <c r="C582" t="str">
        <f>TRIM(Raw_Data_Copy!C582)</f>
        <v>CUST-0075</v>
      </c>
      <c r="D582" t="str">
        <f>PROPER(TRIM(Raw_Data_Copy!D582))</f>
        <v>South Africa</v>
      </c>
      <c r="E582" t="str">
        <f>PROPER(TRIM(Raw_Data_Copy!E582))</f>
        <v>Southern Africa</v>
      </c>
      <c r="F582" t="str">
        <f>PROPER(TRIM(Raw_Data_Copy!F582))</f>
        <v>Keyboard</v>
      </c>
      <c r="G582" t="str">
        <f>PROPER(TRIM(Raw_Data_Copy!G582))</f>
        <v>Electronics</v>
      </c>
      <c r="H582" t="str">
        <f>TRIM(Raw_Data_Copy!H582)</f>
        <v>7</v>
      </c>
      <c r="I582" t="str">
        <f>TRIM(Raw_Data_Copy!I582)</f>
        <v>79.8</v>
      </c>
      <c r="J582" t="str">
        <f>TRIM(Raw_Data_Copy!J582)</f>
        <v>0</v>
      </c>
      <c r="K582">
        <f>ROUND(Cleaned_data!$H582*Cleaned_data!$I582*(1-Cleaned_data!$J582),2)</f>
        <v>558.6</v>
      </c>
      <c r="L582" t="str">
        <f>PROPER(TRIM(Raw_Data_Copy!L582))</f>
        <v>Card</v>
      </c>
    </row>
    <row r="583" spans="1:12" x14ac:dyDescent="0.3">
      <c r="A583" t="str">
        <f>TRIM(Raw_Data_Copy!A583)</f>
        <v>ORD-0074</v>
      </c>
      <c r="B583" s="2">
        <v>46015</v>
      </c>
      <c r="C583" t="str">
        <f>TRIM(Raw_Data_Copy!C583)</f>
        <v>CUST-0152</v>
      </c>
      <c r="D583" t="str">
        <f>PROPER(TRIM(Raw_Data_Copy!D583))</f>
        <v>Nigeria</v>
      </c>
      <c r="E583" t="str">
        <f>PROPER(TRIM(Raw_Data_Copy!E583))</f>
        <v>West Africa</v>
      </c>
      <c r="F583" t="str">
        <f>PROPER(TRIM(Raw_Data_Copy!F583))</f>
        <v>Monitor</v>
      </c>
      <c r="G583" t="str">
        <f>PROPER(TRIM(Raw_Data_Copy!G583))</f>
        <v>Electronics</v>
      </c>
      <c r="H583" t="str">
        <f>TRIM(Raw_Data_Copy!H583)</f>
        <v>1</v>
      </c>
      <c r="I583" t="str">
        <f>TRIM(Raw_Data_Copy!I583)</f>
        <v>324.92</v>
      </c>
      <c r="J583" t="str">
        <f>TRIM(Raw_Data_Copy!J583)</f>
        <v>0.25</v>
      </c>
      <c r="K583">
        <f>ROUND(Cleaned_data!$H583*Cleaned_data!$I583*(1-Cleaned_data!$J583),2)</f>
        <v>243.69</v>
      </c>
      <c r="L583" t="str">
        <f>PROPER(TRIM(Raw_Data_Copy!L583))</f>
        <v>Card</v>
      </c>
    </row>
    <row r="584" spans="1:12" x14ac:dyDescent="0.3">
      <c r="A584" t="str">
        <f>TRIM(Raw_Data_Copy!A584)</f>
        <v>ORD-0132</v>
      </c>
      <c r="B584" s="2">
        <v>46016</v>
      </c>
      <c r="C584" t="str">
        <f>TRIM(Raw_Data_Copy!C584)</f>
        <v>CUST-0131</v>
      </c>
      <c r="D584" t="str">
        <f>PROPER(TRIM(Raw_Data_Copy!D584))</f>
        <v>Nigeria</v>
      </c>
      <c r="E584" t="str">
        <f>PROPER(TRIM(Raw_Data_Copy!E584))</f>
        <v>West Africa</v>
      </c>
      <c r="F584" t="str">
        <f>PROPER(TRIM(Raw_Data_Copy!F584))</f>
        <v>Backpack</v>
      </c>
      <c r="G584" t="str">
        <f>PROPER(TRIM(Raw_Data_Copy!G584))</f>
        <v>Accessories</v>
      </c>
      <c r="H584" t="str">
        <f>TRIM(Raw_Data_Copy!H584)</f>
        <v>3</v>
      </c>
      <c r="I584" t="str">
        <f>TRIM(Raw_Data_Copy!I584)</f>
        <v>69.83</v>
      </c>
      <c r="J584" t="str">
        <f>TRIM(Raw_Data_Copy!J584)</f>
        <v>0</v>
      </c>
      <c r="K584">
        <f>ROUND(Cleaned_data!$H584*Cleaned_data!$I584*(1-Cleaned_data!$J584),2)</f>
        <v>209.49</v>
      </c>
      <c r="L584" t="str">
        <f>PROPER(TRIM(Raw_Data_Copy!L584))</f>
        <v>Bank Transfer</v>
      </c>
    </row>
    <row r="585" spans="1:12" x14ac:dyDescent="0.3">
      <c r="A585" t="str">
        <f>TRIM(Raw_Data_Copy!A585)</f>
        <v>ORD-0430</v>
      </c>
      <c r="B585" s="2">
        <v>46017</v>
      </c>
      <c r="C585" t="str">
        <f>TRIM(Raw_Data_Copy!C585)</f>
        <v>CUST-0066</v>
      </c>
      <c r="D585" t="str">
        <f>PROPER(TRIM(Raw_Data_Copy!D585))</f>
        <v>Nigeria</v>
      </c>
      <c r="E585" t="str">
        <f>PROPER(TRIM(Raw_Data_Copy!E585))</f>
        <v>West Africa</v>
      </c>
      <c r="F585" t="str">
        <f>PROPER(TRIM(Raw_Data_Copy!F585))</f>
        <v>Desk Lamp</v>
      </c>
      <c r="G585" t="str">
        <f>PROPER(TRIM(Raw_Data_Copy!G585))</f>
        <v>Furniture</v>
      </c>
      <c r="H585" t="str">
        <f>TRIM(Raw_Data_Copy!H585)</f>
        <v>2</v>
      </c>
      <c r="I585" t="str">
        <f>TRIM(Raw_Data_Copy!I585)</f>
        <v>58.35</v>
      </c>
      <c r="J585" t="str">
        <f>TRIM(Raw_Data_Copy!J585)</f>
        <v>0</v>
      </c>
      <c r="K585">
        <f>ROUND(Cleaned_data!$H585*Cleaned_data!$I585*(1-Cleaned_data!$J585),2)</f>
        <v>116.7</v>
      </c>
      <c r="L585" t="str">
        <f>PROPER(TRIM(Raw_Data_Copy!L585))</f>
        <v>Bank Transfer</v>
      </c>
    </row>
    <row r="586" spans="1:12" x14ac:dyDescent="0.3">
      <c r="A586" t="str">
        <f>TRIM(Raw_Data_Copy!A586)</f>
        <v>ORD-0574</v>
      </c>
      <c r="B586" s="2">
        <v>46017</v>
      </c>
      <c r="C586" t="str">
        <f>TRIM(Raw_Data_Copy!C586)</f>
        <v>CUST-0151</v>
      </c>
      <c r="D586" t="str">
        <f>PROPER(TRIM(Raw_Data_Copy!D586))</f>
        <v>Ghana</v>
      </c>
      <c r="E586" t="str">
        <f>PROPER(TRIM(Raw_Data_Copy!E586))</f>
        <v>West Africa</v>
      </c>
      <c r="F586" t="str">
        <f>PROPER(TRIM(Raw_Data_Copy!F586))</f>
        <v>Monitor</v>
      </c>
      <c r="G586" t="str">
        <f>PROPER(TRIM(Raw_Data_Copy!G586))</f>
        <v>Electronics</v>
      </c>
      <c r="H586" t="str">
        <f>TRIM(Raw_Data_Copy!H586)</f>
        <v>4</v>
      </c>
      <c r="I586" t="str">
        <f>TRIM(Raw_Data_Copy!I586)</f>
        <v>304.89</v>
      </c>
      <c r="J586" t="str">
        <f>TRIM(Raw_Data_Copy!J586)</f>
        <v>0</v>
      </c>
      <c r="K586">
        <f>ROUND(Cleaned_data!$H586*Cleaned_data!$I586*(1-Cleaned_data!$J586),2)</f>
        <v>1219.56</v>
      </c>
      <c r="L586" t="str">
        <f>PROPER(TRIM(Raw_Data_Copy!L586))</f>
        <v>Bank Transfer</v>
      </c>
    </row>
    <row r="587" spans="1:12" x14ac:dyDescent="0.3">
      <c r="A587" t="str">
        <f>TRIM(Raw_Data_Copy!A587)</f>
        <v>ORD-0281</v>
      </c>
      <c r="B587" s="2">
        <v>46017</v>
      </c>
      <c r="C587" t="str">
        <f>TRIM(Raw_Data_Copy!C587)</f>
        <v>CUST-0135</v>
      </c>
      <c r="D587" t="str">
        <f>PROPER(TRIM(Raw_Data_Copy!D587))</f>
        <v>United States</v>
      </c>
      <c r="E587" t="str">
        <f>PROPER(TRIM(Raw_Data_Copy!E587))</f>
        <v>North America</v>
      </c>
      <c r="F587" t="str">
        <f>PROPER(TRIM(Raw_Data_Copy!F587))</f>
        <v>Smartphone</v>
      </c>
      <c r="G587" t="str">
        <f>PROPER(TRIM(Raw_Data_Copy!G587))</f>
        <v>Electronics</v>
      </c>
      <c r="H587" t="str">
        <f>TRIM(Raw_Data_Copy!H587)</f>
        <v>5</v>
      </c>
      <c r="I587" t="str">
        <f>TRIM(Raw_Data_Copy!I587)</f>
        <v>683.16</v>
      </c>
      <c r="J587" t="str">
        <f>TRIM(Raw_Data_Copy!J587)</f>
        <v>0.1</v>
      </c>
      <c r="K587">
        <f>ROUND(Cleaned_data!$H587*Cleaned_data!$I587*(1-Cleaned_data!$J587),2)</f>
        <v>3074.22</v>
      </c>
      <c r="L587" t="str">
        <f>PROPER(TRIM(Raw_Data_Copy!L587))</f>
        <v>Bank Transfer</v>
      </c>
    </row>
    <row r="588" spans="1:12" x14ac:dyDescent="0.3">
      <c r="A588" t="str">
        <f>TRIM(Raw_Data_Copy!A588)</f>
        <v>ORD-0587</v>
      </c>
      <c r="B588" s="2">
        <v>46017</v>
      </c>
      <c r="C588" t="str">
        <f>TRIM(Raw_Data_Copy!C588)</f>
        <v>CUST-0152</v>
      </c>
      <c r="D588" t="str">
        <f>PROPER(TRIM(Raw_Data_Copy!D588))</f>
        <v>Ghana</v>
      </c>
      <c r="E588" t="str">
        <f>PROPER(TRIM(Raw_Data_Copy!E588))</f>
        <v>West Africa</v>
      </c>
      <c r="F588" t="str">
        <f>PROPER(TRIM(Raw_Data_Copy!F588))</f>
        <v>Headphones</v>
      </c>
      <c r="G588" t="str">
        <f>PROPER(TRIM(Raw_Data_Copy!G588))</f>
        <v>Electronics</v>
      </c>
      <c r="H588" t="str">
        <f>TRIM(Raw_Data_Copy!H588)</f>
        <v>4</v>
      </c>
      <c r="I588" t="str">
        <f>TRIM(Raw_Data_Copy!I588)</f>
        <v>121.22</v>
      </c>
      <c r="J588" t="str">
        <f>TRIM(Raw_Data_Copy!J588)</f>
        <v>0.1</v>
      </c>
      <c r="K588">
        <f>ROUND(Cleaned_data!$H588*Cleaned_data!$I588*(1-Cleaned_data!$J588),2)</f>
        <v>436.39</v>
      </c>
      <c r="L588" t="str">
        <f>PROPER(TRIM(Raw_Data_Copy!L588))</f>
        <v>Bank Transfer</v>
      </c>
    </row>
    <row r="589" spans="1:12" x14ac:dyDescent="0.3">
      <c r="A589" t="str">
        <f>TRIM(Raw_Data_Copy!A589)</f>
        <v>ORD-0418</v>
      </c>
      <c r="B589" s="2">
        <v>46017</v>
      </c>
      <c r="C589" t="str">
        <f>TRIM(Raw_Data_Copy!C589)</f>
        <v>CUST-0068</v>
      </c>
      <c r="D589" t="str">
        <f>PROPER(TRIM(Raw_Data_Copy!D589))</f>
        <v>United States</v>
      </c>
      <c r="E589" t="str">
        <f>PROPER(TRIM(Raw_Data_Copy!E589))</f>
        <v>North America</v>
      </c>
      <c r="F589" t="str">
        <f>PROPER(TRIM(Raw_Data_Copy!F589))</f>
        <v>Mouse</v>
      </c>
      <c r="G589" t="str">
        <f>PROPER(TRIM(Raw_Data_Copy!G589))</f>
        <v>Electronics</v>
      </c>
      <c r="H589" t="str">
        <f>TRIM(Raw_Data_Copy!H589)</f>
        <v>2</v>
      </c>
      <c r="I589" t="str">
        <f>TRIM(Raw_Data_Copy!I589)</f>
        <v>43.34</v>
      </c>
      <c r="J589" t="str">
        <f>TRIM(Raw_Data_Copy!J589)</f>
        <v>0.05</v>
      </c>
      <c r="K589">
        <f>ROUND(Cleaned_data!$H589*Cleaned_data!$I589*(1-Cleaned_data!$J589),2)</f>
        <v>82.35</v>
      </c>
      <c r="L589" t="str">
        <f>PROPER(TRIM(Raw_Data_Copy!L589))</f>
        <v>Cash</v>
      </c>
    </row>
    <row r="590" spans="1:12" x14ac:dyDescent="0.3">
      <c r="A590" t="str">
        <f>TRIM(Raw_Data_Copy!A590)</f>
        <v>ORD-0027</v>
      </c>
      <c r="B590" s="2">
        <v>46017</v>
      </c>
      <c r="C590" t="str">
        <f>TRIM(Raw_Data_Copy!C590)</f>
        <v>CUST-0129</v>
      </c>
      <c r="D590" t="str">
        <f>PROPER(TRIM(Raw_Data_Copy!D590))</f>
        <v>Nigeria</v>
      </c>
      <c r="E590" t="str">
        <f>PROPER(TRIM(Raw_Data_Copy!E590))</f>
        <v>West Africa</v>
      </c>
      <c r="F590" t="str">
        <f>PROPER(TRIM(Raw_Data_Copy!F590))</f>
        <v>Monitor</v>
      </c>
      <c r="G590" t="str">
        <f>PROPER(TRIM(Raw_Data_Copy!G590))</f>
        <v>Electronics</v>
      </c>
      <c r="H590" t="str">
        <f>TRIM(Raw_Data_Copy!H590)</f>
        <v>4</v>
      </c>
      <c r="I590" t="str">
        <f>TRIM(Raw_Data_Copy!I590)</f>
        <v>326.43</v>
      </c>
      <c r="J590" t="str">
        <f>TRIM(Raw_Data_Copy!J590)</f>
        <v>0.1</v>
      </c>
      <c r="K590">
        <f>ROUND(Cleaned_data!$H590*Cleaned_data!$I590*(1-Cleaned_data!$J590),2)</f>
        <v>1175.1500000000001</v>
      </c>
      <c r="L590" t="str">
        <f>PROPER(TRIM(Raw_Data_Copy!L590))</f>
        <v>Mobile Money</v>
      </c>
    </row>
    <row r="591" spans="1:12" x14ac:dyDescent="0.3">
      <c r="A591" t="str">
        <f>TRIM(Raw_Data_Copy!A591)</f>
        <v>ORD-0128</v>
      </c>
      <c r="B591" s="2">
        <v>46018</v>
      </c>
      <c r="C591" t="str">
        <f>TRIM(Raw_Data_Copy!C591)</f>
        <v>CUST-0177</v>
      </c>
      <c r="D591" t="str">
        <f>PROPER(TRIM(Raw_Data_Copy!D591))</f>
        <v>Nigeria</v>
      </c>
      <c r="E591" t="str">
        <f>PROPER(TRIM(Raw_Data_Copy!E591))</f>
        <v>West Africa</v>
      </c>
      <c r="F591" t="str">
        <f>PROPER(TRIM(Raw_Data_Copy!F591))</f>
        <v>Printer</v>
      </c>
      <c r="G591" t="str">
        <f>PROPER(TRIM(Raw_Data_Copy!G591))</f>
        <v>Office Supplies</v>
      </c>
      <c r="H591" t="str">
        <f>TRIM(Raw_Data_Copy!H591)</f>
        <v>4</v>
      </c>
      <c r="I591" t="str">
        <f>TRIM(Raw_Data_Copy!I591)</f>
        <v>235.63</v>
      </c>
      <c r="J591" t="str">
        <f>TRIM(Raw_Data_Copy!J591)</f>
        <v>0.1</v>
      </c>
      <c r="K591">
        <f>ROUND(Cleaned_data!$H591*Cleaned_data!$I591*(1-Cleaned_data!$J591),2)</f>
        <v>848.27</v>
      </c>
      <c r="L591" t="str">
        <f>PROPER(TRIM(Raw_Data_Copy!L591))</f>
        <v>Cash</v>
      </c>
    </row>
    <row r="592" spans="1:12" x14ac:dyDescent="0.3">
      <c r="A592" t="str">
        <f>TRIM(Raw_Data_Copy!A592)</f>
        <v>ORD-0070</v>
      </c>
      <c r="B592" s="2">
        <v>46018</v>
      </c>
      <c r="C592" t="str">
        <f>TRIM(Raw_Data_Copy!C592)</f>
        <v>CUST-0167</v>
      </c>
      <c r="D592" t="str">
        <f>PROPER(TRIM(Raw_Data_Copy!D592))</f>
        <v>Ghana</v>
      </c>
      <c r="E592" t="str">
        <f>PROPER(TRIM(Raw_Data_Copy!E592))</f>
        <v>West Africa</v>
      </c>
      <c r="F592" t="str">
        <f>PROPER(TRIM(Raw_Data_Copy!F592))</f>
        <v>Desk Lamp</v>
      </c>
      <c r="G592" t="str">
        <f>PROPER(TRIM(Raw_Data_Copy!G592))</f>
        <v>Furniture</v>
      </c>
      <c r="H592" t="str">
        <f>TRIM(Raw_Data_Copy!H592)</f>
        <v>6</v>
      </c>
      <c r="I592" t="str">
        <f>TRIM(Raw_Data_Copy!I592)</f>
        <v>50.12</v>
      </c>
      <c r="J592" t="str">
        <f>TRIM(Raw_Data_Copy!J592)</f>
        <v>0</v>
      </c>
      <c r="K592">
        <f>ROUND(Cleaned_data!$H592*Cleaned_data!$I592*(1-Cleaned_data!$J592),2)</f>
        <v>300.72000000000003</v>
      </c>
      <c r="L592" t="str">
        <f>PROPER(TRIM(Raw_Data_Copy!L592))</f>
        <v>Card</v>
      </c>
    </row>
    <row r="593" spans="1:12" x14ac:dyDescent="0.3">
      <c r="A593" t="str">
        <f>TRIM(Raw_Data_Copy!A593)</f>
        <v>ORD-0285</v>
      </c>
      <c r="B593" s="2">
        <v>46019</v>
      </c>
      <c r="C593" t="str">
        <f>TRIM(Raw_Data_Copy!C593)</f>
        <v>CUST-0144</v>
      </c>
      <c r="D593" t="str">
        <f>PROPER(TRIM(Raw_Data_Copy!D593))</f>
        <v>South Africa</v>
      </c>
      <c r="E593" t="str">
        <f>PROPER(TRIM(Raw_Data_Copy!E593))</f>
        <v>Southern Africa</v>
      </c>
      <c r="F593" t="str">
        <f>PROPER(TRIM(Raw_Data_Copy!F593))</f>
        <v>Monitor</v>
      </c>
      <c r="G593" t="str">
        <f>PROPER(TRIM(Raw_Data_Copy!G593))</f>
        <v>Electronics</v>
      </c>
      <c r="H593" t="str">
        <f>TRIM(Raw_Data_Copy!H593)</f>
        <v>4</v>
      </c>
      <c r="I593" t="str">
        <f>TRIM(Raw_Data_Copy!I593)</f>
        <v>308.18</v>
      </c>
      <c r="J593" t="str">
        <f>TRIM(Raw_Data_Copy!J593)</f>
        <v>0.15</v>
      </c>
      <c r="K593">
        <f>ROUND(Cleaned_data!$H593*Cleaned_data!$I593*(1-Cleaned_data!$J593),2)</f>
        <v>1047.81</v>
      </c>
      <c r="L593" t="str">
        <f>PROPER(TRIM(Raw_Data_Copy!L593))</f>
        <v>Card</v>
      </c>
    </row>
    <row r="594" spans="1:12" x14ac:dyDescent="0.3">
      <c r="A594" t="str">
        <f>TRIM(Raw_Data_Copy!A594)</f>
        <v>ORD-0479</v>
      </c>
      <c r="B594" s="2">
        <v>46020</v>
      </c>
      <c r="C594" t="str">
        <f>TRIM(Raw_Data_Copy!C594)</f>
        <v>CUST-0123</v>
      </c>
      <c r="D594" t="str">
        <f>PROPER(TRIM(Raw_Data_Copy!D594))</f>
        <v>United States</v>
      </c>
      <c r="E594" t="str">
        <f>PROPER(TRIM(Raw_Data_Copy!E594))</f>
        <v>North America</v>
      </c>
      <c r="F594" t="str">
        <f>PROPER(TRIM(Raw_Data_Copy!F594))</f>
        <v>Mouse</v>
      </c>
      <c r="G594" t="str">
        <f>PROPER(TRIM(Raw_Data_Copy!G594))</f>
        <v>Electronics</v>
      </c>
      <c r="H594" t="str">
        <f>TRIM(Raw_Data_Copy!H594)</f>
        <v>2</v>
      </c>
      <c r="I594" t="str">
        <f>TRIM(Raw_Data_Copy!I594)</f>
        <v>47.59</v>
      </c>
      <c r="J594" t="str">
        <f>TRIM(Raw_Data_Copy!J594)</f>
        <v>0.1</v>
      </c>
      <c r="K594">
        <f>ROUND(Cleaned_data!$H594*Cleaned_data!$I594*(1-Cleaned_data!$J594),2)</f>
        <v>85.66</v>
      </c>
      <c r="L594" t="str">
        <f>PROPER(TRIM(Raw_Data_Copy!L594))</f>
        <v>Mobile Money</v>
      </c>
    </row>
    <row r="595" spans="1:12" x14ac:dyDescent="0.3">
      <c r="A595" t="str">
        <f>TRIM(Raw_Data_Copy!A595)</f>
        <v>ORD-0573</v>
      </c>
      <c r="B595" s="2">
        <v>46020</v>
      </c>
      <c r="C595" t="str">
        <f>TRIM(Raw_Data_Copy!C595)</f>
        <v>CUST-0112</v>
      </c>
      <c r="D595" t="str">
        <f>PROPER(TRIM(Raw_Data_Copy!D595))</f>
        <v>South Africa</v>
      </c>
      <c r="E595" t="str">
        <f>PROPER(TRIM(Raw_Data_Copy!E595))</f>
        <v>Southern Africa</v>
      </c>
      <c r="F595" t="str">
        <f>PROPER(TRIM(Raw_Data_Copy!F595))</f>
        <v>Mouse</v>
      </c>
      <c r="G595" t="str">
        <f>PROPER(TRIM(Raw_Data_Copy!G595))</f>
        <v>Electronics</v>
      </c>
      <c r="H595" t="str">
        <f>TRIM(Raw_Data_Copy!H595)</f>
        <v>5</v>
      </c>
      <c r="I595" t="str">
        <f>TRIM(Raw_Data_Copy!I595)</f>
        <v>45.75</v>
      </c>
      <c r="J595" t="str">
        <f>TRIM(Raw_Data_Copy!J595)</f>
        <v>0.1</v>
      </c>
      <c r="K595">
        <f>ROUND(Cleaned_data!$H595*Cleaned_data!$I595*(1-Cleaned_data!$J595),2)</f>
        <v>205.88</v>
      </c>
      <c r="L595" t="str">
        <f>PROPER(TRIM(Raw_Data_Copy!L595))</f>
        <v>Card</v>
      </c>
    </row>
    <row r="596" spans="1:12" x14ac:dyDescent="0.3">
      <c r="A596" t="str">
        <f>TRIM(Raw_Data_Copy!A596)</f>
        <v>ORD-0126</v>
      </c>
      <c r="B596" s="2">
        <v>46021</v>
      </c>
      <c r="C596" t="str">
        <f>TRIM(Raw_Data_Copy!C596)</f>
        <v>CUST-0179</v>
      </c>
      <c r="D596" t="str">
        <f>PROPER(TRIM(Raw_Data_Copy!D596))</f>
        <v>United States</v>
      </c>
      <c r="E596" t="str">
        <f>PROPER(TRIM(Raw_Data_Copy!E596))</f>
        <v>North America</v>
      </c>
      <c r="F596" t="str">
        <f>PROPER(TRIM(Raw_Data_Copy!F596))</f>
        <v>Monitor</v>
      </c>
      <c r="G596" t="str">
        <f>PROPER(TRIM(Raw_Data_Copy!G596))</f>
        <v>Electronics</v>
      </c>
      <c r="H596" t="str">
        <f>TRIM(Raw_Data_Copy!H596)</f>
        <v>2</v>
      </c>
      <c r="I596" t="str">
        <f>TRIM(Raw_Data_Copy!I596)</f>
        <v>298.85</v>
      </c>
      <c r="J596" t="str">
        <f>TRIM(Raw_Data_Copy!J596)</f>
        <v>0.25</v>
      </c>
      <c r="K596">
        <f>ROUND(Cleaned_data!$H596*Cleaned_data!$I596*(1-Cleaned_data!$J596),2)</f>
        <v>448.28</v>
      </c>
      <c r="L596" t="str">
        <f>PROPER(TRIM(Raw_Data_Copy!L596))</f>
        <v>Mobile Money</v>
      </c>
    </row>
    <row r="597" spans="1:12" x14ac:dyDescent="0.3">
      <c r="A597" t="str">
        <f>TRIM(Raw_Data_Copy!A597)</f>
        <v>ORD-0325</v>
      </c>
      <c r="B597" s="2">
        <v>46021</v>
      </c>
      <c r="C597" t="str">
        <f>TRIM(Raw_Data_Copy!C597)</f>
        <v>CUST-0108</v>
      </c>
      <c r="D597" t="str">
        <f>PROPER(TRIM(Raw_Data_Copy!D597))</f>
        <v>United Kingdom</v>
      </c>
      <c r="E597" t="str">
        <f>PROPER(TRIM(Raw_Data_Copy!E597))</f>
        <v>Europe</v>
      </c>
      <c r="F597" t="str">
        <f>PROPER(TRIM(Raw_Data_Copy!F597))</f>
        <v>Smartphone</v>
      </c>
      <c r="G597" t="str">
        <f>PROPER(TRIM(Raw_Data_Copy!G597))</f>
        <v>Electronics</v>
      </c>
      <c r="H597" t="str">
        <f>TRIM(Raw_Data_Copy!H597)</f>
        <v>6</v>
      </c>
      <c r="I597" t="str">
        <f>TRIM(Raw_Data_Copy!I597)</f>
        <v>677.33</v>
      </c>
      <c r="J597" t="str">
        <f>TRIM(Raw_Data_Copy!J597)</f>
        <v>0.05</v>
      </c>
      <c r="K597">
        <f>ROUND(Cleaned_data!$H597*Cleaned_data!$I597*(1-Cleaned_data!$J597),2)</f>
        <v>3860.78</v>
      </c>
      <c r="L597" t="str">
        <f>PROPER(TRIM(Raw_Data_Copy!L597))</f>
        <v>Mobile Money</v>
      </c>
    </row>
    <row r="598" spans="1:12" x14ac:dyDescent="0.3">
      <c r="A598" t="str">
        <f>TRIM(Raw_Data_Copy!A598)</f>
        <v>ORD-0556</v>
      </c>
      <c r="B598" s="2">
        <v>46021</v>
      </c>
      <c r="C598" t="str">
        <f>TRIM(Raw_Data_Copy!C598)</f>
        <v>CUST-0053</v>
      </c>
      <c r="D598" t="str">
        <f>PROPER(TRIM(Raw_Data_Copy!D598))</f>
        <v>Ghana</v>
      </c>
      <c r="E598" t="str">
        <f>PROPER(TRIM(Raw_Data_Copy!E598))</f>
        <v>West Africa</v>
      </c>
      <c r="F598" t="str">
        <f>PROPER(TRIM(Raw_Data_Copy!F598))</f>
        <v>Laptop</v>
      </c>
      <c r="G598" t="str">
        <f>PROPER(TRIM(Raw_Data_Copy!G598))</f>
        <v>Electronics</v>
      </c>
      <c r="H598" t="str">
        <f>TRIM(Raw_Data_Copy!H598)</f>
        <v>8</v>
      </c>
      <c r="I598" t="str">
        <f>TRIM(Raw_Data_Copy!I598)</f>
        <v>850.81</v>
      </c>
      <c r="J598" t="str">
        <f>TRIM(Raw_Data_Copy!J598)</f>
        <v>0.15</v>
      </c>
      <c r="K598">
        <f>ROUND(Cleaned_data!$H598*Cleaned_data!$I598*(1-Cleaned_data!$J598),2)</f>
        <v>5785.51</v>
      </c>
      <c r="L598" t="str">
        <f>PROPER(TRIM(Raw_Data_Copy!L598))</f>
        <v>Mobile Money</v>
      </c>
    </row>
    <row r="599" spans="1:12" x14ac:dyDescent="0.3">
      <c r="A599" t="str">
        <f>TRIM(Raw_Data_Copy!A599)</f>
        <v>ORD-0518</v>
      </c>
      <c r="B599" s="2">
        <v>46022</v>
      </c>
      <c r="C599" t="str">
        <f>TRIM(Raw_Data_Copy!C599)</f>
        <v>CUST-0091</v>
      </c>
      <c r="D599" t="str">
        <f>PROPER(TRIM(Raw_Data_Copy!D599))</f>
        <v>United States</v>
      </c>
      <c r="E599" t="str">
        <f>PROPER(TRIM(Raw_Data_Copy!E599))</f>
        <v>North America</v>
      </c>
      <c r="F599" t="str">
        <f>PROPER(TRIM(Raw_Data_Copy!F599))</f>
        <v>Notebook</v>
      </c>
      <c r="G599" t="str">
        <f>PROPER(TRIM(Raw_Data_Copy!G599))</f>
        <v>Office Supplies</v>
      </c>
      <c r="H599" t="str">
        <f>TRIM(Raw_Data_Copy!H599)</f>
        <v>5</v>
      </c>
      <c r="I599" t="str">
        <f>TRIM(Raw_Data_Copy!I599)</f>
        <v>15.74</v>
      </c>
      <c r="J599" t="str">
        <f>TRIM(Raw_Data_Copy!J599)</f>
        <v>0.2</v>
      </c>
      <c r="K599">
        <f>ROUND(Cleaned_data!$H599*Cleaned_data!$I599*(1-Cleaned_data!$J599),2)</f>
        <v>62.96</v>
      </c>
      <c r="L599" t="str">
        <f>PROPER(TRIM(Raw_Data_Copy!L599))</f>
        <v>Bank Transfer</v>
      </c>
    </row>
    <row r="600" spans="1:12" x14ac:dyDescent="0.3">
      <c r="A600" t="str">
        <f>TRIM(Raw_Data_Copy!A600)</f>
        <v>ORD-0299</v>
      </c>
      <c r="B600" s="2">
        <v>46022</v>
      </c>
      <c r="C600" t="str">
        <f>TRIM(Raw_Data_Copy!C600)</f>
        <v>CUST-0051</v>
      </c>
      <c r="D600" t="str">
        <f>PROPER(TRIM(Raw_Data_Copy!D600))</f>
        <v>Ghana</v>
      </c>
      <c r="E600" t="str">
        <f>PROPER(TRIM(Raw_Data_Copy!E600))</f>
        <v>West Africa</v>
      </c>
      <c r="F600" t="str">
        <f>PROPER(TRIM(Raw_Data_Copy!F600))</f>
        <v>Laptop</v>
      </c>
      <c r="G600" t="str">
        <f>PROPER(TRIM(Raw_Data_Copy!G600))</f>
        <v>Electronics</v>
      </c>
      <c r="H600" t="str">
        <f>TRIM(Raw_Data_Copy!H600)</f>
        <v>6</v>
      </c>
      <c r="I600" t="str">
        <f>TRIM(Raw_Data_Copy!I600)</f>
        <v>959.71</v>
      </c>
      <c r="J600" t="str">
        <f>TRIM(Raw_Data_Copy!J600)</f>
        <v>0.05</v>
      </c>
      <c r="K600">
        <f>ROUND(Cleaned_data!$H600*Cleaned_data!$I600*(1-Cleaned_data!$J600),2)</f>
        <v>5470.35</v>
      </c>
      <c r="L600" t="str">
        <f>PROPER(TRIM(Raw_Data_Copy!L600))</f>
        <v>Mobile Money</v>
      </c>
    </row>
    <row r="601" spans="1:12" x14ac:dyDescent="0.3">
      <c r="A601" t="str">
        <f>TRIM(Raw_Data_Copy!A601)</f>
        <v>ORD-0380</v>
      </c>
      <c r="B601" s="2">
        <v>46022</v>
      </c>
      <c r="C601" t="str">
        <f>TRIM(Raw_Data_Copy!C601)</f>
        <v>CUST-0163</v>
      </c>
      <c r="D601" t="str">
        <f>PROPER(TRIM(Raw_Data_Copy!D601))</f>
        <v>United States</v>
      </c>
      <c r="E601" t="str">
        <f>PROPER(TRIM(Raw_Data_Copy!E601))</f>
        <v>North America</v>
      </c>
      <c r="F601" t="str">
        <f>PROPER(TRIM(Raw_Data_Copy!F601))</f>
        <v>Notebook</v>
      </c>
      <c r="G601" t="str">
        <f>PROPER(TRIM(Raw_Data_Copy!G601))</f>
        <v>Office Supplies</v>
      </c>
      <c r="H601" t="str">
        <f>TRIM(Raw_Data_Copy!H601)</f>
        <v>2</v>
      </c>
      <c r="I601" t="str">
        <f>TRIM(Raw_Data_Copy!I601)</f>
        <v>14.83</v>
      </c>
      <c r="J601" t="str">
        <f>TRIM(Raw_Data_Copy!J601)</f>
        <v>0.15</v>
      </c>
      <c r="K601">
        <f>ROUND(Cleaned_data!$H601*Cleaned_data!$I601*(1-Cleaned_data!$J601),2)</f>
        <v>25.21</v>
      </c>
      <c r="L601" t="str">
        <f>PROPER(TRIM(Raw_Data_Copy!L601))</f>
        <v>Mobile Money</v>
      </c>
    </row>
    <row r="602" spans="1:12" x14ac:dyDescent="0.3">
      <c r="A602" t="s">
        <v>827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39D7-4A4D-4EA2-8FD7-3E95E812FB08}">
  <dimension ref="A1:L19"/>
  <sheetViews>
    <sheetView topLeftCell="A11" workbookViewId="0">
      <selection activeCell="B22" sqref="B22"/>
    </sheetView>
  </sheetViews>
  <sheetFormatPr defaultRowHeight="14.4" x14ac:dyDescent="0.3"/>
  <cols>
    <col min="2" max="2" width="24.88671875" bestFit="1" customWidth="1"/>
    <col min="3" max="3" width="61.21875" bestFit="1" customWidth="1"/>
    <col min="8" max="8" width="14" bestFit="1" customWidth="1"/>
    <col min="10" max="10" width="10.44140625" bestFit="1" customWidth="1"/>
  </cols>
  <sheetData>
    <row r="1" spans="1:12" ht="18" x14ac:dyDescent="0.35">
      <c r="A1" s="6" t="s">
        <v>819</v>
      </c>
      <c r="B1" s="7"/>
      <c r="C1" s="7"/>
      <c r="D1" s="7"/>
      <c r="E1" s="7"/>
      <c r="F1" s="7"/>
      <c r="G1" s="6" t="s">
        <v>838</v>
      </c>
      <c r="H1" s="7"/>
      <c r="I1" s="7"/>
      <c r="J1" s="7"/>
      <c r="K1" s="7"/>
      <c r="L1" s="7"/>
    </row>
    <row r="2" spans="1:12" x14ac:dyDescent="0.3">
      <c r="B2" t="s">
        <v>820</v>
      </c>
      <c r="C2" t="s">
        <v>821</v>
      </c>
      <c r="J2" s="4" t="s">
        <v>839</v>
      </c>
    </row>
    <row r="3" spans="1:12" x14ac:dyDescent="0.3">
      <c r="B3" t="s">
        <v>822</v>
      </c>
      <c r="C3" t="s">
        <v>823</v>
      </c>
      <c r="H3" t="str" cm="1">
        <f t="array" ref="H3:H6">_xlfn.UNIQUE(Raw_Data_Copy!G2:G601)</f>
        <v>Furniture</v>
      </c>
      <c r="I3">
        <f>SUMIF(Raw_Data_Copy!$G$2:$G$601,"Furniture",Raw_Data_Copy!$N$2:$N$601)</f>
        <v>141210.63</v>
      </c>
      <c r="J3" s="9">
        <f>SUM(I3)/SUM($I$3:$I$6)</f>
        <v>0.22276571527731198</v>
      </c>
    </row>
    <row r="4" spans="1:12" x14ac:dyDescent="0.3">
      <c r="B4" t="s">
        <v>825</v>
      </c>
      <c r="C4" t="s">
        <v>826</v>
      </c>
      <c r="H4" t="str">
        <v>Electronics</v>
      </c>
      <c r="I4">
        <f>SUMIF(Raw_Data_Copy!$G$2:$G$601,H4,Raw_Data_Copy!$N$2:$N$601)</f>
        <v>428119.22000000061</v>
      </c>
      <c r="J4" s="8">
        <f>SUM(I4)/SUM($I$3:$I$6)</f>
        <v>0.67537609787071284</v>
      </c>
    </row>
    <row r="5" spans="1:12" x14ac:dyDescent="0.3">
      <c r="B5" t="s">
        <v>828</v>
      </c>
      <c r="C5" t="s">
        <v>829</v>
      </c>
      <c r="H5" t="str">
        <v>Office Supplies</v>
      </c>
      <c r="I5">
        <f>SUMIF(Raw_Data_Copy!$G$2:$G$601,H5,Raw_Data_Copy!$N$2:$N$601)</f>
        <v>49068.880000000012</v>
      </c>
      <c r="J5" s="8">
        <f>SUM(I5)/SUM($I$3:$I$6)</f>
        <v>7.7408224515793114E-2</v>
      </c>
    </row>
    <row r="6" spans="1:12" x14ac:dyDescent="0.3">
      <c r="B6" t="s">
        <v>830</v>
      </c>
      <c r="C6" t="s">
        <v>831</v>
      </c>
      <c r="H6" t="str">
        <v>Accessories</v>
      </c>
      <c r="I6">
        <f>SUMIF(Raw_Data_Copy!$G$2:$G$601,H6,Raw_Data_Copy!$N$2:$N$601)</f>
        <v>15498.77</v>
      </c>
      <c r="J6" s="8">
        <f>SUM(I6)/SUM($I$3:$I$6)</f>
        <v>2.4449962336182091E-2</v>
      </c>
    </row>
    <row r="11" spans="1:12" ht="18" x14ac:dyDescent="0.35">
      <c r="H11" s="6" t="s">
        <v>840</v>
      </c>
      <c r="I11" s="7"/>
      <c r="J11" s="7"/>
      <c r="K11" s="7"/>
    </row>
    <row r="12" spans="1:12" x14ac:dyDescent="0.3">
      <c r="H12" t="str" cm="1">
        <f t="array" ref="H12:H17">_xlfn.UNIQUE(Cleaned_data!D2:D601)</f>
        <v>Ghana</v>
      </c>
      <c r="I12">
        <f>SUMIF(Raw_Data_Copy!D2:D601,Raw_Data_Copy!D2,Raw_Data_Copy!N2:N601)</f>
        <v>128099.51000000001</v>
      </c>
      <c r="J12" s="8">
        <f t="shared" ref="J12:J17" si="0">SUM(I12)/SUM($I$12:$I$17)</f>
        <v>0.20208237136130053</v>
      </c>
    </row>
    <row r="13" spans="1:12" x14ac:dyDescent="0.3">
      <c r="H13" t="str">
        <v>United Kingdom</v>
      </c>
      <c r="I13">
        <f>SUMIF(Raw_Data_Copy!D3:D602,Raw_Data_Copy!D3,Raw_Data_Copy!N3:N602)</f>
        <v>97654.709999999992</v>
      </c>
      <c r="J13" s="8">
        <f t="shared" si="0"/>
        <v>0.15405441731510219</v>
      </c>
    </row>
    <row r="14" spans="1:12" ht="18" x14ac:dyDescent="0.35">
      <c r="B14" s="6" t="s">
        <v>832</v>
      </c>
      <c r="C14" s="7"/>
      <c r="H14" t="str">
        <v>Kenya</v>
      </c>
      <c r="I14">
        <f>SUMIF(Raw_Data_Copy!D4:D603,Raw_Data_Copy!D4,Raw_Data_Copy!N4:N603)</f>
        <v>89362.269999999975</v>
      </c>
      <c r="J14" s="8">
        <f t="shared" si="0"/>
        <v>0.14097274401618554</v>
      </c>
    </row>
    <row r="15" spans="1:12" x14ac:dyDescent="0.3">
      <c r="B15" t="s">
        <v>833</v>
      </c>
      <c r="C15">
        <f>SUM(Raw_Data_Copy!H2:H601)</f>
        <v>2743</v>
      </c>
      <c r="H15" t="str">
        <v>South Africa</v>
      </c>
      <c r="I15">
        <f>SUMIF(Raw_Data_Copy!D5:D604,Raw_Data_Copy!D5,Raw_Data_Copy!N5:N604)</f>
        <v>88607.26</v>
      </c>
      <c r="J15" s="8">
        <f t="shared" si="0"/>
        <v>0.13978168394732587</v>
      </c>
    </row>
    <row r="16" spans="1:12" x14ac:dyDescent="0.3">
      <c r="B16" t="s">
        <v>834</v>
      </c>
      <c r="C16">
        <f>SUM(Raw_Data_Copy!N2:N601)</f>
        <v>633897.49999999977</v>
      </c>
      <c r="H16" t="str">
        <v>Nigeria</v>
      </c>
      <c r="I16">
        <f>SUMIF(Raw_Data_Copy!D6:D605,Raw_Data_Copy!D6,Raw_Data_Copy!N6:N605)</f>
        <v>139516.62</v>
      </c>
      <c r="J16" s="8">
        <f t="shared" si="0"/>
        <v>0.22009334316667914</v>
      </c>
    </row>
    <row r="17" spans="2:10" x14ac:dyDescent="0.3">
      <c r="B17" t="s">
        <v>835</v>
      </c>
      <c r="C17">
        <f>COUNTA(Raw_Data_Copy!A2:A601)</f>
        <v>600</v>
      </c>
      <c r="H17" t="str">
        <v>United States</v>
      </c>
      <c r="I17">
        <f>SUMIF(Raw_Data_Copy!D7:D606,H17,Raw_Data_Copy!N7:N606)</f>
        <v>90657.12999999999</v>
      </c>
      <c r="J17" s="8">
        <f t="shared" si="0"/>
        <v>0.14301544019340665</v>
      </c>
    </row>
    <row r="18" spans="2:10" x14ac:dyDescent="0.3">
      <c r="B18" t="s">
        <v>836</v>
      </c>
      <c r="C18">
        <f>C16/C17</f>
        <v>1056.4958333333329</v>
      </c>
    </row>
    <row r="19" spans="2:10" x14ac:dyDescent="0.3">
      <c r="B19" t="s">
        <v>837</v>
      </c>
      <c r="C19">
        <f>AVERAGE(Raw_Data_Copy!I2:I601)</f>
        <v>250.90041736227028</v>
      </c>
    </row>
  </sheetData>
  <mergeCells count="4">
    <mergeCell ref="A1:F1"/>
    <mergeCell ref="B14:C14"/>
    <mergeCell ref="G1:L1"/>
    <mergeCell ref="H11:K1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1A768-834A-40C1-85C8-9A3F7B6FB57D}">
  <dimension ref="B1:D13"/>
  <sheetViews>
    <sheetView workbookViewId="0">
      <selection activeCell="E9" sqref="E9"/>
    </sheetView>
  </sheetViews>
  <sheetFormatPr defaultRowHeight="14.4" x14ac:dyDescent="0.3"/>
  <cols>
    <col min="2" max="2" width="16.44140625" bestFit="1" customWidth="1"/>
    <col min="3" max="3" width="18.109375" bestFit="1" customWidth="1"/>
  </cols>
  <sheetData>
    <row r="1" spans="2:4" x14ac:dyDescent="0.3">
      <c r="C1" s="4" t="s">
        <v>818</v>
      </c>
      <c r="D1" s="4"/>
    </row>
    <row r="2" spans="2:4" x14ac:dyDescent="0.3">
      <c r="B2" s="3" t="s">
        <v>0</v>
      </c>
      <c r="C2">
        <f>COUNTIF(Raw_Data!A2:A601,"")</f>
        <v>0</v>
      </c>
    </row>
    <row r="3" spans="2:4" x14ac:dyDescent="0.3">
      <c r="B3" s="3" t="s">
        <v>1</v>
      </c>
      <c r="C3">
        <f>COUNTIF(Raw_Data!B2:B601,"")</f>
        <v>0</v>
      </c>
    </row>
    <row r="4" spans="2:4" x14ac:dyDescent="0.3">
      <c r="B4" s="3" t="s">
        <v>2</v>
      </c>
      <c r="C4">
        <f>COUNTIF(Raw_Data!C2:C601,"")</f>
        <v>0</v>
      </c>
    </row>
    <row r="5" spans="2:4" x14ac:dyDescent="0.3">
      <c r="B5" s="3" t="s">
        <v>3</v>
      </c>
      <c r="C5">
        <f>COUNTIF(Raw_Data!D2:D601,"")</f>
        <v>0</v>
      </c>
    </row>
    <row r="6" spans="2:4" x14ac:dyDescent="0.3">
      <c r="B6" s="3" t="s">
        <v>4</v>
      </c>
      <c r="C6">
        <f>COUNTBLANK(Raw_Data!E2:E601)</f>
        <v>0</v>
      </c>
    </row>
    <row r="7" spans="2:4" x14ac:dyDescent="0.3">
      <c r="B7" s="3" t="s">
        <v>5</v>
      </c>
      <c r="C7">
        <f>COUNTBLANK(Raw_Data!F2:F601)</f>
        <v>0</v>
      </c>
    </row>
    <row r="8" spans="2:4" x14ac:dyDescent="0.3">
      <c r="B8" s="3" t="s">
        <v>6</v>
      </c>
      <c r="C8">
        <f>COUNTBLANK(Raw_Data!G2:G601)</f>
        <v>0</v>
      </c>
    </row>
    <row r="9" spans="2:4" x14ac:dyDescent="0.3">
      <c r="B9" s="3" t="s">
        <v>7</v>
      </c>
      <c r="C9">
        <f>COUNTBLANK(Raw_Data!H2:H601)</f>
        <v>0</v>
      </c>
    </row>
    <row r="10" spans="2:4" x14ac:dyDescent="0.3">
      <c r="B10" s="3" t="s">
        <v>8</v>
      </c>
      <c r="C10">
        <f>COUNTBLANK(Raw_Data!I2:I601)</f>
        <v>1</v>
      </c>
    </row>
    <row r="11" spans="2:4" x14ac:dyDescent="0.3">
      <c r="B11" s="3" t="s">
        <v>9</v>
      </c>
      <c r="C11">
        <f>COUNTBLANK(Raw_Data_Copy!J2:J601)</f>
        <v>0</v>
      </c>
    </row>
    <row r="12" spans="2:4" x14ac:dyDescent="0.3">
      <c r="B12" s="3" t="s">
        <v>10</v>
      </c>
      <c r="C12">
        <f>COUNTBLANK(Raw_Data!K2:K601)</f>
        <v>1</v>
      </c>
    </row>
    <row r="13" spans="2:4" x14ac:dyDescent="0.3">
      <c r="B13" s="3" t="s">
        <v>11</v>
      </c>
      <c r="C13">
        <f>COUNTBLANK(Raw_Data!L2:L601)</f>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693B7-7A15-4980-893D-CBFA4B5BFF34}">
  <dimension ref="A3:B16"/>
  <sheetViews>
    <sheetView workbookViewId="0">
      <selection activeCell="A11" sqref="A11"/>
    </sheetView>
  </sheetViews>
  <sheetFormatPr defaultRowHeight="14.4" x14ac:dyDescent="0.3"/>
  <cols>
    <col min="1" max="1" width="10.77734375" bestFit="1" customWidth="1"/>
    <col min="2" max="2" width="16.44140625" bestFit="1" customWidth="1"/>
  </cols>
  <sheetData>
    <row r="3" spans="1:2" x14ac:dyDescent="0.3">
      <c r="A3" s="10" t="s">
        <v>856</v>
      </c>
      <c r="B3" t="s">
        <v>855</v>
      </c>
    </row>
    <row r="4" spans="1:2" x14ac:dyDescent="0.3">
      <c r="A4" s="11" t="s">
        <v>843</v>
      </c>
      <c r="B4" s="12">
        <v>49</v>
      </c>
    </row>
    <row r="5" spans="1:2" x14ac:dyDescent="0.3">
      <c r="A5" s="11" t="s">
        <v>844</v>
      </c>
      <c r="B5" s="12">
        <v>33</v>
      </c>
    </row>
    <row r="6" spans="1:2" x14ac:dyDescent="0.3">
      <c r="A6" s="11" t="s">
        <v>845</v>
      </c>
      <c r="B6" s="12">
        <v>47</v>
      </c>
    </row>
    <row r="7" spans="1:2" x14ac:dyDescent="0.3">
      <c r="A7" s="11" t="s">
        <v>846</v>
      </c>
      <c r="B7" s="12">
        <v>55</v>
      </c>
    </row>
    <row r="8" spans="1:2" x14ac:dyDescent="0.3">
      <c r="A8" s="11" t="s">
        <v>847</v>
      </c>
      <c r="B8" s="12">
        <v>44</v>
      </c>
    </row>
    <row r="9" spans="1:2" x14ac:dyDescent="0.3">
      <c r="A9" s="11" t="s">
        <v>848</v>
      </c>
      <c r="B9" s="12">
        <v>49</v>
      </c>
    </row>
    <row r="10" spans="1:2" x14ac:dyDescent="0.3">
      <c r="A10" s="11" t="s">
        <v>849</v>
      </c>
      <c r="B10" s="12">
        <v>49</v>
      </c>
    </row>
    <row r="11" spans="1:2" x14ac:dyDescent="0.3">
      <c r="A11" s="11" t="s">
        <v>850</v>
      </c>
      <c r="B11" s="12">
        <v>53</v>
      </c>
    </row>
    <row r="12" spans="1:2" x14ac:dyDescent="0.3">
      <c r="A12" s="11" t="s">
        <v>851</v>
      </c>
      <c r="B12" s="12">
        <v>57</v>
      </c>
    </row>
    <row r="13" spans="1:2" x14ac:dyDescent="0.3">
      <c r="A13" s="11" t="s">
        <v>852</v>
      </c>
      <c r="B13" s="12">
        <v>56</v>
      </c>
    </row>
    <row r="14" spans="1:2" x14ac:dyDescent="0.3">
      <c r="A14" s="11" t="s">
        <v>853</v>
      </c>
      <c r="B14" s="12">
        <v>53</v>
      </c>
    </row>
    <row r="15" spans="1:2" x14ac:dyDescent="0.3">
      <c r="A15" s="11" t="s">
        <v>854</v>
      </c>
      <c r="B15" s="12">
        <v>55</v>
      </c>
    </row>
    <row r="16" spans="1:2" x14ac:dyDescent="0.3">
      <c r="A16" s="11" t="s">
        <v>842</v>
      </c>
      <c r="B16" s="12">
        <v>600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59F3-B433-4460-B347-7C3DC8A67557}">
  <dimension ref="A1:S601"/>
  <sheetViews>
    <sheetView topLeftCell="A575" workbookViewId="0">
      <selection activeCell="C2" sqref="C2"/>
    </sheetView>
  </sheetViews>
  <sheetFormatPr defaultRowHeight="14.4" x14ac:dyDescent="0.3"/>
  <cols>
    <col min="1" max="1" width="9.33203125" bestFit="1" customWidth="1"/>
    <col min="2" max="2" width="18.109375" bestFit="1" customWidth="1"/>
    <col min="3" max="3" width="11.88671875" bestFit="1" customWidth="1"/>
    <col min="4" max="4" width="14" bestFit="1" customWidth="1"/>
    <col min="5" max="5" width="13.6640625" bestFit="1" customWidth="1"/>
    <col min="6" max="6" width="11.109375" bestFit="1" customWidth="1"/>
    <col min="7" max="7" width="13.109375" bestFit="1" customWidth="1"/>
    <col min="9" max="9" width="9.6640625" bestFit="1" customWidth="1"/>
    <col min="12" max="12" width="16.44140625" bestFit="1" customWidth="1"/>
    <col min="15" max="15" width="9.5546875" bestFit="1" customWidth="1"/>
    <col min="18" max="18" width="18.109375" bestFit="1"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R1" t="s">
        <v>824</v>
      </c>
    </row>
    <row r="2" spans="1:19" x14ac:dyDescent="0.3">
      <c r="A2" t="s">
        <v>12</v>
      </c>
      <c r="B2" s="2">
        <v>45658</v>
      </c>
      <c r="C2" t="s">
        <v>612</v>
      </c>
      <c r="D2" t="s">
        <v>785</v>
      </c>
      <c r="E2" t="s">
        <v>792</v>
      </c>
      <c r="F2" t="s">
        <v>797</v>
      </c>
      <c r="G2" t="s">
        <v>809</v>
      </c>
      <c r="H2">
        <v>6</v>
      </c>
      <c r="I2">
        <v>222.25</v>
      </c>
      <c r="J2">
        <v>0.1</v>
      </c>
      <c r="K2">
        <v>1200.1500000000001</v>
      </c>
      <c r="L2" t="s">
        <v>813</v>
      </c>
      <c r="N2">
        <f>ROUND(H2*I2*(1-J2),2)</f>
        <v>1200.1500000000001</v>
      </c>
      <c r="O2" s="5">
        <f>H2*I2*(1-J2)</f>
        <v>1200.1500000000001</v>
      </c>
      <c r="P2" t="str">
        <f>IF(ROUND(O2,2)=ROUND(K2,2),"Same","Different")</f>
        <v>Same</v>
      </c>
      <c r="R2" s="2">
        <f>MIN(B2:B601)</f>
        <v>45658</v>
      </c>
      <c r="S2" t="str">
        <f t="shared" ref="S2:S65" si="0">IF(OR(B2&lt;DATE(2025,1,1),B2&gt;DATE(2025,12,31)),"Strange", "Okay")</f>
        <v>Okay</v>
      </c>
    </row>
    <row r="3" spans="1:19" x14ac:dyDescent="0.3">
      <c r="A3" t="s">
        <v>13</v>
      </c>
      <c r="B3" s="2">
        <v>45658</v>
      </c>
      <c r="C3" t="s">
        <v>613</v>
      </c>
      <c r="D3" t="s">
        <v>786</v>
      </c>
      <c r="E3" t="s">
        <v>793</v>
      </c>
      <c r="F3" t="s">
        <v>798</v>
      </c>
      <c r="G3" t="s">
        <v>810</v>
      </c>
      <c r="H3">
        <v>6</v>
      </c>
      <c r="I3">
        <v>270.86</v>
      </c>
      <c r="J3">
        <v>0.15</v>
      </c>
      <c r="K3">
        <v>1381.39</v>
      </c>
      <c r="L3" t="s">
        <v>813</v>
      </c>
      <c r="N3">
        <f t="shared" ref="N3:N66" si="1">ROUND(H3*I3*(1-J3),2)</f>
        <v>1381.39</v>
      </c>
      <c r="O3" s="5">
        <f t="shared" ref="O3:O66" si="2">H3*I3*(1-J3)</f>
        <v>1381.386</v>
      </c>
      <c r="P3" t="str">
        <f t="shared" ref="P3:P66" si="3">IF(ROUND(O3,2)=ROUND(K3,2),"Same","Different")</f>
        <v>Same</v>
      </c>
      <c r="R3" s="2">
        <f>MAX(B2:B601)</f>
        <v>46022</v>
      </c>
      <c r="S3" t="str">
        <f t="shared" si="0"/>
        <v>Okay</v>
      </c>
    </row>
    <row r="4" spans="1:19" x14ac:dyDescent="0.3">
      <c r="A4" t="s">
        <v>14</v>
      </c>
      <c r="B4" s="2">
        <v>45659</v>
      </c>
      <c r="C4" t="s">
        <v>614</v>
      </c>
      <c r="D4" t="s">
        <v>787</v>
      </c>
      <c r="E4" t="s">
        <v>794</v>
      </c>
      <c r="F4" t="s">
        <v>799</v>
      </c>
      <c r="G4" t="s">
        <v>809</v>
      </c>
      <c r="H4">
        <v>2</v>
      </c>
      <c r="I4">
        <v>55.08</v>
      </c>
      <c r="J4">
        <v>0</v>
      </c>
      <c r="K4">
        <v>110.16</v>
      </c>
      <c r="L4" t="s">
        <v>814</v>
      </c>
      <c r="N4">
        <f t="shared" si="1"/>
        <v>110.16</v>
      </c>
      <c r="O4" s="5">
        <f t="shared" si="2"/>
        <v>110.16</v>
      </c>
      <c r="P4" t="str">
        <f t="shared" si="3"/>
        <v>Same</v>
      </c>
      <c r="S4" t="str">
        <f t="shared" si="0"/>
        <v>Okay</v>
      </c>
    </row>
    <row r="5" spans="1:19" x14ac:dyDescent="0.3">
      <c r="A5" t="s">
        <v>15</v>
      </c>
      <c r="B5" s="2">
        <v>45662</v>
      </c>
      <c r="C5" t="s">
        <v>615</v>
      </c>
      <c r="D5" t="s">
        <v>788</v>
      </c>
      <c r="E5" t="s">
        <v>795</v>
      </c>
      <c r="F5" t="s">
        <v>800</v>
      </c>
      <c r="G5" t="s">
        <v>810</v>
      </c>
      <c r="H5">
        <v>5</v>
      </c>
      <c r="I5">
        <v>597.21</v>
      </c>
      <c r="J5">
        <v>0.15</v>
      </c>
      <c r="K5">
        <v>2538.14</v>
      </c>
      <c r="L5" t="s">
        <v>815</v>
      </c>
      <c r="N5">
        <f t="shared" si="1"/>
        <v>2538.14</v>
      </c>
      <c r="O5" s="5">
        <f t="shared" si="2"/>
        <v>2538.1424999999999</v>
      </c>
      <c r="P5" t="str">
        <f t="shared" si="3"/>
        <v>Same</v>
      </c>
      <c r="R5">
        <f>COUNTIF(S2:S601,"Strange")</f>
        <v>0</v>
      </c>
      <c r="S5" t="str">
        <f t="shared" si="0"/>
        <v>Okay</v>
      </c>
    </row>
    <row r="6" spans="1:19" x14ac:dyDescent="0.3">
      <c r="A6" t="s">
        <v>16</v>
      </c>
      <c r="B6" s="2">
        <v>45663</v>
      </c>
      <c r="C6" t="s">
        <v>616</v>
      </c>
      <c r="D6" t="s">
        <v>789</v>
      </c>
      <c r="E6" t="s">
        <v>792</v>
      </c>
      <c r="F6" t="s">
        <v>800</v>
      </c>
      <c r="G6" t="s">
        <v>810</v>
      </c>
      <c r="H6">
        <v>7</v>
      </c>
      <c r="I6">
        <v>590.39</v>
      </c>
      <c r="J6">
        <v>0.15</v>
      </c>
      <c r="K6">
        <v>3512.82</v>
      </c>
      <c r="L6" t="s">
        <v>815</v>
      </c>
      <c r="N6">
        <f t="shared" si="1"/>
        <v>3512.82</v>
      </c>
      <c r="O6" s="5">
        <f t="shared" si="2"/>
        <v>3512.8204999999994</v>
      </c>
      <c r="P6" t="str">
        <f t="shared" si="3"/>
        <v>Same</v>
      </c>
      <c r="R6">
        <f>COUNTIFS(H2:H601,H2&lt;1,H2:H601,H2&gt;10)</f>
        <v>0</v>
      </c>
      <c r="S6" t="str">
        <f t="shared" si="0"/>
        <v>Okay</v>
      </c>
    </row>
    <row r="7" spans="1:19" x14ac:dyDescent="0.3">
      <c r="A7" t="s">
        <v>17</v>
      </c>
      <c r="B7" s="2">
        <v>45664</v>
      </c>
      <c r="C7" t="s">
        <v>617</v>
      </c>
      <c r="D7" t="s">
        <v>787</v>
      </c>
      <c r="E7" t="s">
        <v>794</v>
      </c>
      <c r="F7" t="s">
        <v>798</v>
      </c>
      <c r="G7" t="s">
        <v>810</v>
      </c>
      <c r="H7">
        <v>2</v>
      </c>
      <c r="I7">
        <v>277.83999999999997</v>
      </c>
      <c r="J7">
        <v>0.2</v>
      </c>
      <c r="K7">
        <v>444.54</v>
      </c>
      <c r="L7" t="s">
        <v>815</v>
      </c>
      <c r="N7">
        <f t="shared" si="1"/>
        <v>444.54</v>
      </c>
      <c r="O7" s="5">
        <f t="shared" si="2"/>
        <v>444.54399999999998</v>
      </c>
      <c r="P7" t="str">
        <f t="shared" si="3"/>
        <v>Same</v>
      </c>
      <c r="R7">
        <f>MEDIAN(H2:H601)</f>
        <v>5</v>
      </c>
      <c r="S7" t="str">
        <f t="shared" si="0"/>
        <v>Okay</v>
      </c>
    </row>
    <row r="8" spans="1:19" x14ac:dyDescent="0.3">
      <c r="A8" t="s">
        <v>18</v>
      </c>
      <c r="B8" s="2">
        <v>45665</v>
      </c>
      <c r="C8" t="s">
        <v>618</v>
      </c>
      <c r="D8" t="s">
        <v>788</v>
      </c>
      <c r="E8" t="s">
        <v>795</v>
      </c>
      <c r="F8" t="s">
        <v>801</v>
      </c>
      <c r="G8" t="s">
        <v>811</v>
      </c>
      <c r="H8">
        <v>3</v>
      </c>
      <c r="I8">
        <v>15.11</v>
      </c>
      <c r="J8">
        <v>0.1</v>
      </c>
      <c r="K8">
        <v>40.799999999999997</v>
      </c>
      <c r="L8" t="s">
        <v>815</v>
      </c>
      <c r="N8">
        <f t="shared" si="1"/>
        <v>40.799999999999997</v>
      </c>
      <c r="O8" s="5">
        <f t="shared" si="2"/>
        <v>40.796999999999997</v>
      </c>
      <c r="P8" t="str">
        <f t="shared" si="3"/>
        <v>Same</v>
      </c>
      <c r="R8">
        <f>AVERAGE(H2:H601)</f>
        <v>4.5716666666666663</v>
      </c>
      <c r="S8" t="str">
        <f t="shared" si="0"/>
        <v>Okay</v>
      </c>
    </row>
    <row r="9" spans="1:19" x14ac:dyDescent="0.3">
      <c r="A9" t="s">
        <v>19</v>
      </c>
      <c r="B9" s="2">
        <v>45665</v>
      </c>
      <c r="C9" t="s">
        <v>619</v>
      </c>
      <c r="D9" t="s">
        <v>790</v>
      </c>
      <c r="E9" t="s">
        <v>796</v>
      </c>
      <c r="F9" t="s">
        <v>802</v>
      </c>
      <c r="G9" t="s">
        <v>811</v>
      </c>
      <c r="H9">
        <v>3</v>
      </c>
      <c r="I9">
        <v>254.64</v>
      </c>
      <c r="J9">
        <v>0.05</v>
      </c>
      <c r="K9">
        <v>725.72</v>
      </c>
      <c r="L9" t="s">
        <v>814</v>
      </c>
      <c r="N9">
        <f t="shared" si="1"/>
        <v>725.72</v>
      </c>
      <c r="O9" s="5">
        <f t="shared" si="2"/>
        <v>725.72399999999993</v>
      </c>
      <c r="P9" t="str">
        <f t="shared" si="3"/>
        <v>Same</v>
      </c>
      <c r="R9">
        <f>COUNTIF(P2:P601,"Different")</f>
        <v>25</v>
      </c>
      <c r="S9" t="str">
        <f t="shared" si="0"/>
        <v>Okay</v>
      </c>
    </row>
    <row r="10" spans="1:19" x14ac:dyDescent="0.3">
      <c r="A10" t="s">
        <v>20</v>
      </c>
      <c r="B10" s="2">
        <v>45665</v>
      </c>
      <c r="C10" t="s">
        <v>620</v>
      </c>
      <c r="D10" t="s">
        <v>787</v>
      </c>
      <c r="E10" t="s">
        <v>794</v>
      </c>
      <c r="F10" t="s">
        <v>801</v>
      </c>
      <c r="G10" t="s">
        <v>811</v>
      </c>
      <c r="H10">
        <v>8</v>
      </c>
      <c r="I10">
        <v>13.98</v>
      </c>
      <c r="J10">
        <v>0.05</v>
      </c>
      <c r="K10">
        <v>106.25</v>
      </c>
      <c r="L10" t="s">
        <v>814</v>
      </c>
      <c r="N10">
        <f t="shared" si="1"/>
        <v>106.25</v>
      </c>
      <c r="O10" s="5">
        <f t="shared" si="2"/>
        <v>106.248</v>
      </c>
      <c r="P10" t="str">
        <f t="shared" si="3"/>
        <v>Same</v>
      </c>
      <c r="S10" t="str">
        <f t="shared" si="0"/>
        <v>Okay</v>
      </c>
    </row>
    <row r="11" spans="1:19" x14ac:dyDescent="0.3">
      <c r="A11" t="s">
        <v>21</v>
      </c>
      <c r="B11" s="2">
        <v>45667</v>
      </c>
      <c r="C11" t="s">
        <v>621</v>
      </c>
      <c r="D11" t="s">
        <v>785</v>
      </c>
      <c r="E11" t="s">
        <v>792</v>
      </c>
      <c r="F11" t="s">
        <v>803</v>
      </c>
      <c r="G11" t="s">
        <v>810</v>
      </c>
      <c r="H11">
        <v>5</v>
      </c>
      <c r="I11">
        <v>130.57</v>
      </c>
      <c r="J11">
        <v>0.1</v>
      </c>
      <c r="K11">
        <v>587.55999999999995</v>
      </c>
      <c r="L11" t="s">
        <v>815</v>
      </c>
      <c r="N11">
        <f t="shared" si="1"/>
        <v>587.57000000000005</v>
      </c>
      <c r="O11" s="5">
        <f t="shared" si="2"/>
        <v>587.56499999999994</v>
      </c>
      <c r="P11" t="str">
        <f t="shared" si="3"/>
        <v>Different</v>
      </c>
      <c r="S11" t="str">
        <f t="shared" si="0"/>
        <v>Okay</v>
      </c>
    </row>
    <row r="12" spans="1:19" x14ac:dyDescent="0.3">
      <c r="A12" t="s">
        <v>22</v>
      </c>
      <c r="B12" s="2">
        <v>45668</v>
      </c>
      <c r="C12" t="s">
        <v>622</v>
      </c>
      <c r="D12" t="s">
        <v>785</v>
      </c>
      <c r="E12" t="s">
        <v>792</v>
      </c>
      <c r="F12" t="s">
        <v>804</v>
      </c>
      <c r="G12" t="s">
        <v>809</v>
      </c>
      <c r="H12">
        <v>5</v>
      </c>
      <c r="I12">
        <v>376.29</v>
      </c>
      <c r="J12">
        <v>0</v>
      </c>
      <c r="K12">
        <v>1881.45</v>
      </c>
      <c r="L12" t="s">
        <v>814</v>
      </c>
      <c r="N12">
        <f t="shared" si="1"/>
        <v>1881.45</v>
      </c>
      <c r="O12" s="5">
        <f t="shared" si="2"/>
        <v>1881.45</v>
      </c>
      <c r="P12" t="str">
        <f t="shared" si="3"/>
        <v>Same</v>
      </c>
      <c r="S12" t="str">
        <f t="shared" si="0"/>
        <v>Okay</v>
      </c>
    </row>
    <row r="13" spans="1:19" x14ac:dyDescent="0.3">
      <c r="A13" t="s">
        <v>23</v>
      </c>
      <c r="B13" s="2">
        <v>45669</v>
      </c>
      <c r="C13" t="s">
        <v>623</v>
      </c>
      <c r="D13" t="s">
        <v>789</v>
      </c>
      <c r="E13" t="s">
        <v>792</v>
      </c>
      <c r="F13" t="s">
        <v>805</v>
      </c>
      <c r="G13" t="s">
        <v>810</v>
      </c>
      <c r="H13">
        <v>4</v>
      </c>
      <c r="I13">
        <v>45.22</v>
      </c>
      <c r="J13">
        <v>0.2</v>
      </c>
      <c r="K13">
        <v>144.69999999999999</v>
      </c>
      <c r="L13" t="s">
        <v>813</v>
      </c>
      <c r="N13">
        <f t="shared" si="1"/>
        <v>144.69999999999999</v>
      </c>
      <c r="O13" s="5">
        <f t="shared" si="2"/>
        <v>144.70400000000001</v>
      </c>
      <c r="P13" t="str">
        <f t="shared" si="3"/>
        <v>Same</v>
      </c>
      <c r="S13" t="str">
        <f t="shared" si="0"/>
        <v>Okay</v>
      </c>
    </row>
    <row r="14" spans="1:19" x14ac:dyDescent="0.3">
      <c r="A14" t="s">
        <v>24</v>
      </c>
      <c r="B14" s="2">
        <v>45669</v>
      </c>
      <c r="C14" t="s">
        <v>624</v>
      </c>
      <c r="D14" t="s">
        <v>789</v>
      </c>
      <c r="E14" t="s">
        <v>792</v>
      </c>
      <c r="F14" t="s">
        <v>806</v>
      </c>
      <c r="G14" t="s">
        <v>810</v>
      </c>
      <c r="H14">
        <v>5</v>
      </c>
      <c r="I14">
        <v>72.41</v>
      </c>
      <c r="J14">
        <v>0</v>
      </c>
      <c r="K14">
        <v>362.05</v>
      </c>
      <c r="L14" t="s">
        <v>816</v>
      </c>
      <c r="N14">
        <f t="shared" si="1"/>
        <v>362.05</v>
      </c>
      <c r="O14" s="5">
        <f t="shared" si="2"/>
        <v>362.04999999999995</v>
      </c>
      <c r="P14" t="str">
        <f t="shared" si="3"/>
        <v>Same</v>
      </c>
      <c r="S14" t="str">
        <f t="shared" si="0"/>
        <v>Okay</v>
      </c>
    </row>
    <row r="15" spans="1:19" x14ac:dyDescent="0.3">
      <c r="A15" t="s">
        <v>25</v>
      </c>
      <c r="B15" s="2">
        <v>45669</v>
      </c>
      <c r="C15" t="s">
        <v>625</v>
      </c>
      <c r="D15" t="s">
        <v>786</v>
      </c>
      <c r="E15" t="s">
        <v>793</v>
      </c>
      <c r="F15" t="s">
        <v>798</v>
      </c>
      <c r="G15" t="s">
        <v>810</v>
      </c>
      <c r="H15">
        <v>4</v>
      </c>
      <c r="I15">
        <v>273.45999999999998</v>
      </c>
      <c r="J15">
        <v>0.15</v>
      </c>
      <c r="K15">
        <v>929.76</v>
      </c>
      <c r="L15" t="s">
        <v>815</v>
      </c>
      <c r="N15">
        <f t="shared" si="1"/>
        <v>929.76</v>
      </c>
      <c r="O15" s="5">
        <f t="shared" si="2"/>
        <v>929.7639999999999</v>
      </c>
      <c r="P15" t="str">
        <f t="shared" si="3"/>
        <v>Same</v>
      </c>
      <c r="S15" t="str">
        <f t="shared" si="0"/>
        <v>Okay</v>
      </c>
    </row>
    <row r="16" spans="1:19" x14ac:dyDescent="0.3">
      <c r="A16" t="s">
        <v>26</v>
      </c>
      <c r="B16" s="2">
        <v>45670</v>
      </c>
      <c r="C16" t="s">
        <v>626</v>
      </c>
      <c r="D16" t="s">
        <v>790</v>
      </c>
      <c r="E16" t="s">
        <v>796</v>
      </c>
      <c r="F16" t="s">
        <v>807</v>
      </c>
      <c r="G16" t="s">
        <v>810</v>
      </c>
      <c r="H16">
        <v>7</v>
      </c>
      <c r="I16">
        <v>845.86</v>
      </c>
      <c r="J16">
        <v>0</v>
      </c>
      <c r="K16">
        <v>5921.02</v>
      </c>
      <c r="L16" t="s">
        <v>814</v>
      </c>
      <c r="N16">
        <f t="shared" si="1"/>
        <v>5921.02</v>
      </c>
      <c r="O16" s="5">
        <f t="shared" si="2"/>
        <v>5921.02</v>
      </c>
      <c r="P16" t="str">
        <f t="shared" si="3"/>
        <v>Same</v>
      </c>
      <c r="S16" t="str">
        <f t="shared" si="0"/>
        <v>Okay</v>
      </c>
    </row>
    <row r="17" spans="1:19" x14ac:dyDescent="0.3">
      <c r="A17" t="s">
        <v>27</v>
      </c>
      <c r="B17" s="2">
        <v>45670</v>
      </c>
      <c r="C17" t="s">
        <v>627</v>
      </c>
      <c r="D17" t="s">
        <v>785</v>
      </c>
      <c r="E17" t="s">
        <v>792</v>
      </c>
      <c r="F17" t="s">
        <v>804</v>
      </c>
      <c r="G17" t="s">
        <v>809</v>
      </c>
      <c r="H17">
        <v>2</v>
      </c>
      <c r="I17">
        <v>362.67</v>
      </c>
      <c r="J17">
        <v>0</v>
      </c>
      <c r="K17">
        <v>725.34</v>
      </c>
      <c r="L17" t="s">
        <v>815</v>
      </c>
      <c r="N17">
        <f t="shared" si="1"/>
        <v>725.34</v>
      </c>
      <c r="O17" s="5">
        <f t="shared" si="2"/>
        <v>725.34</v>
      </c>
      <c r="P17" t="str">
        <f t="shared" si="3"/>
        <v>Same</v>
      </c>
      <c r="S17" t="str">
        <f t="shared" si="0"/>
        <v>Okay</v>
      </c>
    </row>
    <row r="18" spans="1:19" x14ac:dyDescent="0.3">
      <c r="A18" t="s">
        <v>28</v>
      </c>
      <c r="B18" s="2">
        <v>45670</v>
      </c>
      <c r="C18" t="s">
        <v>628</v>
      </c>
      <c r="D18" t="s">
        <v>788</v>
      </c>
      <c r="E18" t="s">
        <v>795</v>
      </c>
      <c r="F18" t="s">
        <v>805</v>
      </c>
      <c r="G18" t="s">
        <v>810</v>
      </c>
      <c r="H18">
        <v>7</v>
      </c>
      <c r="I18">
        <v>42.46</v>
      </c>
      <c r="J18">
        <v>0.2</v>
      </c>
      <c r="K18">
        <v>237.78</v>
      </c>
      <c r="L18" t="s">
        <v>814</v>
      </c>
      <c r="N18">
        <f t="shared" si="1"/>
        <v>237.78</v>
      </c>
      <c r="O18" s="5">
        <f t="shared" si="2"/>
        <v>237.77600000000004</v>
      </c>
      <c r="P18" t="str">
        <f t="shared" si="3"/>
        <v>Same</v>
      </c>
      <c r="S18" t="str">
        <f t="shared" si="0"/>
        <v>Okay</v>
      </c>
    </row>
    <row r="19" spans="1:19" x14ac:dyDescent="0.3">
      <c r="A19" t="s">
        <v>29</v>
      </c>
      <c r="B19" s="2">
        <v>45670</v>
      </c>
      <c r="C19" t="s">
        <v>629</v>
      </c>
      <c r="D19" t="s">
        <v>785</v>
      </c>
      <c r="E19" t="s">
        <v>792</v>
      </c>
      <c r="F19" t="s">
        <v>806</v>
      </c>
      <c r="G19" t="s">
        <v>810</v>
      </c>
      <c r="H19">
        <v>4</v>
      </c>
      <c r="I19">
        <v>85.23</v>
      </c>
      <c r="J19">
        <v>0.05</v>
      </c>
      <c r="K19">
        <v>323.87</v>
      </c>
      <c r="L19" t="s">
        <v>817</v>
      </c>
      <c r="N19">
        <f t="shared" si="1"/>
        <v>323.87</v>
      </c>
      <c r="O19" s="5">
        <f t="shared" si="2"/>
        <v>323.87400000000002</v>
      </c>
      <c r="P19" t="str">
        <f t="shared" si="3"/>
        <v>Same</v>
      </c>
      <c r="S19" t="str">
        <f t="shared" si="0"/>
        <v>Okay</v>
      </c>
    </row>
    <row r="20" spans="1:19" x14ac:dyDescent="0.3">
      <c r="A20" t="s">
        <v>30</v>
      </c>
      <c r="B20" s="2">
        <v>45671</v>
      </c>
      <c r="C20" t="s">
        <v>621</v>
      </c>
      <c r="D20" t="s">
        <v>787</v>
      </c>
      <c r="E20" t="s">
        <v>794</v>
      </c>
      <c r="F20" t="s">
        <v>802</v>
      </c>
      <c r="G20" t="s">
        <v>811</v>
      </c>
      <c r="H20">
        <v>4</v>
      </c>
      <c r="I20">
        <v>243.45</v>
      </c>
      <c r="J20">
        <v>0.1</v>
      </c>
      <c r="K20">
        <v>876.42</v>
      </c>
      <c r="L20" t="s">
        <v>813</v>
      </c>
      <c r="N20">
        <f t="shared" si="1"/>
        <v>876.42</v>
      </c>
      <c r="O20" s="5">
        <f t="shared" si="2"/>
        <v>876.42</v>
      </c>
      <c r="P20" t="str">
        <f t="shared" si="3"/>
        <v>Same</v>
      </c>
      <c r="S20" t="str">
        <f t="shared" si="0"/>
        <v>Okay</v>
      </c>
    </row>
    <row r="21" spans="1:19" x14ac:dyDescent="0.3">
      <c r="A21" t="s">
        <v>31</v>
      </c>
      <c r="B21" s="2">
        <v>45671</v>
      </c>
      <c r="C21" t="s">
        <v>614</v>
      </c>
      <c r="D21" t="s">
        <v>790</v>
      </c>
      <c r="E21" t="s">
        <v>796</v>
      </c>
      <c r="F21" t="s">
        <v>802</v>
      </c>
      <c r="G21" t="s">
        <v>811</v>
      </c>
      <c r="H21">
        <v>2</v>
      </c>
      <c r="I21">
        <v>266.07</v>
      </c>
      <c r="J21">
        <v>0.1</v>
      </c>
      <c r="K21">
        <v>478.93</v>
      </c>
      <c r="L21" t="s">
        <v>815</v>
      </c>
      <c r="N21">
        <f t="shared" si="1"/>
        <v>478.93</v>
      </c>
      <c r="O21" s="5">
        <f t="shared" si="2"/>
        <v>478.92599999999999</v>
      </c>
      <c r="P21" t="str">
        <f t="shared" si="3"/>
        <v>Same</v>
      </c>
      <c r="S21" t="str">
        <f t="shared" si="0"/>
        <v>Okay</v>
      </c>
    </row>
    <row r="22" spans="1:19" x14ac:dyDescent="0.3">
      <c r="A22" t="s">
        <v>32</v>
      </c>
      <c r="B22" s="2">
        <v>45671</v>
      </c>
      <c r="C22" t="s">
        <v>630</v>
      </c>
      <c r="D22" t="s">
        <v>786</v>
      </c>
      <c r="E22" t="s">
        <v>793</v>
      </c>
      <c r="F22" t="s">
        <v>797</v>
      </c>
      <c r="G22" t="s">
        <v>809</v>
      </c>
      <c r="H22">
        <v>7</v>
      </c>
      <c r="I22">
        <v>218.03</v>
      </c>
      <c r="J22">
        <v>0.1</v>
      </c>
      <c r="K22">
        <v>1373.59</v>
      </c>
      <c r="L22" t="s">
        <v>815</v>
      </c>
      <c r="N22">
        <f t="shared" si="1"/>
        <v>1373.59</v>
      </c>
      <c r="O22" s="5">
        <f t="shared" si="2"/>
        <v>1373.5890000000002</v>
      </c>
      <c r="P22" t="str">
        <f t="shared" si="3"/>
        <v>Same</v>
      </c>
      <c r="S22" t="str">
        <f t="shared" si="0"/>
        <v>Okay</v>
      </c>
    </row>
    <row r="23" spans="1:19" x14ac:dyDescent="0.3">
      <c r="A23" t="s">
        <v>33</v>
      </c>
      <c r="B23" s="2">
        <v>45671</v>
      </c>
      <c r="C23" t="s">
        <v>631</v>
      </c>
      <c r="D23" t="s">
        <v>788</v>
      </c>
      <c r="E23" t="s">
        <v>795</v>
      </c>
      <c r="F23" t="s">
        <v>808</v>
      </c>
      <c r="G23" t="s">
        <v>812</v>
      </c>
      <c r="H23">
        <v>2</v>
      </c>
      <c r="I23">
        <v>74.709999999999994</v>
      </c>
      <c r="J23">
        <v>0</v>
      </c>
      <c r="K23">
        <v>149.41999999999999</v>
      </c>
      <c r="L23" t="s">
        <v>814</v>
      </c>
      <c r="N23">
        <f t="shared" si="1"/>
        <v>149.41999999999999</v>
      </c>
      <c r="O23" s="5">
        <f t="shared" si="2"/>
        <v>149.41999999999999</v>
      </c>
      <c r="P23" t="str">
        <f t="shared" si="3"/>
        <v>Same</v>
      </c>
      <c r="S23" t="str">
        <f t="shared" si="0"/>
        <v>Okay</v>
      </c>
    </row>
    <row r="24" spans="1:19" x14ac:dyDescent="0.3">
      <c r="A24" t="s">
        <v>34</v>
      </c>
      <c r="B24" s="2">
        <v>45672</v>
      </c>
      <c r="C24" t="s">
        <v>628</v>
      </c>
      <c r="D24" t="s">
        <v>786</v>
      </c>
      <c r="E24" t="s">
        <v>793</v>
      </c>
      <c r="F24" t="s">
        <v>802</v>
      </c>
      <c r="G24" t="s">
        <v>811</v>
      </c>
      <c r="H24">
        <v>1</v>
      </c>
      <c r="I24">
        <v>239.05</v>
      </c>
      <c r="J24">
        <v>0.1</v>
      </c>
      <c r="K24">
        <v>215.14</v>
      </c>
      <c r="L24" t="s">
        <v>814</v>
      </c>
      <c r="N24">
        <f t="shared" si="1"/>
        <v>215.15</v>
      </c>
      <c r="O24" s="5">
        <f t="shared" si="2"/>
        <v>215.14500000000001</v>
      </c>
      <c r="P24" t="str">
        <f t="shared" si="3"/>
        <v>Different</v>
      </c>
      <c r="S24" t="str">
        <f t="shared" si="0"/>
        <v>Okay</v>
      </c>
    </row>
    <row r="25" spans="1:19" x14ac:dyDescent="0.3">
      <c r="A25" t="s">
        <v>35</v>
      </c>
      <c r="B25" s="2">
        <v>45673</v>
      </c>
      <c r="C25" t="s">
        <v>632</v>
      </c>
      <c r="D25" t="s">
        <v>785</v>
      </c>
      <c r="E25" t="s">
        <v>792</v>
      </c>
      <c r="F25" t="s">
        <v>805</v>
      </c>
      <c r="G25" t="s">
        <v>810</v>
      </c>
      <c r="H25">
        <v>5</v>
      </c>
      <c r="I25">
        <v>44.25</v>
      </c>
      <c r="J25">
        <v>0.2</v>
      </c>
      <c r="K25">
        <v>177</v>
      </c>
      <c r="L25" t="s">
        <v>813</v>
      </c>
      <c r="N25">
        <f t="shared" si="1"/>
        <v>177</v>
      </c>
      <c r="O25" s="5">
        <f t="shared" si="2"/>
        <v>177</v>
      </c>
      <c r="P25" t="str">
        <f t="shared" si="3"/>
        <v>Same</v>
      </c>
      <c r="S25" t="str">
        <f t="shared" si="0"/>
        <v>Okay</v>
      </c>
    </row>
    <row r="26" spans="1:19" x14ac:dyDescent="0.3">
      <c r="A26" t="s">
        <v>36</v>
      </c>
      <c r="B26" s="2">
        <v>45675</v>
      </c>
      <c r="C26" t="s">
        <v>633</v>
      </c>
      <c r="D26" t="s">
        <v>787</v>
      </c>
      <c r="E26" t="s">
        <v>794</v>
      </c>
      <c r="F26" t="s">
        <v>802</v>
      </c>
      <c r="G26" t="s">
        <v>811</v>
      </c>
      <c r="H26">
        <v>3</v>
      </c>
      <c r="I26">
        <v>274.88</v>
      </c>
      <c r="J26">
        <v>0</v>
      </c>
      <c r="K26">
        <v>824.64</v>
      </c>
      <c r="L26" t="s">
        <v>815</v>
      </c>
      <c r="N26">
        <f t="shared" si="1"/>
        <v>824.64</v>
      </c>
      <c r="O26" s="5">
        <f t="shared" si="2"/>
        <v>824.64</v>
      </c>
      <c r="P26" t="str">
        <f t="shared" si="3"/>
        <v>Same</v>
      </c>
      <c r="S26" t="str">
        <f t="shared" si="0"/>
        <v>Okay</v>
      </c>
    </row>
    <row r="27" spans="1:19" x14ac:dyDescent="0.3">
      <c r="A27" t="s">
        <v>37</v>
      </c>
      <c r="B27" s="2">
        <v>45675</v>
      </c>
      <c r="C27" t="s">
        <v>634</v>
      </c>
      <c r="D27" t="s">
        <v>788</v>
      </c>
      <c r="E27" t="s">
        <v>795</v>
      </c>
      <c r="F27" t="s">
        <v>804</v>
      </c>
      <c r="G27" t="s">
        <v>809</v>
      </c>
      <c r="H27">
        <v>8</v>
      </c>
      <c r="I27">
        <v>340.47</v>
      </c>
      <c r="J27">
        <v>0</v>
      </c>
      <c r="K27">
        <v>2723.76</v>
      </c>
      <c r="L27" t="s">
        <v>814</v>
      </c>
      <c r="N27">
        <f t="shared" si="1"/>
        <v>2723.76</v>
      </c>
      <c r="O27" s="5">
        <f t="shared" si="2"/>
        <v>2723.76</v>
      </c>
      <c r="P27" t="str">
        <f t="shared" si="3"/>
        <v>Same</v>
      </c>
      <c r="S27" t="str">
        <f t="shared" si="0"/>
        <v>Okay</v>
      </c>
    </row>
    <row r="28" spans="1:19" x14ac:dyDescent="0.3">
      <c r="A28" t="s">
        <v>38</v>
      </c>
      <c r="B28" s="2">
        <v>45676</v>
      </c>
      <c r="C28" t="s">
        <v>635</v>
      </c>
      <c r="D28" t="s">
        <v>787</v>
      </c>
      <c r="E28" t="s">
        <v>794</v>
      </c>
      <c r="F28" t="s">
        <v>798</v>
      </c>
      <c r="G28" t="s">
        <v>810</v>
      </c>
      <c r="H28">
        <v>1</v>
      </c>
      <c r="I28">
        <v>311.55</v>
      </c>
      <c r="J28">
        <v>0.3</v>
      </c>
      <c r="K28">
        <v>218.08</v>
      </c>
      <c r="L28" t="s">
        <v>814</v>
      </c>
      <c r="N28">
        <f t="shared" si="1"/>
        <v>218.09</v>
      </c>
      <c r="O28" s="5">
        <f t="shared" si="2"/>
        <v>218.08500000000001</v>
      </c>
      <c r="P28" t="str">
        <f t="shared" si="3"/>
        <v>Different</v>
      </c>
      <c r="S28" t="str">
        <f t="shared" si="0"/>
        <v>Okay</v>
      </c>
    </row>
    <row r="29" spans="1:19" x14ac:dyDescent="0.3">
      <c r="A29" t="s">
        <v>39</v>
      </c>
      <c r="B29" s="2">
        <v>45676</v>
      </c>
      <c r="C29" t="s">
        <v>636</v>
      </c>
      <c r="D29" t="s">
        <v>785</v>
      </c>
      <c r="E29" t="s">
        <v>792</v>
      </c>
      <c r="F29" t="s">
        <v>801</v>
      </c>
      <c r="G29" t="s">
        <v>811</v>
      </c>
      <c r="H29">
        <v>5</v>
      </c>
      <c r="I29">
        <v>16.29</v>
      </c>
      <c r="J29">
        <v>0</v>
      </c>
      <c r="K29">
        <v>81.45</v>
      </c>
      <c r="L29" t="s">
        <v>814</v>
      </c>
      <c r="N29">
        <f t="shared" si="1"/>
        <v>81.45</v>
      </c>
      <c r="O29" s="5">
        <f t="shared" si="2"/>
        <v>81.449999999999989</v>
      </c>
      <c r="P29" t="str">
        <f t="shared" si="3"/>
        <v>Same</v>
      </c>
      <c r="S29" t="str">
        <f t="shared" si="0"/>
        <v>Okay</v>
      </c>
    </row>
    <row r="30" spans="1:19" x14ac:dyDescent="0.3">
      <c r="A30" t="s">
        <v>40</v>
      </c>
      <c r="B30" s="2">
        <v>45676</v>
      </c>
      <c r="C30" t="s">
        <v>637</v>
      </c>
      <c r="D30" t="s">
        <v>789</v>
      </c>
      <c r="E30" t="s">
        <v>792</v>
      </c>
      <c r="F30" t="s">
        <v>799</v>
      </c>
      <c r="G30" t="s">
        <v>809</v>
      </c>
      <c r="H30">
        <v>8</v>
      </c>
      <c r="I30">
        <v>56.28</v>
      </c>
      <c r="J30">
        <v>0.1</v>
      </c>
      <c r="K30">
        <v>405.22</v>
      </c>
      <c r="L30" t="s">
        <v>814</v>
      </c>
      <c r="N30">
        <f t="shared" si="1"/>
        <v>405.22</v>
      </c>
      <c r="O30" s="5">
        <f t="shared" si="2"/>
        <v>405.21600000000001</v>
      </c>
      <c r="P30" t="str">
        <f t="shared" si="3"/>
        <v>Same</v>
      </c>
      <c r="S30" t="str">
        <f t="shared" si="0"/>
        <v>Okay</v>
      </c>
    </row>
    <row r="31" spans="1:19" x14ac:dyDescent="0.3">
      <c r="A31" t="s">
        <v>41</v>
      </c>
      <c r="B31" s="2">
        <v>45676</v>
      </c>
      <c r="C31" t="s">
        <v>638</v>
      </c>
      <c r="D31" t="s">
        <v>786</v>
      </c>
      <c r="E31" t="s">
        <v>793</v>
      </c>
      <c r="F31" t="s">
        <v>801</v>
      </c>
      <c r="G31" t="s">
        <v>811</v>
      </c>
      <c r="H31">
        <v>5</v>
      </c>
      <c r="I31">
        <v>15.27</v>
      </c>
      <c r="J31">
        <v>0.1</v>
      </c>
      <c r="K31">
        <v>68.72</v>
      </c>
      <c r="L31" t="s">
        <v>814</v>
      </c>
      <c r="N31">
        <f t="shared" si="1"/>
        <v>68.72</v>
      </c>
      <c r="O31" s="5">
        <f t="shared" si="2"/>
        <v>68.715000000000003</v>
      </c>
      <c r="P31" t="str">
        <f t="shared" si="3"/>
        <v>Same</v>
      </c>
      <c r="S31" t="str">
        <f t="shared" si="0"/>
        <v>Okay</v>
      </c>
    </row>
    <row r="32" spans="1:19" x14ac:dyDescent="0.3">
      <c r="A32" t="s">
        <v>42</v>
      </c>
      <c r="B32" s="2">
        <v>45677</v>
      </c>
      <c r="C32" t="s">
        <v>639</v>
      </c>
      <c r="D32" t="s">
        <v>785</v>
      </c>
      <c r="E32" t="s">
        <v>792</v>
      </c>
      <c r="F32" t="s">
        <v>807</v>
      </c>
      <c r="G32" t="s">
        <v>810</v>
      </c>
      <c r="H32">
        <v>7</v>
      </c>
      <c r="I32">
        <v>840.86</v>
      </c>
      <c r="J32">
        <v>0.1</v>
      </c>
      <c r="K32">
        <v>5297.42</v>
      </c>
      <c r="L32" t="s">
        <v>815</v>
      </c>
      <c r="N32">
        <f t="shared" si="1"/>
        <v>5297.42</v>
      </c>
      <c r="O32" s="5">
        <f t="shared" si="2"/>
        <v>5297.4180000000006</v>
      </c>
      <c r="P32" t="str">
        <f t="shared" si="3"/>
        <v>Same</v>
      </c>
      <c r="S32" t="str">
        <f t="shared" si="0"/>
        <v>Okay</v>
      </c>
    </row>
    <row r="33" spans="1:19" x14ac:dyDescent="0.3">
      <c r="A33" t="s">
        <v>43</v>
      </c>
      <c r="B33" s="2">
        <v>45677</v>
      </c>
      <c r="C33" t="s">
        <v>633</v>
      </c>
      <c r="D33" t="s">
        <v>786</v>
      </c>
      <c r="E33" t="s">
        <v>793</v>
      </c>
      <c r="F33" t="s">
        <v>804</v>
      </c>
      <c r="G33" t="s">
        <v>809</v>
      </c>
      <c r="H33">
        <v>6</v>
      </c>
      <c r="I33">
        <v>382.76</v>
      </c>
      <c r="J33">
        <v>0.15</v>
      </c>
      <c r="K33">
        <v>1952.08</v>
      </c>
      <c r="L33" t="s">
        <v>814</v>
      </c>
      <c r="N33">
        <f t="shared" si="1"/>
        <v>1952.08</v>
      </c>
      <c r="O33" s="5">
        <f t="shared" si="2"/>
        <v>1952.0759999999998</v>
      </c>
      <c r="P33" t="str">
        <f t="shared" si="3"/>
        <v>Same</v>
      </c>
      <c r="S33" t="str">
        <f t="shared" si="0"/>
        <v>Okay</v>
      </c>
    </row>
    <row r="34" spans="1:19" x14ac:dyDescent="0.3">
      <c r="A34" t="s">
        <v>44</v>
      </c>
      <c r="B34" s="2">
        <v>45678</v>
      </c>
      <c r="C34" t="s">
        <v>614</v>
      </c>
      <c r="D34" t="s">
        <v>785</v>
      </c>
      <c r="E34" t="s">
        <v>792</v>
      </c>
      <c r="F34" t="s">
        <v>797</v>
      </c>
      <c r="G34" t="s">
        <v>809</v>
      </c>
      <c r="H34">
        <v>8</v>
      </c>
      <c r="I34">
        <v>200.05</v>
      </c>
      <c r="J34">
        <v>0.15</v>
      </c>
      <c r="K34">
        <v>1360.34</v>
      </c>
      <c r="L34" t="s">
        <v>815</v>
      </c>
      <c r="N34">
        <f t="shared" si="1"/>
        <v>1360.34</v>
      </c>
      <c r="O34" s="5">
        <f t="shared" si="2"/>
        <v>1360.3400000000001</v>
      </c>
      <c r="P34" t="str">
        <f t="shared" si="3"/>
        <v>Same</v>
      </c>
      <c r="S34" t="str">
        <f t="shared" si="0"/>
        <v>Okay</v>
      </c>
    </row>
    <row r="35" spans="1:19" x14ac:dyDescent="0.3">
      <c r="A35" t="s">
        <v>45</v>
      </c>
      <c r="B35" s="2">
        <v>45678</v>
      </c>
      <c r="C35" t="s">
        <v>612</v>
      </c>
      <c r="D35" t="s">
        <v>789</v>
      </c>
      <c r="E35" t="s">
        <v>792</v>
      </c>
      <c r="F35" t="s">
        <v>800</v>
      </c>
      <c r="G35" t="s">
        <v>810</v>
      </c>
      <c r="H35">
        <v>8</v>
      </c>
      <c r="I35">
        <v>677.17</v>
      </c>
      <c r="J35">
        <v>0</v>
      </c>
      <c r="K35">
        <v>5417.36</v>
      </c>
      <c r="L35" t="s">
        <v>815</v>
      </c>
      <c r="N35">
        <f t="shared" si="1"/>
        <v>5417.36</v>
      </c>
      <c r="O35" s="5">
        <f t="shared" si="2"/>
        <v>5417.36</v>
      </c>
      <c r="P35" t="str">
        <f t="shared" si="3"/>
        <v>Same</v>
      </c>
      <c r="S35" t="str">
        <f t="shared" si="0"/>
        <v>Okay</v>
      </c>
    </row>
    <row r="36" spans="1:19" x14ac:dyDescent="0.3">
      <c r="A36" t="s">
        <v>46</v>
      </c>
      <c r="B36" s="2">
        <v>45678</v>
      </c>
      <c r="C36" t="s">
        <v>640</v>
      </c>
      <c r="D36" t="s">
        <v>790</v>
      </c>
      <c r="E36" t="s">
        <v>796</v>
      </c>
      <c r="F36" t="s">
        <v>799</v>
      </c>
      <c r="G36" t="s">
        <v>809</v>
      </c>
      <c r="H36">
        <v>3</v>
      </c>
      <c r="I36">
        <v>55.06</v>
      </c>
      <c r="J36">
        <v>0.25</v>
      </c>
      <c r="K36">
        <v>123.88</v>
      </c>
      <c r="L36" t="s">
        <v>814</v>
      </c>
      <c r="N36">
        <f t="shared" si="1"/>
        <v>123.89</v>
      </c>
      <c r="O36" s="5">
        <f t="shared" si="2"/>
        <v>123.88500000000001</v>
      </c>
      <c r="P36" t="str">
        <f t="shared" si="3"/>
        <v>Different</v>
      </c>
      <c r="S36" t="str">
        <f t="shared" si="0"/>
        <v>Okay</v>
      </c>
    </row>
    <row r="37" spans="1:19" x14ac:dyDescent="0.3">
      <c r="A37" t="s">
        <v>47</v>
      </c>
      <c r="B37" s="2">
        <v>45678</v>
      </c>
      <c r="C37" t="s">
        <v>641</v>
      </c>
      <c r="D37" t="s">
        <v>789</v>
      </c>
      <c r="E37" t="s">
        <v>792</v>
      </c>
      <c r="F37" t="s">
        <v>808</v>
      </c>
      <c r="G37" t="s">
        <v>812</v>
      </c>
      <c r="H37">
        <v>5</v>
      </c>
      <c r="I37">
        <v>69.91</v>
      </c>
      <c r="J37">
        <v>0</v>
      </c>
      <c r="K37">
        <v>349.55</v>
      </c>
      <c r="L37" t="s">
        <v>814</v>
      </c>
      <c r="N37">
        <f t="shared" si="1"/>
        <v>349.55</v>
      </c>
      <c r="O37" s="5">
        <f t="shared" si="2"/>
        <v>349.54999999999995</v>
      </c>
      <c r="P37" t="str">
        <f t="shared" si="3"/>
        <v>Same</v>
      </c>
      <c r="S37" t="str">
        <f t="shared" si="0"/>
        <v>Okay</v>
      </c>
    </row>
    <row r="38" spans="1:19" x14ac:dyDescent="0.3">
      <c r="A38" t="s">
        <v>48</v>
      </c>
      <c r="B38" s="2">
        <v>45679</v>
      </c>
      <c r="C38" t="s">
        <v>634</v>
      </c>
      <c r="D38" t="s">
        <v>785</v>
      </c>
      <c r="E38" t="s">
        <v>792</v>
      </c>
      <c r="F38" t="s">
        <v>802</v>
      </c>
      <c r="G38" t="s">
        <v>811</v>
      </c>
      <c r="H38">
        <v>1</v>
      </c>
      <c r="I38">
        <v>232.86</v>
      </c>
      <c r="J38">
        <v>0.05</v>
      </c>
      <c r="K38">
        <v>221.22</v>
      </c>
      <c r="L38" t="s">
        <v>814</v>
      </c>
      <c r="N38">
        <f t="shared" si="1"/>
        <v>221.22</v>
      </c>
      <c r="O38" s="5">
        <f t="shared" si="2"/>
        <v>221.21700000000001</v>
      </c>
      <c r="P38" t="str">
        <f t="shared" si="3"/>
        <v>Same</v>
      </c>
      <c r="S38" t="str">
        <f t="shared" si="0"/>
        <v>Okay</v>
      </c>
    </row>
    <row r="39" spans="1:19" x14ac:dyDescent="0.3">
      <c r="A39" t="s">
        <v>49</v>
      </c>
      <c r="B39" s="2">
        <v>45681</v>
      </c>
      <c r="C39" t="s">
        <v>642</v>
      </c>
      <c r="D39" t="s">
        <v>787</v>
      </c>
      <c r="E39" t="s">
        <v>794</v>
      </c>
      <c r="F39" t="s">
        <v>800</v>
      </c>
      <c r="G39" t="s">
        <v>810</v>
      </c>
      <c r="H39">
        <v>4</v>
      </c>
      <c r="I39">
        <v>587.32000000000005</v>
      </c>
      <c r="J39">
        <v>0.2</v>
      </c>
      <c r="K39">
        <v>1879.42</v>
      </c>
      <c r="L39" t="s">
        <v>814</v>
      </c>
      <c r="N39">
        <f t="shared" si="1"/>
        <v>1879.42</v>
      </c>
      <c r="O39" s="5">
        <f t="shared" si="2"/>
        <v>1879.4240000000002</v>
      </c>
      <c r="P39" t="str">
        <f t="shared" si="3"/>
        <v>Same</v>
      </c>
      <c r="S39" t="str">
        <f t="shared" si="0"/>
        <v>Okay</v>
      </c>
    </row>
    <row r="40" spans="1:19" x14ac:dyDescent="0.3">
      <c r="A40" t="s">
        <v>50</v>
      </c>
      <c r="B40" s="2">
        <v>45682</v>
      </c>
      <c r="C40" t="s">
        <v>643</v>
      </c>
      <c r="D40" t="s">
        <v>785</v>
      </c>
      <c r="E40" t="s">
        <v>792</v>
      </c>
      <c r="F40" t="s">
        <v>803</v>
      </c>
      <c r="G40" t="s">
        <v>810</v>
      </c>
      <c r="H40">
        <v>8</v>
      </c>
      <c r="I40">
        <v>108.16</v>
      </c>
      <c r="J40">
        <v>0.15</v>
      </c>
      <c r="K40">
        <v>735.49</v>
      </c>
      <c r="L40" t="s">
        <v>815</v>
      </c>
      <c r="N40">
        <f t="shared" si="1"/>
        <v>735.49</v>
      </c>
      <c r="O40" s="5">
        <f t="shared" si="2"/>
        <v>735.48799999999994</v>
      </c>
      <c r="P40" t="str">
        <f t="shared" si="3"/>
        <v>Same</v>
      </c>
      <c r="S40" t="str">
        <f t="shared" si="0"/>
        <v>Okay</v>
      </c>
    </row>
    <row r="41" spans="1:19" x14ac:dyDescent="0.3">
      <c r="A41" t="s">
        <v>51</v>
      </c>
      <c r="B41" s="2">
        <v>45682</v>
      </c>
      <c r="C41" t="s">
        <v>644</v>
      </c>
      <c r="D41" t="s">
        <v>790</v>
      </c>
      <c r="E41" t="s">
        <v>796</v>
      </c>
      <c r="F41" t="s">
        <v>797</v>
      </c>
      <c r="G41" t="s">
        <v>809</v>
      </c>
      <c r="H41">
        <v>3</v>
      </c>
      <c r="I41">
        <v>219.69</v>
      </c>
      <c r="J41">
        <v>0</v>
      </c>
      <c r="K41">
        <v>659.07</v>
      </c>
      <c r="L41" t="s">
        <v>814</v>
      </c>
      <c r="N41">
        <f t="shared" si="1"/>
        <v>659.07</v>
      </c>
      <c r="O41" s="5">
        <f t="shared" si="2"/>
        <v>659.06999999999994</v>
      </c>
      <c r="P41" t="str">
        <f t="shared" si="3"/>
        <v>Same</v>
      </c>
      <c r="S41" t="str">
        <f t="shared" si="0"/>
        <v>Okay</v>
      </c>
    </row>
    <row r="42" spans="1:19" x14ac:dyDescent="0.3">
      <c r="A42" t="s">
        <v>52</v>
      </c>
      <c r="B42" s="2">
        <v>45682</v>
      </c>
      <c r="C42" t="s">
        <v>645</v>
      </c>
      <c r="D42" t="s">
        <v>789</v>
      </c>
      <c r="E42" t="s">
        <v>792</v>
      </c>
      <c r="F42" t="s">
        <v>807</v>
      </c>
      <c r="G42" t="s">
        <v>810</v>
      </c>
      <c r="H42">
        <v>6</v>
      </c>
      <c r="I42">
        <v>971.69</v>
      </c>
      <c r="J42">
        <v>0.2</v>
      </c>
      <c r="K42">
        <v>4664.1099999999997</v>
      </c>
      <c r="L42" t="s">
        <v>814</v>
      </c>
      <c r="N42">
        <f t="shared" si="1"/>
        <v>4664.1099999999997</v>
      </c>
      <c r="O42" s="5">
        <f t="shared" si="2"/>
        <v>4664.1120000000001</v>
      </c>
      <c r="P42" t="str">
        <f t="shared" si="3"/>
        <v>Same</v>
      </c>
      <c r="S42" t="str">
        <f t="shared" si="0"/>
        <v>Okay</v>
      </c>
    </row>
    <row r="43" spans="1:19" x14ac:dyDescent="0.3">
      <c r="A43" t="s">
        <v>53</v>
      </c>
      <c r="B43" s="2">
        <v>45683</v>
      </c>
      <c r="C43" t="s">
        <v>646</v>
      </c>
      <c r="D43" t="s">
        <v>787</v>
      </c>
      <c r="E43" t="s">
        <v>794</v>
      </c>
      <c r="F43" t="s">
        <v>801</v>
      </c>
      <c r="G43" t="s">
        <v>811</v>
      </c>
      <c r="H43">
        <v>5</v>
      </c>
      <c r="I43">
        <v>15.3</v>
      </c>
      <c r="J43">
        <v>0.2</v>
      </c>
      <c r="K43">
        <v>61.2</v>
      </c>
      <c r="L43" t="s">
        <v>813</v>
      </c>
      <c r="N43">
        <f t="shared" si="1"/>
        <v>61.2</v>
      </c>
      <c r="O43" s="5">
        <f t="shared" si="2"/>
        <v>61.2</v>
      </c>
      <c r="P43" t="str">
        <f t="shared" si="3"/>
        <v>Same</v>
      </c>
      <c r="S43" t="str">
        <f t="shared" si="0"/>
        <v>Okay</v>
      </c>
    </row>
    <row r="44" spans="1:19" x14ac:dyDescent="0.3">
      <c r="A44" t="s">
        <v>54</v>
      </c>
      <c r="B44" s="2">
        <v>45683</v>
      </c>
      <c r="C44" t="s">
        <v>647</v>
      </c>
      <c r="D44" t="s">
        <v>787</v>
      </c>
      <c r="E44" t="s">
        <v>794</v>
      </c>
      <c r="F44" t="s">
        <v>808</v>
      </c>
      <c r="G44" t="s">
        <v>812</v>
      </c>
      <c r="H44">
        <v>3</v>
      </c>
      <c r="I44">
        <v>79.81</v>
      </c>
      <c r="J44">
        <v>0.15</v>
      </c>
      <c r="K44">
        <v>203.52</v>
      </c>
      <c r="L44" t="s">
        <v>815</v>
      </c>
      <c r="N44">
        <f t="shared" si="1"/>
        <v>203.52</v>
      </c>
      <c r="O44" s="5">
        <f t="shared" si="2"/>
        <v>203.5155</v>
      </c>
      <c r="P44" t="str">
        <f t="shared" si="3"/>
        <v>Same</v>
      </c>
      <c r="S44" t="str">
        <f t="shared" si="0"/>
        <v>Okay</v>
      </c>
    </row>
    <row r="45" spans="1:19" x14ac:dyDescent="0.3">
      <c r="A45" t="s">
        <v>55</v>
      </c>
      <c r="B45" s="2">
        <v>45685</v>
      </c>
      <c r="C45" t="s">
        <v>648</v>
      </c>
      <c r="D45" t="s">
        <v>788</v>
      </c>
      <c r="E45" t="s">
        <v>795</v>
      </c>
      <c r="F45" t="s">
        <v>802</v>
      </c>
      <c r="G45" t="s">
        <v>811</v>
      </c>
      <c r="H45">
        <v>6</v>
      </c>
      <c r="I45">
        <v>256.8</v>
      </c>
      <c r="J45">
        <v>0.25</v>
      </c>
      <c r="K45">
        <v>1155.5999999999999</v>
      </c>
      <c r="L45" t="s">
        <v>815</v>
      </c>
      <c r="N45">
        <f t="shared" si="1"/>
        <v>1155.5999999999999</v>
      </c>
      <c r="O45" s="5">
        <f t="shared" si="2"/>
        <v>1155.6000000000001</v>
      </c>
      <c r="P45" t="str">
        <f t="shared" si="3"/>
        <v>Same</v>
      </c>
      <c r="S45" t="str">
        <f t="shared" si="0"/>
        <v>Okay</v>
      </c>
    </row>
    <row r="46" spans="1:19" x14ac:dyDescent="0.3">
      <c r="A46" t="s">
        <v>56</v>
      </c>
      <c r="B46" s="2">
        <v>45685</v>
      </c>
      <c r="C46" t="s">
        <v>649</v>
      </c>
      <c r="D46" t="s">
        <v>788</v>
      </c>
      <c r="E46" t="s">
        <v>795</v>
      </c>
      <c r="F46" t="s">
        <v>803</v>
      </c>
      <c r="G46" t="s">
        <v>810</v>
      </c>
      <c r="H46">
        <v>1</v>
      </c>
      <c r="I46">
        <v>122.54</v>
      </c>
      <c r="J46">
        <v>0.25</v>
      </c>
      <c r="K46">
        <v>91.9</v>
      </c>
      <c r="L46" t="s">
        <v>815</v>
      </c>
      <c r="N46">
        <f t="shared" si="1"/>
        <v>91.91</v>
      </c>
      <c r="O46" s="5">
        <f t="shared" si="2"/>
        <v>91.905000000000001</v>
      </c>
      <c r="P46" t="str">
        <f t="shared" si="3"/>
        <v>Different</v>
      </c>
      <c r="S46" t="str">
        <f t="shared" si="0"/>
        <v>Okay</v>
      </c>
    </row>
    <row r="47" spans="1:19" x14ac:dyDescent="0.3">
      <c r="A47" t="s">
        <v>57</v>
      </c>
      <c r="B47" s="2">
        <v>45686</v>
      </c>
      <c r="C47" t="s">
        <v>650</v>
      </c>
      <c r="D47" t="s">
        <v>790</v>
      </c>
      <c r="E47" t="s">
        <v>796</v>
      </c>
      <c r="F47" t="s">
        <v>799</v>
      </c>
      <c r="G47" t="s">
        <v>809</v>
      </c>
      <c r="H47">
        <v>4</v>
      </c>
      <c r="I47">
        <v>56.62</v>
      </c>
      <c r="J47">
        <v>0.1</v>
      </c>
      <c r="K47">
        <v>203.83</v>
      </c>
      <c r="L47" t="s">
        <v>814</v>
      </c>
      <c r="N47">
        <f t="shared" si="1"/>
        <v>203.83</v>
      </c>
      <c r="O47" s="5">
        <f t="shared" si="2"/>
        <v>203.83199999999999</v>
      </c>
      <c r="P47" t="str">
        <f t="shared" si="3"/>
        <v>Same</v>
      </c>
      <c r="S47" t="str">
        <f t="shared" si="0"/>
        <v>Okay</v>
      </c>
    </row>
    <row r="48" spans="1:19" x14ac:dyDescent="0.3">
      <c r="A48" t="s">
        <v>58</v>
      </c>
      <c r="B48" s="2">
        <v>45686</v>
      </c>
      <c r="C48" t="s">
        <v>651</v>
      </c>
      <c r="D48" t="s">
        <v>790</v>
      </c>
      <c r="E48" t="s">
        <v>796</v>
      </c>
      <c r="F48" t="s">
        <v>804</v>
      </c>
      <c r="G48" t="s">
        <v>809</v>
      </c>
      <c r="H48">
        <v>5</v>
      </c>
      <c r="I48">
        <v>343.16</v>
      </c>
      <c r="J48">
        <v>0.1</v>
      </c>
      <c r="K48">
        <v>1544.22</v>
      </c>
      <c r="L48" t="s">
        <v>814</v>
      </c>
      <c r="N48">
        <f t="shared" si="1"/>
        <v>1544.22</v>
      </c>
      <c r="O48" s="5">
        <f t="shared" si="2"/>
        <v>1544.2200000000003</v>
      </c>
      <c r="P48" t="str">
        <f t="shared" si="3"/>
        <v>Same</v>
      </c>
      <c r="S48" t="str">
        <f t="shared" si="0"/>
        <v>Okay</v>
      </c>
    </row>
    <row r="49" spans="1:19" x14ac:dyDescent="0.3">
      <c r="A49" t="s">
        <v>59</v>
      </c>
      <c r="B49" s="2">
        <v>45688</v>
      </c>
      <c r="C49" t="s">
        <v>652</v>
      </c>
      <c r="D49" t="s">
        <v>786</v>
      </c>
      <c r="E49" t="s">
        <v>793</v>
      </c>
      <c r="F49" t="s">
        <v>798</v>
      </c>
      <c r="G49" t="s">
        <v>810</v>
      </c>
      <c r="H49">
        <v>7</v>
      </c>
      <c r="I49">
        <v>316.92</v>
      </c>
      <c r="J49">
        <v>0.05</v>
      </c>
      <c r="K49">
        <v>2107.52</v>
      </c>
      <c r="L49" t="s">
        <v>814</v>
      </c>
      <c r="N49">
        <f t="shared" si="1"/>
        <v>2107.52</v>
      </c>
      <c r="O49" s="5">
        <f t="shared" si="2"/>
        <v>2107.518</v>
      </c>
      <c r="P49" t="str">
        <f t="shared" si="3"/>
        <v>Same</v>
      </c>
      <c r="S49" t="str">
        <f t="shared" si="0"/>
        <v>Okay</v>
      </c>
    </row>
    <row r="50" spans="1:19" x14ac:dyDescent="0.3">
      <c r="A50" t="s">
        <v>60</v>
      </c>
      <c r="B50" s="2">
        <v>45688</v>
      </c>
      <c r="C50" t="s">
        <v>653</v>
      </c>
      <c r="D50" t="s">
        <v>786</v>
      </c>
      <c r="E50" t="s">
        <v>793</v>
      </c>
      <c r="F50" t="s">
        <v>808</v>
      </c>
      <c r="G50" t="s">
        <v>812</v>
      </c>
      <c r="H50">
        <v>1</v>
      </c>
      <c r="I50">
        <v>69.88</v>
      </c>
      <c r="J50">
        <v>0.15</v>
      </c>
      <c r="K50">
        <v>59.4</v>
      </c>
      <c r="L50" t="s">
        <v>814</v>
      </c>
      <c r="N50">
        <f t="shared" si="1"/>
        <v>59.4</v>
      </c>
      <c r="O50" s="5">
        <f t="shared" si="2"/>
        <v>59.397999999999996</v>
      </c>
      <c r="P50" t="str">
        <f t="shared" si="3"/>
        <v>Same</v>
      </c>
      <c r="S50" t="str">
        <f t="shared" si="0"/>
        <v>Okay</v>
      </c>
    </row>
    <row r="51" spans="1:19" x14ac:dyDescent="0.3">
      <c r="A51" t="s">
        <v>61</v>
      </c>
      <c r="B51" s="2">
        <v>45689</v>
      </c>
      <c r="C51" t="s">
        <v>654</v>
      </c>
      <c r="D51" t="s">
        <v>788</v>
      </c>
      <c r="E51" t="s">
        <v>795</v>
      </c>
      <c r="F51" t="s">
        <v>808</v>
      </c>
      <c r="G51" t="s">
        <v>812</v>
      </c>
      <c r="H51">
        <v>8</v>
      </c>
      <c r="I51">
        <v>75.88</v>
      </c>
      <c r="J51">
        <v>0.05</v>
      </c>
      <c r="K51">
        <v>576.69000000000005</v>
      </c>
      <c r="L51" t="s">
        <v>813</v>
      </c>
      <c r="N51">
        <f t="shared" si="1"/>
        <v>576.69000000000005</v>
      </c>
      <c r="O51" s="5">
        <f t="shared" si="2"/>
        <v>576.68799999999999</v>
      </c>
      <c r="P51" t="str">
        <f t="shared" si="3"/>
        <v>Same</v>
      </c>
      <c r="S51" t="str">
        <f t="shared" si="0"/>
        <v>Okay</v>
      </c>
    </row>
    <row r="52" spans="1:19" x14ac:dyDescent="0.3">
      <c r="A52" t="s">
        <v>62</v>
      </c>
      <c r="B52" s="2">
        <v>45692</v>
      </c>
      <c r="C52" t="s">
        <v>655</v>
      </c>
      <c r="D52" t="s">
        <v>790</v>
      </c>
      <c r="E52" t="s">
        <v>796</v>
      </c>
      <c r="F52" t="s">
        <v>798</v>
      </c>
      <c r="G52" t="s">
        <v>810</v>
      </c>
      <c r="H52">
        <v>8</v>
      </c>
      <c r="I52">
        <v>284.37</v>
      </c>
      <c r="J52">
        <v>0.2</v>
      </c>
      <c r="K52">
        <v>1819.97</v>
      </c>
      <c r="L52" t="s">
        <v>814</v>
      </c>
      <c r="N52">
        <f t="shared" si="1"/>
        <v>1819.97</v>
      </c>
      <c r="O52" s="5">
        <f t="shared" si="2"/>
        <v>1819.9680000000001</v>
      </c>
      <c r="P52" t="str">
        <f t="shared" si="3"/>
        <v>Same</v>
      </c>
      <c r="S52" t="str">
        <f t="shared" si="0"/>
        <v>Okay</v>
      </c>
    </row>
    <row r="53" spans="1:19" x14ac:dyDescent="0.3">
      <c r="A53" t="s">
        <v>63</v>
      </c>
      <c r="B53" s="2">
        <v>45693</v>
      </c>
      <c r="C53" t="s">
        <v>619</v>
      </c>
      <c r="D53" t="s">
        <v>790</v>
      </c>
      <c r="E53" t="s">
        <v>796</v>
      </c>
      <c r="F53" t="s">
        <v>798</v>
      </c>
      <c r="G53" t="s">
        <v>810</v>
      </c>
      <c r="H53">
        <v>2</v>
      </c>
      <c r="I53">
        <v>275.13</v>
      </c>
      <c r="J53">
        <v>0.05</v>
      </c>
      <c r="K53">
        <v>522.75</v>
      </c>
      <c r="L53" t="s">
        <v>814</v>
      </c>
      <c r="N53">
        <f t="shared" si="1"/>
        <v>522.75</v>
      </c>
      <c r="O53" s="5">
        <f t="shared" si="2"/>
        <v>522.74699999999996</v>
      </c>
      <c r="P53" t="str">
        <f t="shared" si="3"/>
        <v>Same</v>
      </c>
      <c r="S53" t="str">
        <f t="shared" si="0"/>
        <v>Okay</v>
      </c>
    </row>
    <row r="54" spans="1:19" x14ac:dyDescent="0.3">
      <c r="A54" t="s">
        <v>64</v>
      </c>
      <c r="B54" s="2">
        <v>45695</v>
      </c>
      <c r="C54" t="s">
        <v>656</v>
      </c>
      <c r="D54" t="s">
        <v>790</v>
      </c>
      <c r="E54" t="s">
        <v>796</v>
      </c>
      <c r="F54" t="s">
        <v>801</v>
      </c>
      <c r="G54" t="s">
        <v>811</v>
      </c>
      <c r="H54">
        <v>3</v>
      </c>
      <c r="I54">
        <v>15.18</v>
      </c>
      <c r="J54">
        <v>0</v>
      </c>
      <c r="K54">
        <v>45.54</v>
      </c>
      <c r="L54" t="s">
        <v>815</v>
      </c>
      <c r="N54">
        <f t="shared" si="1"/>
        <v>45.54</v>
      </c>
      <c r="O54" s="5">
        <f t="shared" si="2"/>
        <v>45.54</v>
      </c>
      <c r="P54" t="str">
        <f t="shared" si="3"/>
        <v>Same</v>
      </c>
      <c r="S54" t="str">
        <f t="shared" si="0"/>
        <v>Okay</v>
      </c>
    </row>
    <row r="55" spans="1:19" x14ac:dyDescent="0.3">
      <c r="A55" t="s">
        <v>65</v>
      </c>
      <c r="B55" s="2">
        <v>45695</v>
      </c>
      <c r="C55" t="s">
        <v>657</v>
      </c>
      <c r="D55" t="s">
        <v>789</v>
      </c>
      <c r="E55" t="s">
        <v>792</v>
      </c>
      <c r="F55" t="s">
        <v>800</v>
      </c>
      <c r="G55" t="s">
        <v>810</v>
      </c>
      <c r="H55">
        <v>4</v>
      </c>
      <c r="I55">
        <v>618.1</v>
      </c>
      <c r="J55">
        <v>0.15</v>
      </c>
      <c r="K55">
        <v>2101.54</v>
      </c>
      <c r="L55" t="s">
        <v>813</v>
      </c>
      <c r="N55">
        <f t="shared" si="1"/>
        <v>2101.54</v>
      </c>
      <c r="O55" s="5">
        <f t="shared" si="2"/>
        <v>2101.54</v>
      </c>
      <c r="P55" t="str">
        <f t="shared" si="3"/>
        <v>Same</v>
      </c>
      <c r="S55" t="str">
        <f t="shared" si="0"/>
        <v>Okay</v>
      </c>
    </row>
    <row r="56" spans="1:19" x14ac:dyDescent="0.3">
      <c r="A56" t="s">
        <v>66</v>
      </c>
      <c r="B56" s="2">
        <v>45695</v>
      </c>
      <c r="C56" t="s">
        <v>641</v>
      </c>
      <c r="D56" t="s">
        <v>789</v>
      </c>
      <c r="E56" t="s">
        <v>792</v>
      </c>
      <c r="F56" t="s">
        <v>799</v>
      </c>
      <c r="G56" t="s">
        <v>809</v>
      </c>
      <c r="H56">
        <v>3</v>
      </c>
      <c r="I56">
        <v>53.54</v>
      </c>
      <c r="J56">
        <v>0.05</v>
      </c>
      <c r="K56">
        <v>152.59</v>
      </c>
      <c r="L56" t="s">
        <v>814</v>
      </c>
      <c r="N56">
        <f t="shared" si="1"/>
        <v>152.59</v>
      </c>
      <c r="O56" s="5">
        <f t="shared" si="2"/>
        <v>152.589</v>
      </c>
      <c r="P56" t="str">
        <f t="shared" si="3"/>
        <v>Same</v>
      </c>
      <c r="S56" t="str">
        <f t="shared" si="0"/>
        <v>Okay</v>
      </c>
    </row>
    <row r="57" spans="1:19" x14ac:dyDescent="0.3">
      <c r="A57" t="s">
        <v>67</v>
      </c>
      <c r="B57" s="2">
        <v>45696</v>
      </c>
      <c r="C57" t="s">
        <v>658</v>
      </c>
      <c r="D57" t="s">
        <v>789</v>
      </c>
      <c r="E57" t="s">
        <v>792</v>
      </c>
      <c r="F57" t="s">
        <v>807</v>
      </c>
      <c r="G57" t="s">
        <v>810</v>
      </c>
      <c r="H57">
        <v>5</v>
      </c>
      <c r="I57">
        <v>972.64</v>
      </c>
      <c r="J57">
        <v>0</v>
      </c>
      <c r="K57">
        <v>4863.2</v>
      </c>
      <c r="L57" t="s">
        <v>813</v>
      </c>
      <c r="N57">
        <f t="shared" si="1"/>
        <v>4863.2</v>
      </c>
      <c r="O57" s="5">
        <f t="shared" si="2"/>
        <v>4863.2</v>
      </c>
      <c r="P57" t="str">
        <f t="shared" si="3"/>
        <v>Same</v>
      </c>
      <c r="S57" t="str">
        <f t="shared" si="0"/>
        <v>Okay</v>
      </c>
    </row>
    <row r="58" spans="1:19" x14ac:dyDescent="0.3">
      <c r="A58" t="s">
        <v>68</v>
      </c>
      <c r="B58" s="2">
        <v>45696</v>
      </c>
      <c r="C58" t="s">
        <v>631</v>
      </c>
      <c r="D58" t="s">
        <v>787</v>
      </c>
      <c r="E58" t="s">
        <v>794</v>
      </c>
      <c r="F58" t="s">
        <v>807</v>
      </c>
      <c r="G58" t="s">
        <v>810</v>
      </c>
      <c r="H58">
        <v>8</v>
      </c>
      <c r="I58">
        <v>988.63</v>
      </c>
      <c r="J58">
        <v>0.15</v>
      </c>
      <c r="K58">
        <v>6722.68</v>
      </c>
      <c r="L58" t="s">
        <v>814</v>
      </c>
      <c r="N58">
        <f t="shared" si="1"/>
        <v>6722.68</v>
      </c>
      <c r="O58" s="5">
        <f t="shared" si="2"/>
        <v>6722.6840000000002</v>
      </c>
      <c r="P58" t="str">
        <f t="shared" si="3"/>
        <v>Same</v>
      </c>
      <c r="S58" t="str">
        <f t="shared" si="0"/>
        <v>Okay</v>
      </c>
    </row>
    <row r="59" spans="1:19" x14ac:dyDescent="0.3">
      <c r="A59" t="s">
        <v>69</v>
      </c>
      <c r="B59" s="2">
        <v>45696</v>
      </c>
      <c r="C59" t="s">
        <v>626</v>
      </c>
      <c r="D59" t="s">
        <v>785</v>
      </c>
      <c r="E59" t="s">
        <v>792</v>
      </c>
      <c r="F59" t="s">
        <v>806</v>
      </c>
      <c r="G59" t="s">
        <v>810</v>
      </c>
      <c r="H59">
        <v>6</v>
      </c>
      <c r="I59">
        <v>83.49</v>
      </c>
      <c r="J59">
        <v>0.05</v>
      </c>
      <c r="K59">
        <v>475.89</v>
      </c>
      <c r="L59" t="s">
        <v>815</v>
      </c>
      <c r="N59">
        <f t="shared" si="1"/>
        <v>475.89</v>
      </c>
      <c r="O59" s="5">
        <f t="shared" si="2"/>
        <v>475.89299999999992</v>
      </c>
      <c r="P59" t="str">
        <f t="shared" si="3"/>
        <v>Same</v>
      </c>
      <c r="S59" t="str">
        <f t="shared" si="0"/>
        <v>Okay</v>
      </c>
    </row>
    <row r="60" spans="1:19" x14ac:dyDescent="0.3">
      <c r="A60" t="s">
        <v>70</v>
      </c>
      <c r="B60" s="2">
        <v>45699</v>
      </c>
      <c r="C60" t="s">
        <v>659</v>
      </c>
      <c r="D60" t="s">
        <v>788</v>
      </c>
      <c r="E60" t="s">
        <v>795</v>
      </c>
      <c r="F60" t="s">
        <v>797</v>
      </c>
      <c r="G60" t="s">
        <v>809</v>
      </c>
      <c r="H60">
        <v>5</v>
      </c>
      <c r="I60">
        <v>232.83</v>
      </c>
      <c r="J60">
        <v>0.2</v>
      </c>
      <c r="K60">
        <v>931.32</v>
      </c>
      <c r="L60" t="s">
        <v>814</v>
      </c>
      <c r="N60">
        <f t="shared" si="1"/>
        <v>931.32</v>
      </c>
      <c r="O60" s="5">
        <f t="shared" si="2"/>
        <v>931.32000000000016</v>
      </c>
      <c r="P60" t="str">
        <f t="shared" si="3"/>
        <v>Same</v>
      </c>
      <c r="S60" t="str">
        <f t="shared" si="0"/>
        <v>Okay</v>
      </c>
    </row>
    <row r="61" spans="1:19" x14ac:dyDescent="0.3">
      <c r="A61" t="s">
        <v>71</v>
      </c>
      <c r="B61" s="2">
        <v>45699</v>
      </c>
      <c r="C61" t="s">
        <v>660</v>
      </c>
      <c r="D61" t="s">
        <v>785</v>
      </c>
      <c r="E61" t="s">
        <v>792</v>
      </c>
      <c r="F61" t="s">
        <v>800</v>
      </c>
      <c r="G61" t="s">
        <v>810</v>
      </c>
      <c r="H61">
        <v>7</v>
      </c>
      <c r="I61">
        <v>673.81</v>
      </c>
      <c r="J61">
        <v>0.2</v>
      </c>
      <c r="K61">
        <v>3773.34</v>
      </c>
      <c r="L61" t="s">
        <v>815</v>
      </c>
      <c r="N61">
        <f t="shared" si="1"/>
        <v>3773.34</v>
      </c>
      <c r="O61" s="5">
        <f t="shared" si="2"/>
        <v>3773.3360000000002</v>
      </c>
      <c r="P61" t="str">
        <f t="shared" si="3"/>
        <v>Same</v>
      </c>
      <c r="S61" t="str">
        <f t="shared" si="0"/>
        <v>Okay</v>
      </c>
    </row>
    <row r="62" spans="1:19" x14ac:dyDescent="0.3">
      <c r="A62" t="s">
        <v>72</v>
      </c>
      <c r="B62" s="2">
        <v>45699</v>
      </c>
      <c r="C62" t="s">
        <v>661</v>
      </c>
      <c r="D62" t="s">
        <v>790</v>
      </c>
      <c r="E62" t="s">
        <v>796</v>
      </c>
      <c r="F62" t="s">
        <v>803</v>
      </c>
      <c r="G62" t="s">
        <v>810</v>
      </c>
      <c r="H62">
        <v>7</v>
      </c>
      <c r="I62">
        <v>110.81</v>
      </c>
      <c r="J62">
        <v>0.25</v>
      </c>
      <c r="K62">
        <v>581.75</v>
      </c>
      <c r="L62" t="s">
        <v>815</v>
      </c>
      <c r="N62">
        <f t="shared" si="1"/>
        <v>581.75</v>
      </c>
      <c r="O62" s="5">
        <f t="shared" si="2"/>
        <v>581.75250000000005</v>
      </c>
      <c r="P62" t="str">
        <f t="shared" si="3"/>
        <v>Same</v>
      </c>
      <c r="S62" t="str">
        <f t="shared" si="0"/>
        <v>Okay</v>
      </c>
    </row>
    <row r="63" spans="1:19" x14ac:dyDescent="0.3">
      <c r="A63" t="s">
        <v>73</v>
      </c>
      <c r="B63" s="2">
        <v>45700</v>
      </c>
      <c r="C63" t="s">
        <v>662</v>
      </c>
      <c r="D63" t="s">
        <v>786</v>
      </c>
      <c r="E63" t="s">
        <v>793</v>
      </c>
      <c r="F63" t="s">
        <v>802</v>
      </c>
      <c r="G63" t="s">
        <v>811</v>
      </c>
      <c r="H63">
        <v>7</v>
      </c>
      <c r="I63">
        <v>242.4</v>
      </c>
      <c r="J63">
        <v>0.05</v>
      </c>
      <c r="K63">
        <v>1611.96</v>
      </c>
      <c r="L63" t="s">
        <v>814</v>
      </c>
      <c r="N63">
        <f t="shared" si="1"/>
        <v>1611.96</v>
      </c>
      <c r="O63" s="5">
        <f t="shared" si="2"/>
        <v>1611.9599999999998</v>
      </c>
      <c r="P63" t="str">
        <f t="shared" si="3"/>
        <v>Same</v>
      </c>
      <c r="S63" t="str">
        <f t="shared" si="0"/>
        <v>Okay</v>
      </c>
    </row>
    <row r="64" spans="1:19" x14ac:dyDescent="0.3">
      <c r="A64" t="s">
        <v>74</v>
      </c>
      <c r="B64" s="2">
        <v>45701</v>
      </c>
      <c r="C64" t="s">
        <v>663</v>
      </c>
      <c r="D64" t="s">
        <v>786</v>
      </c>
      <c r="E64" t="s">
        <v>793</v>
      </c>
      <c r="F64" t="s">
        <v>807</v>
      </c>
      <c r="G64" t="s">
        <v>810</v>
      </c>
      <c r="H64">
        <v>7</v>
      </c>
      <c r="I64">
        <v>909.45</v>
      </c>
      <c r="J64">
        <v>0</v>
      </c>
      <c r="K64">
        <v>6366.15</v>
      </c>
      <c r="L64" t="s">
        <v>814</v>
      </c>
      <c r="N64">
        <f t="shared" si="1"/>
        <v>6366.15</v>
      </c>
      <c r="O64" s="5">
        <f t="shared" si="2"/>
        <v>6366.1500000000005</v>
      </c>
      <c r="P64" t="str">
        <f t="shared" si="3"/>
        <v>Same</v>
      </c>
      <c r="S64" t="str">
        <f t="shared" si="0"/>
        <v>Okay</v>
      </c>
    </row>
    <row r="65" spans="1:19" x14ac:dyDescent="0.3">
      <c r="A65" t="s">
        <v>75</v>
      </c>
      <c r="B65" s="2">
        <v>45702</v>
      </c>
      <c r="C65" t="s">
        <v>664</v>
      </c>
      <c r="D65" t="s">
        <v>788</v>
      </c>
      <c r="E65" t="s">
        <v>795</v>
      </c>
      <c r="F65" t="s">
        <v>804</v>
      </c>
      <c r="G65" t="s">
        <v>809</v>
      </c>
      <c r="H65">
        <v>7</v>
      </c>
      <c r="I65">
        <v>327.55</v>
      </c>
      <c r="J65">
        <v>0.15</v>
      </c>
      <c r="K65">
        <v>1948.92</v>
      </c>
      <c r="L65" t="s">
        <v>814</v>
      </c>
      <c r="N65">
        <f t="shared" si="1"/>
        <v>1948.92</v>
      </c>
      <c r="O65" s="5">
        <f t="shared" si="2"/>
        <v>1948.9224999999999</v>
      </c>
      <c r="P65" t="str">
        <f t="shared" si="3"/>
        <v>Same</v>
      </c>
      <c r="S65" t="str">
        <f t="shared" si="0"/>
        <v>Okay</v>
      </c>
    </row>
    <row r="66" spans="1:19" x14ac:dyDescent="0.3">
      <c r="A66" t="s">
        <v>76</v>
      </c>
      <c r="B66" s="2">
        <v>45702</v>
      </c>
      <c r="C66" t="s">
        <v>665</v>
      </c>
      <c r="D66" t="s">
        <v>790</v>
      </c>
      <c r="E66" t="s">
        <v>796</v>
      </c>
      <c r="F66" t="s">
        <v>797</v>
      </c>
      <c r="G66" t="s">
        <v>809</v>
      </c>
      <c r="H66">
        <v>7</v>
      </c>
      <c r="I66">
        <v>228.76</v>
      </c>
      <c r="J66">
        <v>0</v>
      </c>
      <c r="K66">
        <v>1601.32</v>
      </c>
      <c r="L66" t="s">
        <v>813</v>
      </c>
      <c r="N66">
        <f t="shared" si="1"/>
        <v>1601.32</v>
      </c>
      <c r="O66" s="5">
        <f t="shared" si="2"/>
        <v>1601.32</v>
      </c>
      <c r="P66" t="str">
        <f t="shared" si="3"/>
        <v>Same</v>
      </c>
      <c r="S66" t="str">
        <f t="shared" ref="S66:S129" si="4">IF(OR(B66&lt;DATE(2025,1,1),B66&gt;DATE(2025,12,31)),"Strange", "Okay")</f>
        <v>Okay</v>
      </c>
    </row>
    <row r="67" spans="1:19" x14ac:dyDescent="0.3">
      <c r="A67" t="s">
        <v>77</v>
      </c>
      <c r="B67" s="2">
        <v>45702</v>
      </c>
      <c r="C67" t="s">
        <v>666</v>
      </c>
      <c r="D67" t="s">
        <v>790</v>
      </c>
      <c r="E67" t="s">
        <v>796</v>
      </c>
      <c r="F67" t="s">
        <v>799</v>
      </c>
      <c r="G67" t="s">
        <v>809</v>
      </c>
      <c r="H67">
        <v>1</v>
      </c>
      <c r="I67">
        <v>51.23</v>
      </c>
      <c r="J67">
        <v>0</v>
      </c>
      <c r="K67">
        <v>51.23</v>
      </c>
      <c r="L67" t="s">
        <v>814</v>
      </c>
      <c r="N67">
        <f t="shared" ref="N67:N130" si="5">ROUND(H67*I67*(1-J67),2)</f>
        <v>51.23</v>
      </c>
      <c r="O67" s="5">
        <f t="shared" ref="O67:O130" si="6">H67*I67*(1-J67)</f>
        <v>51.23</v>
      </c>
      <c r="P67" t="str">
        <f t="shared" ref="P67:P130" si="7">IF(ROUND(O67,2)=ROUND(K67,2),"Same","Different")</f>
        <v>Same</v>
      </c>
      <c r="S67" t="str">
        <f t="shared" si="4"/>
        <v>Okay</v>
      </c>
    </row>
    <row r="68" spans="1:19" x14ac:dyDescent="0.3">
      <c r="A68" t="s">
        <v>78</v>
      </c>
      <c r="B68" s="2">
        <v>45703</v>
      </c>
      <c r="C68" t="s">
        <v>662</v>
      </c>
      <c r="D68" t="s">
        <v>789</v>
      </c>
      <c r="E68" t="s">
        <v>792</v>
      </c>
      <c r="F68" t="s">
        <v>803</v>
      </c>
      <c r="G68" t="s">
        <v>810</v>
      </c>
      <c r="H68">
        <v>8</v>
      </c>
      <c r="I68">
        <v>123.49</v>
      </c>
      <c r="J68">
        <v>0</v>
      </c>
      <c r="K68">
        <v>987.92</v>
      </c>
      <c r="L68" t="s">
        <v>816</v>
      </c>
      <c r="N68">
        <f t="shared" si="5"/>
        <v>987.92</v>
      </c>
      <c r="O68" s="5">
        <f t="shared" si="6"/>
        <v>987.92</v>
      </c>
      <c r="P68" t="str">
        <f t="shared" si="7"/>
        <v>Same</v>
      </c>
      <c r="S68" t="str">
        <f t="shared" si="4"/>
        <v>Okay</v>
      </c>
    </row>
    <row r="69" spans="1:19" x14ac:dyDescent="0.3">
      <c r="A69" t="s">
        <v>79</v>
      </c>
      <c r="B69" s="2">
        <v>45705</v>
      </c>
      <c r="C69" t="s">
        <v>667</v>
      </c>
      <c r="D69" t="s">
        <v>790</v>
      </c>
      <c r="E69" t="s">
        <v>796</v>
      </c>
      <c r="F69" t="s">
        <v>803</v>
      </c>
      <c r="G69" t="s">
        <v>810</v>
      </c>
      <c r="H69">
        <v>3</v>
      </c>
      <c r="I69">
        <v>109.82</v>
      </c>
      <c r="J69">
        <v>0.1</v>
      </c>
      <c r="K69">
        <v>296.51</v>
      </c>
      <c r="L69" t="s">
        <v>813</v>
      </c>
      <c r="N69">
        <f t="shared" si="5"/>
        <v>296.51</v>
      </c>
      <c r="O69" s="5">
        <f t="shared" si="6"/>
        <v>296.51400000000001</v>
      </c>
      <c r="P69" t="str">
        <f t="shared" si="7"/>
        <v>Same</v>
      </c>
      <c r="S69" t="str">
        <f t="shared" si="4"/>
        <v>Okay</v>
      </c>
    </row>
    <row r="70" spans="1:19" x14ac:dyDescent="0.3">
      <c r="A70" t="s">
        <v>80</v>
      </c>
      <c r="B70" s="2">
        <v>45705</v>
      </c>
      <c r="C70" t="s">
        <v>668</v>
      </c>
      <c r="D70" t="s">
        <v>786</v>
      </c>
      <c r="E70" t="s">
        <v>793</v>
      </c>
      <c r="F70" t="s">
        <v>799</v>
      </c>
      <c r="G70" t="s">
        <v>809</v>
      </c>
      <c r="H70">
        <v>4</v>
      </c>
      <c r="I70">
        <v>59.58</v>
      </c>
      <c r="J70">
        <v>0.1</v>
      </c>
      <c r="K70">
        <v>214.49</v>
      </c>
      <c r="L70" t="s">
        <v>814</v>
      </c>
      <c r="N70">
        <f t="shared" si="5"/>
        <v>214.49</v>
      </c>
      <c r="O70" s="5">
        <f t="shared" si="6"/>
        <v>214.488</v>
      </c>
      <c r="P70" t="str">
        <f t="shared" si="7"/>
        <v>Same</v>
      </c>
      <c r="S70" t="str">
        <f t="shared" si="4"/>
        <v>Okay</v>
      </c>
    </row>
    <row r="71" spans="1:19" x14ac:dyDescent="0.3">
      <c r="A71" t="s">
        <v>81</v>
      </c>
      <c r="B71" s="2">
        <v>45706</v>
      </c>
      <c r="C71" t="s">
        <v>642</v>
      </c>
      <c r="D71" t="s">
        <v>785</v>
      </c>
      <c r="E71" t="s">
        <v>792</v>
      </c>
      <c r="F71" t="s">
        <v>806</v>
      </c>
      <c r="G71" t="s">
        <v>810</v>
      </c>
      <c r="H71">
        <v>1</v>
      </c>
      <c r="I71">
        <v>75.63</v>
      </c>
      <c r="J71">
        <v>0.05</v>
      </c>
      <c r="K71">
        <v>71.849999999999994</v>
      </c>
      <c r="L71" t="s">
        <v>814</v>
      </c>
      <c r="N71">
        <f t="shared" si="5"/>
        <v>71.849999999999994</v>
      </c>
      <c r="O71" s="5">
        <f t="shared" si="6"/>
        <v>71.848499999999987</v>
      </c>
      <c r="P71" t="str">
        <f t="shared" si="7"/>
        <v>Same</v>
      </c>
      <c r="S71" t="str">
        <f t="shared" si="4"/>
        <v>Okay</v>
      </c>
    </row>
    <row r="72" spans="1:19" x14ac:dyDescent="0.3">
      <c r="A72" t="s">
        <v>82</v>
      </c>
      <c r="B72" s="2">
        <v>45706</v>
      </c>
      <c r="C72" t="s">
        <v>669</v>
      </c>
      <c r="D72" t="s">
        <v>788</v>
      </c>
      <c r="E72" t="s">
        <v>795</v>
      </c>
      <c r="F72" t="s">
        <v>806</v>
      </c>
      <c r="G72" t="s">
        <v>810</v>
      </c>
      <c r="H72">
        <v>2</v>
      </c>
      <c r="I72">
        <v>77.77</v>
      </c>
      <c r="J72">
        <v>0.25</v>
      </c>
      <c r="K72">
        <v>116.66</v>
      </c>
      <c r="L72" t="s">
        <v>813</v>
      </c>
      <c r="N72">
        <f t="shared" si="5"/>
        <v>116.66</v>
      </c>
      <c r="O72" s="5">
        <f t="shared" si="6"/>
        <v>116.655</v>
      </c>
      <c r="P72" t="str">
        <f t="shared" si="7"/>
        <v>Same</v>
      </c>
      <c r="S72" t="str">
        <f t="shared" si="4"/>
        <v>Okay</v>
      </c>
    </row>
    <row r="73" spans="1:19" x14ac:dyDescent="0.3">
      <c r="A73" t="s">
        <v>83</v>
      </c>
      <c r="B73" s="2">
        <v>45706</v>
      </c>
      <c r="C73" t="s">
        <v>670</v>
      </c>
      <c r="D73" t="s">
        <v>790</v>
      </c>
      <c r="E73" t="s">
        <v>796</v>
      </c>
      <c r="F73" t="s">
        <v>802</v>
      </c>
      <c r="G73" t="s">
        <v>811</v>
      </c>
      <c r="H73">
        <v>3</v>
      </c>
      <c r="I73">
        <v>246.48</v>
      </c>
      <c r="J73">
        <v>0.2</v>
      </c>
      <c r="K73">
        <v>591.54999999999995</v>
      </c>
      <c r="L73" t="s">
        <v>813</v>
      </c>
      <c r="N73">
        <f t="shared" si="5"/>
        <v>591.54999999999995</v>
      </c>
      <c r="O73" s="5">
        <f t="shared" si="6"/>
        <v>591.55200000000002</v>
      </c>
      <c r="P73" t="str">
        <f t="shared" si="7"/>
        <v>Same</v>
      </c>
      <c r="S73" t="str">
        <f t="shared" si="4"/>
        <v>Okay</v>
      </c>
    </row>
    <row r="74" spans="1:19" x14ac:dyDescent="0.3">
      <c r="A74" t="s">
        <v>84</v>
      </c>
      <c r="B74" s="2">
        <v>45706</v>
      </c>
      <c r="C74" t="s">
        <v>632</v>
      </c>
      <c r="D74" t="s">
        <v>785</v>
      </c>
      <c r="E74" t="s">
        <v>792</v>
      </c>
      <c r="F74" t="s">
        <v>801</v>
      </c>
      <c r="G74" t="s">
        <v>811</v>
      </c>
      <c r="H74">
        <v>8</v>
      </c>
      <c r="I74">
        <v>13.53</v>
      </c>
      <c r="J74">
        <v>0.05</v>
      </c>
      <c r="K74">
        <v>102.83</v>
      </c>
      <c r="L74" t="s">
        <v>815</v>
      </c>
      <c r="N74">
        <f t="shared" si="5"/>
        <v>102.83</v>
      </c>
      <c r="O74" s="5">
        <f t="shared" si="6"/>
        <v>102.82799999999999</v>
      </c>
      <c r="P74" t="str">
        <f t="shared" si="7"/>
        <v>Same</v>
      </c>
      <c r="S74" t="str">
        <f t="shared" si="4"/>
        <v>Okay</v>
      </c>
    </row>
    <row r="75" spans="1:19" x14ac:dyDescent="0.3">
      <c r="A75" t="s">
        <v>85</v>
      </c>
      <c r="B75" s="2">
        <v>45706</v>
      </c>
      <c r="C75" t="s">
        <v>671</v>
      </c>
      <c r="D75" t="s">
        <v>785</v>
      </c>
      <c r="E75" t="s">
        <v>792</v>
      </c>
      <c r="F75" t="s">
        <v>804</v>
      </c>
      <c r="G75" t="s">
        <v>809</v>
      </c>
      <c r="H75">
        <v>1</v>
      </c>
      <c r="I75">
        <v>336.3</v>
      </c>
      <c r="J75">
        <v>0.1</v>
      </c>
      <c r="K75">
        <v>302.67</v>
      </c>
      <c r="L75" t="s">
        <v>815</v>
      </c>
      <c r="N75">
        <f t="shared" si="5"/>
        <v>302.67</v>
      </c>
      <c r="O75" s="5">
        <f t="shared" si="6"/>
        <v>302.67</v>
      </c>
      <c r="P75" t="str">
        <f t="shared" si="7"/>
        <v>Same</v>
      </c>
      <c r="S75" t="str">
        <f t="shared" si="4"/>
        <v>Okay</v>
      </c>
    </row>
    <row r="76" spans="1:19" x14ac:dyDescent="0.3">
      <c r="A76" t="s">
        <v>86</v>
      </c>
      <c r="B76" s="2">
        <v>45707</v>
      </c>
      <c r="C76" t="s">
        <v>672</v>
      </c>
      <c r="D76" t="s">
        <v>785</v>
      </c>
      <c r="E76" t="s">
        <v>792</v>
      </c>
      <c r="F76" t="s">
        <v>804</v>
      </c>
      <c r="G76" t="s">
        <v>809</v>
      </c>
      <c r="H76">
        <v>4</v>
      </c>
      <c r="I76">
        <v>331.36</v>
      </c>
      <c r="J76">
        <v>0.1</v>
      </c>
      <c r="K76">
        <v>1192.9000000000001</v>
      </c>
      <c r="L76" t="s">
        <v>813</v>
      </c>
      <c r="N76">
        <f t="shared" si="5"/>
        <v>1192.9000000000001</v>
      </c>
      <c r="O76" s="5">
        <f t="shared" si="6"/>
        <v>1192.8960000000002</v>
      </c>
      <c r="P76" t="str">
        <f t="shared" si="7"/>
        <v>Same</v>
      </c>
      <c r="S76" t="str">
        <f t="shared" si="4"/>
        <v>Okay</v>
      </c>
    </row>
    <row r="77" spans="1:19" x14ac:dyDescent="0.3">
      <c r="A77" t="s">
        <v>87</v>
      </c>
      <c r="B77" s="2">
        <v>45707</v>
      </c>
      <c r="C77" t="s">
        <v>648</v>
      </c>
      <c r="D77" t="s">
        <v>789</v>
      </c>
      <c r="E77" t="s">
        <v>792</v>
      </c>
      <c r="F77" t="s">
        <v>805</v>
      </c>
      <c r="G77" t="s">
        <v>810</v>
      </c>
      <c r="H77">
        <v>2</v>
      </c>
      <c r="I77">
        <v>45.79</v>
      </c>
      <c r="J77">
        <v>0</v>
      </c>
      <c r="K77">
        <v>91.58</v>
      </c>
      <c r="L77" t="s">
        <v>814</v>
      </c>
      <c r="N77">
        <f t="shared" si="5"/>
        <v>91.58</v>
      </c>
      <c r="O77" s="5">
        <f t="shared" si="6"/>
        <v>91.58</v>
      </c>
      <c r="P77" t="str">
        <f t="shared" si="7"/>
        <v>Same</v>
      </c>
      <c r="S77" t="str">
        <f t="shared" si="4"/>
        <v>Okay</v>
      </c>
    </row>
    <row r="78" spans="1:19" x14ac:dyDescent="0.3">
      <c r="A78" t="s">
        <v>88</v>
      </c>
      <c r="B78" s="2">
        <v>45708</v>
      </c>
      <c r="C78" t="s">
        <v>673</v>
      </c>
      <c r="D78" t="s">
        <v>787</v>
      </c>
      <c r="E78" t="s">
        <v>794</v>
      </c>
      <c r="F78" t="s">
        <v>797</v>
      </c>
      <c r="G78" t="s">
        <v>809</v>
      </c>
      <c r="H78">
        <v>3</v>
      </c>
      <c r="I78">
        <v>240.71</v>
      </c>
      <c r="J78">
        <v>0.25</v>
      </c>
      <c r="K78">
        <v>541.6</v>
      </c>
      <c r="L78" t="s">
        <v>813</v>
      </c>
      <c r="N78">
        <f t="shared" si="5"/>
        <v>541.6</v>
      </c>
      <c r="O78" s="5">
        <f t="shared" si="6"/>
        <v>541.59749999999997</v>
      </c>
      <c r="P78" t="str">
        <f t="shared" si="7"/>
        <v>Same</v>
      </c>
      <c r="S78" t="str">
        <f t="shared" si="4"/>
        <v>Okay</v>
      </c>
    </row>
    <row r="79" spans="1:19" x14ac:dyDescent="0.3">
      <c r="A79" t="s">
        <v>89</v>
      </c>
      <c r="B79" s="2">
        <v>45708</v>
      </c>
      <c r="C79" t="s">
        <v>674</v>
      </c>
      <c r="D79" t="s">
        <v>789</v>
      </c>
      <c r="E79" t="s">
        <v>792</v>
      </c>
      <c r="F79" t="s">
        <v>799</v>
      </c>
      <c r="G79" t="s">
        <v>809</v>
      </c>
      <c r="H79">
        <v>4</v>
      </c>
      <c r="I79">
        <v>53.53</v>
      </c>
      <c r="J79">
        <v>0.1</v>
      </c>
      <c r="K79">
        <v>192.71</v>
      </c>
      <c r="L79" t="s">
        <v>813</v>
      </c>
      <c r="N79">
        <f t="shared" si="5"/>
        <v>192.71</v>
      </c>
      <c r="O79" s="5">
        <f t="shared" si="6"/>
        <v>192.708</v>
      </c>
      <c r="P79" t="str">
        <f t="shared" si="7"/>
        <v>Same</v>
      </c>
      <c r="S79" t="str">
        <f t="shared" si="4"/>
        <v>Okay</v>
      </c>
    </row>
    <row r="80" spans="1:19" x14ac:dyDescent="0.3">
      <c r="A80" t="s">
        <v>90</v>
      </c>
      <c r="B80" s="2">
        <v>45711</v>
      </c>
      <c r="C80" t="s">
        <v>675</v>
      </c>
      <c r="D80" t="s">
        <v>785</v>
      </c>
      <c r="E80" t="s">
        <v>792</v>
      </c>
      <c r="F80" t="s">
        <v>807</v>
      </c>
      <c r="G80" t="s">
        <v>810</v>
      </c>
      <c r="H80">
        <v>4</v>
      </c>
      <c r="I80">
        <v>842.8</v>
      </c>
      <c r="J80">
        <v>0.15</v>
      </c>
      <c r="K80">
        <v>2865.52</v>
      </c>
      <c r="L80" t="s">
        <v>815</v>
      </c>
      <c r="N80">
        <f t="shared" si="5"/>
        <v>2865.52</v>
      </c>
      <c r="O80" s="5">
        <f t="shared" si="6"/>
        <v>2865.52</v>
      </c>
      <c r="P80" t="str">
        <f t="shared" si="7"/>
        <v>Same</v>
      </c>
      <c r="S80" t="str">
        <f t="shared" si="4"/>
        <v>Okay</v>
      </c>
    </row>
    <row r="81" spans="1:19" x14ac:dyDescent="0.3">
      <c r="A81" t="s">
        <v>91</v>
      </c>
      <c r="B81" s="2">
        <v>45711</v>
      </c>
      <c r="C81" t="s">
        <v>676</v>
      </c>
      <c r="D81" t="s">
        <v>790</v>
      </c>
      <c r="E81" t="s">
        <v>796</v>
      </c>
      <c r="F81" t="s">
        <v>800</v>
      </c>
      <c r="G81" t="s">
        <v>810</v>
      </c>
      <c r="H81">
        <v>7</v>
      </c>
      <c r="I81">
        <v>666.82</v>
      </c>
      <c r="J81">
        <v>0.15</v>
      </c>
      <c r="K81">
        <v>3967.58</v>
      </c>
      <c r="L81" t="s">
        <v>815</v>
      </c>
      <c r="N81">
        <f t="shared" si="5"/>
        <v>3967.58</v>
      </c>
      <c r="O81" s="5">
        <f t="shared" si="6"/>
        <v>3967.5790000000006</v>
      </c>
      <c r="P81" t="str">
        <f t="shared" si="7"/>
        <v>Same</v>
      </c>
      <c r="S81" t="str">
        <f t="shared" si="4"/>
        <v>Okay</v>
      </c>
    </row>
    <row r="82" spans="1:19" x14ac:dyDescent="0.3">
      <c r="A82" t="s">
        <v>92</v>
      </c>
      <c r="B82" s="2">
        <v>45713</v>
      </c>
      <c r="C82" t="s">
        <v>647</v>
      </c>
      <c r="D82" t="s">
        <v>788</v>
      </c>
      <c r="E82" t="s">
        <v>795</v>
      </c>
      <c r="F82" t="s">
        <v>800</v>
      </c>
      <c r="G82" t="s">
        <v>810</v>
      </c>
      <c r="H82">
        <v>7</v>
      </c>
      <c r="I82">
        <v>707.59</v>
      </c>
      <c r="J82">
        <v>0.1</v>
      </c>
      <c r="K82">
        <v>4457.82</v>
      </c>
      <c r="L82" t="s">
        <v>814</v>
      </c>
      <c r="N82">
        <f t="shared" si="5"/>
        <v>4457.82</v>
      </c>
      <c r="O82" s="5">
        <f t="shared" si="6"/>
        <v>4457.817</v>
      </c>
      <c r="P82" t="str">
        <f t="shared" si="7"/>
        <v>Same</v>
      </c>
      <c r="S82" t="str">
        <f t="shared" si="4"/>
        <v>Okay</v>
      </c>
    </row>
    <row r="83" spans="1:19" x14ac:dyDescent="0.3">
      <c r="A83" t="s">
        <v>93</v>
      </c>
      <c r="B83" s="2">
        <v>45716</v>
      </c>
      <c r="C83" t="s">
        <v>677</v>
      </c>
      <c r="D83" t="s">
        <v>788</v>
      </c>
      <c r="E83" t="s">
        <v>795</v>
      </c>
      <c r="F83" t="s">
        <v>807</v>
      </c>
      <c r="G83" t="s">
        <v>810</v>
      </c>
      <c r="H83">
        <v>5</v>
      </c>
      <c r="I83">
        <v>941.89</v>
      </c>
      <c r="J83">
        <v>0.1</v>
      </c>
      <c r="K83">
        <v>4238.5</v>
      </c>
      <c r="L83" t="s">
        <v>814</v>
      </c>
      <c r="N83">
        <f t="shared" si="5"/>
        <v>4238.51</v>
      </c>
      <c r="O83" s="5">
        <f t="shared" si="6"/>
        <v>4238.5050000000001</v>
      </c>
      <c r="P83" t="str">
        <f t="shared" si="7"/>
        <v>Different</v>
      </c>
      <c r="S83" t="str">
        <f t="shared" si="4"/>
        <v>Okay</v>
      </c>
    </row>
    <row r="84" spans="1:19" x14ac:dyDescent="0.3">
      <c r="A84" t="s">
        <v>94</v>
      </c>
      <c r="B84" s="2">
        <v>45717</v>
      </c>
      <c r="C84" t="s">
        <v>678</v>
      </c>
      <c r="D84" t="s">
        <v>789</v>
      </c>
      <c r="E84" t="s">
        <v>792</v>
      </c>
      <c r="F84" t="s">
        <v>808</v>
      </c>
      <c r="G84" t="s">
        <v>812</v>
      </c>
      <c r="H84">
        <v>6</v>
      </c>
      <c r="I84">
        <v>73.09</v>
      </c>
      <c r="J84">
        <v>0</v>
      </c>
      <c r="K84">
        <v>438.54</v>
      </c>
      <c r="L84" t="s">
        <v>814</v>
      </c>
      <c r="N84">
        <f t="shared" si="5"/>
        <v>438.54</v>
      </c>
      <c r="O84" s="5">
        <f t="shared" si="6"/>
        <v>438.54</v>
      </c>
      <c r="P84" t="str">
        <f t="shared" si="7"/>
        <v>Same</v>
      </c>
      <c r="S84" t="str">
        <f t="shared" si="4"/>
        <v>Okay</v>
      </c>
    </row>
    <row r="85" spans="1:19" x14ac:dyDescent="0.3">
      <c r="A85" t="s">
        <v>95</v>
      </c>
      <c r="B85" s="2">
        <v>45718</v>
      </c>
      <c r="C85" t="s">
        <v>679</v>
      </c>
      <c r="D85" t="s">
        <v>787</v>
      </c>
      <c r="E85" t="s">
        <v>794</v>
      </c>
      <c r="F85" t="s">
        <v>808</v>
      </c>
      <c r="G85" t="s">
        <v>812</v>
      </c>
      <c r="H85">
        <v>1</v>
      </c>
      <c r="I85">
        <v>81.87</v>
      </c>
      <c r="J85">
        <v>0.1</v>
      </c>
      <c r="K85">
        <v>73.680000000000007</v>
      </c>
      <c r="L85" t="s">
        <v>814</v>
      </c>
      <c r="N85">
        <f t="shared" si="5"/>
        <v>73.680000000000007</v>
      </c>
      <c r="O85" s="5">
        <f t="shared" si="6"/>
        <v>73.683000000000007</v>
      </c>
      <c r="P85" t="str">
        <f t="shared" si="7"/>
        <v>Same</v>
      </c>
      <c r="S85" t="str">
        <f t="shared" si="4"/>
        <v>Okay</v>
      </c>
    </row>
    <row r="86" spans="1:19" x14ac:dyDescent="0.3">
      <c r="A86" t="s">
        <v>96</v>
      </c>
      <c r="B86" s="2">
        <v>45718</v>
      </c>
      <c r="C86" t="s">
        <v>680</v>
      </c>
      <c r="D86" t="s">
        <v>789</v>
      </c>
      <c r="E86" t="s">
        <v>792</v>
      </c>
      <c r="F86" t="s">
        <v>803</v>
      </c>
      <c r="G86" t="s">
        <v>810</v>
      </c>
      <c r="H86">
        <v>6</v>
      </c>
      <c r="I86">
        <v>127.4</v>
      </c>
      <c r="J86">
        <v>0.25</v>
      </c>
      <c r="K86">
        <v>573.29999999999995</v>
      </c>
      <c r="L86" t="s">
        <v>814</v>
      </c>
      <c r="N86">
        <f t="shared" si="5"/>
        <v>573.29999999999995</v>
      </c>
      <c r="O86" s="5">
        <f t="shared" si="6"/>
        <v>573.30000000000007</v>
      </c>
      <c r="P86" t="str">
        <f t="shared" si="7"/>
        <v>Same</v>
      </c>
      <c r="S86" t="str">
        <f t="shared" si="4"/>
        <v>Okay</v>
      </c>
    </row>
    <row r="87" spans="1:19" x14ac:dyDescent="0.3">
      <c r="A87" t="s">
        <v>97</v>
      </c>
      <c r="B87" s="2">
        <v>45718</v>
      </c>
      <c r="C87" t="s">
        <v>679</v>
      </c>
      <c r="D87" t="s">
        <v>785</v>
      </c>
      <c r="E87" t="s">
        <v>792</v>
      </c>
      <c r="F87" t="s">
        <v>806</v>
      </c>
      <c r="G87" t="s">
        <v>810</v>
      </c>
      <c r="H87">
        <v>1</v>
      </c>
      <c r="I87">
        <v>86.35</v>
      </c>
      <c r="J87">
        <v>0.1</v>
      </c>
      <c r="K87">
        <v>77.72</v>
      </c>
      <c r="L87" t="s">
        <v>815</v>
      </c>
      <c r="N87">
        <f t="shared" si="5"/>
        <v>77.72</v>
      </c>
      <c r="O87" s="5">
        <f t="shared" si="6"/>
        <v>77.715000000000003</v>
      </c>
      <c r="P87" t="str">
        <f t="shared" si="7"/>
        <v>Same</v>
      </c>
      <c r="S87" t="str">
        <f t="shared" si="4"/>
        <v>Okay</v>
      </c>
    </row>
    <row r="88" spans="1:19" x14ac:dyDescent="0.3">
      <c r="A88" t="s">
        <v>98</v>
      </c>
      <c r="B88" s="2">
        <v>45718</v>
      </c>
      <c r="C88" t="s">
        <v>626</v>
      </c>
      <c r="D88" t="s">
        <v>786</v>
      </c>
      <c r="E88" t="s">
        <v>793</v>
      </c>
      <c r="F88" t="s">
        <v>805</v>
      </c>
      <c r="G88" t="s">
        <v>810</v>
      </c>
      <c r="H88">
        <v>6</v>
      </c>
      <c r="I88">
        <v>41.24</v>
      </c>
      <c r="J88">
        <v>0.2</v>
      </c>
      <c r="K88">
        <v>197.95</v>
      </c>
      <c r="L88" t="s">
        <v>816</v>
      </c>
      <c r="N88">
        <f t="shared" si="5"/>
        <v>197.95</v>
      </c>
      <c r="O88" s="5">
        <f t="shared" si="6"/>
        <v>197.952</v>
      </c>
      <c r="P88" t="str">
        <f t="shared" si="7"/>
        <v>Same</v>
      </c>
      <c r="S88" t="str">
        <f t="shared" si="4"/>
        <v>Okay</v>
      </c>
    </row>
    <row r="89" spans="1:19" x14ac:dyDescent="0.3">
      <c r="A89" t="s">
        <v>99</v>
      </c>
      <c r="B89" s="2">
        <v>45719</v>
      </c>
      <c r="C89" t="s">
        <v>664</v>
      </c>
      <c r="D89" t="s">
        <v>790</v>
      </c>
      <c r="E89" t="s">
        <v>796</v>
      </c>
      <c r="F89" t="s">
        <v>802</v>
      </c>
      <c r="G89" t="s">
        <v>811</v>
      </c>
      <c r="H89">
        <v>1</v>
      </c>
      <c r="I89">
        <v>233.69</v>
      </c>
      <c r="J89">
        <v>0.1</v>
      </c>
      <c r="K89">
        <v>210.32</v>
      </c>
      <c r="L89" t="s">
        <v>813</v>
      </c>
      <c r="N89">
        <f t="shared" si="5"/>
        <v>210.32</v>
      </c>
      <c r="O89" s="5">
        <f t="shared" si="6"/>
        <v>210.321</v>
      </c>
      <c r="P89" t="str">
        <f t="shared" si="7"/>
        <v>Same</v>
      </c>
      <c r="S89" t="str">
        <f t="shared" si="4"/>
        <v>Okay</v>
      </c>
    </row>
    <row r="90" spans="1:19" x14ac:dyDescent="0.3">
      <c r="A90" t="s">
        <v>100</v>
      </c>
      <c r="B90" s="2">
        <v>45719</v>
      </c>
      <c r="C90" t="s">
        <v>670</v>
      </c>
      <c r="D90" t="s">
        <v>791</v>
      </c>
      <c r="E90" t="s">
        <v>792</v>
      </c>
      <c r="F90" t="s">
        <v>798</v>
      </c>
      <c r="G90" t="s">
        <v>810</v>
      </c>
      <c r="H90">
        <v>5</v>
      </c>
      <c r="I90">
        <v>293.22000000000003</v>
      </c>
      <c r="J90">
        <v>0.25</v>
      </c>
      <c r="K90">
        <v>1099.58</v>
      </c>
      <c r="L90" t="s">
        <v>814</v>
      </c>
      <c r="N90">
        <f t="shared" si="5"/>
        <v>1099.58</v>
      </c>
      <c r="O90" s="5">
        <f t="shared" si="6"/>
        <v>1099.575</v>
      </c>
      <c r="P90" t="str">
        <f t="shared" si="7"/>
        <v>Same</v>
      </c>
      <c r="S90" t="str">
        <f t="shared" si="4"/>
        <v>Okay</v>
      </c>
    </row>
    <row r="91" spans="1:19" x14ac:dyDescent="0.3">
      <c r="A91" t="s">
        <v>101</v>
      </c>
      <c r="B91" s="2">
        <v>45720</v>
      </c>
      <c r="C91" t="s">
        <v>681</v>
      </c>
      <c r="D91" t="s">
        <v>790</v>
      </c>
      <c r="E91" t="s">
        <v>796</v>
      </c>
      <c r="F91" t="s">
        <v>802</v>
      </c>
      <c r="G91" t="s">
        <v>811</v>
      </c>
      <c r="H91">
        <v>3</v>
      </c>
      <c r="I91">
        <v>265.25</v>
      </c>
      <c r="J91">
        <v>0</v>
      </c>
      <c r="K91">
        <v>795.75</v>
      </c>
      <c r="L91" t="s">
        <v>816</v>
      </c>
      <c r="N91">
        <f t="shared" si="5"/>
        <v>795.75</v>
      </c>
      <c r="O91" s="5">
        <f t="shared" si="6"/>
        <v>795.75</v>
      </c>
      <c r="P91" t="str">
        <f t="shared" si="7"/>
        <v>Same</v>
      </c>
      <c r="S91" t="str">
        <f t="shared" si="4"/>
        <v>Okay</v>
      </c>
    </row>
    <row r="92" spans="1:19" x14ac:dyDescent="0.3">
      <c r="A92" t="s">
        <v>102</v>
      </c>
      <c r="B92" s="2">
        <v>45721</v>
      </c>
      <c r="C92" t="s">
        <v>682</v>
      </c>
      <c r="D92" t="s">
        <v>786</v>
      </c>
      <c r="E92" t="s">
        <v>793</v>
      </c>
      <c r="F92" t="s">
        <v>797</v>
      </c>
      <c r="G92" t="s">
        <v>809</v>
      </c>
      <c r="H92">
        <v>4</v>
      </c>
      <c r="I92">
        <v>200.95</v>
      </c>
      <c r="J92">
        <v>0.3</v>
      </c>
      <c r="K92">
        <v>562.66</v>
      </c>
      <c r="L92" t="s">
        <v>813</v>
      </c>
      <c r="N92">
        <f t="shared" si="5"/>
        <v>562.66</v>
      </c>
      <c r="O92" s="5">
        <f t="shared" si="6"/>
        <v>562.66</v>
      </c>
      <c r="P92" t="str">
        <f t="shared" si="7"/>
        <v>Same</v>
      </c>
      <c r="S92" t="str">
        <f t="shared" si="4"/>
        <v>Okay</v>
      </c>
    </row>
    <row r="93" spans="1:19" x14ac:dyDescent="0.3">
      <c r="A93" t="s">
        <v>103</v>
      </c>
      <c r="B93" s="2">
        <v>45722</v>
      </c>
      <c r="C93" t="s">
        <v>683</v>
      </c>
      <c r="D93" t="s">
        <v>790</v>
      </c>
      <c r="E93" t="s">
        <v>796</v>
      </c>
      <c r="F93" t="s">
        <v>805</v>
      </c>
      <c r="G93" t="s">
        <v>810</v>
      </c>
      <c r="H93">
        <v>2</v>
      </c>
      <c r="I93">
        <v>41.33</v>
      </c>
      <c r="J93">
        <v>0.05</v>
      </c>
      <c r="K93">
        <v>78.53</v>
      </c>
      <c r="L93" t="s">
        <v>815</v>
      </c>
      <c r="N93">
        <f t="shared" si="5"/>
        <v>78.53</v>
      </c>
      <c r="O93" s="5">
        <f t="shared" si="6"/>
        <v>78.526999999999987</v>
      </c>
      <c r="P93" t="str">
        <f t="shared" si="7"/>
        <v>Same</v>
      </c>
      <c r="S93" t="str">
        <f t="shared" si="4"/>
        <v>Okay</v>
      </c>
    </row>
    <row r="94" spans="1:19" x14ac:dyDescent="0.3">
      <c r="A94" t="s">
        <v>104</v>
      </c>
      <c r="B94" s="2">
        <v>45722</v>
      </c>
      <c r="C94" t="s">
        <v>684</v>
      </c>
      <c r="D94" t="s">
        <v>789</v>
      </c>
      <c r="E94" t="s">
        <v>792</v>
      </c>
      <c r="F94" t="s">
        <v>806</v>
      </c>
      <c r="G94" t="s">
        <v>810</v>
      </c>
      <c r="H94">
        <v>3</v>
      </c>
      <c r="I94">
        <v>72.05</v>
      </c>
      <c r="J94">
        <v>0</v>
      </c>
      <c r="K94">
        <v>216.15</v>
      </c>
      <c r="L94" t="s">
        <v>813</v>
      </c>
      <c r="N94">
        <f t="shared" si="5"/>
        <v>216.15</v>
      </c>
      <c r="O94" s="5">
        <f t="shared" si="6"/>
        <v>216.14999999999998</v>
      </c>
      <c r="P94" t="str">
        <f t="shared" si="7"/>
        <v>Same</v>
      </c>
      <c r="S94" t="str">
        <f t="shared" si="4"/>
        <v>Okay</v>
      </c>
    </row>
    <row r="95" spans="1:19" x14ac:dyDescent="0.3">
      <c r="A95" t="s">
        <v>105</v>
      </c>
      <c r="B95" s="2">
        <v>45722</v>
      </c>
      <c r="C95" t="s">
        <v>636</v>
      </c>
      <c r="D95" t="s">
        <v>790</v>
      </c>
      <c r="E95" t="s">
        <v>796</v>
      </c>
      <c r="F95" t="s">
        <v>807</v>
      </c>
      <c r="G95" t="s">
        <v>810</v>
      </c>
      <c r="H95">
        <v>8</v>
      </c>
      <c r="I95">
        <v>863.44</v>
      </c>
      <c r="J95">
        <v>0.15</v>
      </c>
      <c r="K95">
        <v>5871.39</v>
      </c>
      <c r="L95" t="s">
        <v>814</v>
      </c>
      <c r="N95">
        <f t="shared" si="5"/>
        <v>5871.39</v>
      </c>
      <c r="O95" s="5">
        <f t="shared" si="6"/>
        <v>5871.3919999999998</v>
      </c>
      <c r="P95" t="str">
        <f t="shared" si="7"/>
        <v>Same</v>
      </c>
      <c r="S95" t="str">
        <f t="shared" si="4"/>
        <v>Okay</v>
      </c>
    </row>
    <row r="96" spans="1:19" x14ac:dyDescent="0.3">
      <c r="A96" t="s">
        <v>106</v>
      </c>
      <c r="B96" s="2">
        <v>45722</v>
      </c>
      <c r="C96" t="s">
        <v>685</v>
      </c>
      <c r="D96" t="s">
        <v>786</v>
      </c>
      <c r="E96" t="s">
        <v>793</v>
      </c>
      <c r="F96" t="s">
        <v>805</v>
      </c>
      <c r="G96" t="s">
        <v>810</v>
      </c>
      <c r="H96">
        <v>5</v>
      </c>
      <c r="I96">
        <v>40.79</v>
      </c>
      <c r="J96">
        <v>0.2</v>
      </c>
      <c r="K96">
        <v>163.16</v>
      </c>
      <c r="L96" t="s">
        <v>814</v>
      </c>
      <c r="N96">
        <f t="shared" si="5"/>
        <v>163.16</v>
      </c>
      <c r="O96" s="5">
        <f t="shared" si="6"/>
        <v>163.16</v>
      </c>
      <c r="P96" t="str">
        <f t="shared" si="7"/>
        <v>Same</v>
      </c>
      <c r="S96" t="str">
        <f t="shared" si="4"/>
        <v>Okay</v>
      </c>
    </row>
    <row r="97" spans="1:19" x14ac:dyDescent="0.3">
      <c r="A97" t="s">
        <v>107</v>
      </c>
      <c r="B97" s="2">
        <v>45723</v>
      </c>
      <c r="C97" t="s">
        <v>686</v>
      </c>
      <c r="D97" t="s">
        <v>788</v>
      </c>
      <c r="E97" t="s">
        <v>795</v>
      </c>
      <c r="F97" t="s">
        <v>805</v>
      </c>
      <c r="G97" t="s">
        <v>810</v>
      </c>
      <c r="H97">
        <v>2</v>
      </c>
      <c r="I97">
        <v>47.18</v>
      </c>
      <c r="J97">
        <v>0.2</v>
      </c>
      <c r="K97">
        <v>75.489999999999995</v>
      </c>
      <c r="L97" t="s">
        <v>815</v>
      </c>
      <c r="N97">
        <f t="shared" si="5"/>
        <v>75.489999999999995</v>
      </c>
      <c r="O97" s="5">
        <f t="shared" si="6"/>
        <v>75.488</v>
      </c>
      <c r="P97" t="str">
        <f t="shared" si="7"/>
        <v>Same</v>
      </c>
      <c r="S97" t="str">
        <f t="shared" si="4"/>
        <v>Okay</v>
      </c>
    </row>
    <row r="98" spans="1:19" x14ac:dyDescent="0.3">
      <c r="A98" t="s">
        <v>108</v>
      </c>
      <c r="B98" s="2">
        <v>45724</v>
      </c>
      <c r="C98" t="s">
        <v>641</v>
      </c>
      <c r="D98" t="s">
        <v>789</v>
      </c>
      <c r="E98" t="s">
        <v>792</v>
      </c>
      <c r="F98" t="s">
        <v>799</v>
      </c>
      <c r="G98" t="s">
        <v>809</v>
      </c>
      <c r="H98">
        <v>1</v>
      </c>
      <c r="I98">
        <v>59.3</v>
      </c>
      <c r="J98">
        <v>0.1</v>
      </c>
      <c r="K98">
        <v>53.37</v>
      </c>
      <c r="L98" t="s">
        <v>815</v>
      </c>
      <c r="N98">
        <f t="shared" si="5"/>
        <v>53.37</v>
      </c>
      <c r="O98" s="5">
        <f t="shared" si="6"/>
        <v>53.37</v>
      </c>
      <c r="P98" t="str">
        <f t="shared" si="7"/>
        <v>Same</v>
      </c>
      <c r="S98" t="str">
        <f t="shared" si="4"/>
        <v>Okay</v>
      </c>
    </row>
    <row r="99" spans="1:19" x14ac:dyDescent="0.3">
      <c r="A99" t="s">
        <v>109</v>
      </c>
      <c r="B99" s="2">
        <v>45725</v>
      </c>
      <c r="C99" t="s">
        <v>656</v>
      </c>
      <c r="D99" t="s">
        <v>785</v>
      </c>
      <c r="E99" t="s">
        <v>792</v>
      </c>
      <c r="F99" t="s">
        <v>803</v>
      </c>
      <c r="G99" t="s">
        <v>810</v>
      </c>
      <c r="H99">
        <v>6</v>
      </c>
      <c r="I99">
        <v>122.95</v>
      </c>
      <c r="J99">
        <v>0.15</v>
      </c>
      <c r="K99">
        <v>627.04999999999995</v>
      </c>
      <c r="L99" t="s">
        <v>814</v>
      </c>
      <c r="N99">
        <f t="shared" si="5"/>
        <v>627.04999999999995</v>
      </c>
      <c r="O99" s="5">
        <f t="shared" si="6"/>
        <v>627.04500000000007</v>
      </c>
      <c r="P99" t="str">
        <f t="shared" si="7"/>
        <v>Same</v>
      </c>
      <c r="S99" t="str">
        <f t="shared" si="4"/>
        <v>Okay</v>
      </c>
    </row>
    <row r="100" spans="1:19" x14ac:dyDescent="0.3">
      <c r="A100" t="s">
        <v>110</v>
      </c>
      <c r="B100" s="2">
        <v>45727</v>
      </c>
      <c r="C100" t="s">
        <v>630</v>
      </c>
      <c r="D100" t="s">
        <v>789</v>
      </c>
      <c r="E100" t="s">
        <v>792</v>
      </c>
      <c r="F100" t="s">
        <v>797</v>
      </c>
      <c r="G100" t="s">
        <v>809</v>
      </c>
      <c r="H100">
        <v>1</v>
      </c>
      <c r="I100">
        <v>239.68</v>
      </c>
      <c r="J100">
        <v>0.3</v>
      </c>
      <c r="K100">
        <v>167.78</v>
      </c>
      <c r="L100" t="s">
        <v>813</v>
      </c>
      <c r="N100">
        <f t="shared" si="5"/>
        <v>167.78</v>
      </c>
      <c r="O100" s="5">
        <f t="shared" si="6"/>
        <v>167.77599999999998</v>
      </c>
      <c r="P100" t="str">
        <f t="shared" si="7"/>
        <v>Same</v>
      </c>
      <c r="S100" t="str">
        <f t="shared" si="4"/>
        <v>Okay</v>
      </c>
    </row>
    <row r="101" spans="1:19" x14ac:dyDescent="0.3">
      <c r="A101" t="s">
        <v>111</v>
      </c>
      <c r="B101" s="2">
        <v>45727</v>
      </c>
      <c r="C101" t="s">
        <v>621</v>
      </c>
      <c r="D101" t="s">
        <v>786</v>
      </c>
      <c r="E101" t="s">
        <v>793</v>
      </c>
      <c r="F101" t="s">
        <v>804</v>
      </c>
      <c r="G101" t="s">
        <v>809</v>
      </c>
      <c r="H101">
        <v>1</v>
      </c>
      <c r="I101">
        <v>362.49</v>
      </c>
      <c r="J101">
        <v>0.15</v>
      </c>
      <c r="K101">
        <v>308.12</v>
      </c>
      <c r="L101" t="s">
        <v>813</v>
      </c>
      <c r="N101">
        <f t="shared" si="5"/>
        <v>308.12</v>
      </c>
      <c r="O101" s="5">
        <f t="shared" si="6"/>
        <v>308.11649999999997</v>
      </c>
      <c r="P101" t="str">
        <f t="shared" si="7"/>
        <v>Same</v>
      </c>
      <c r="S101" t="str">
        <f t="shared" si="4"/>
        <v>Okay</v>
      </c>
    </row>
    <row r="102" spans="1:19" x14ac:dyDescent="0.3">
      <c r="A102" t="s">
        <v>112</v>
      </c>
      <c r="B102" s="2">
        <v>45729</v>
      </c>
      <c r="C102" t="s">
        <v>617</v>
      </c>
      <c r="D102" t="s">
        <v>785</v>
      </c>
      <c r="E102" t="s">
        <v>792</v>
      </c>
      <c r="F102" t="s">
        <v>800</v>
      </c>
      <c r="G102" t="s">
        <v>810</v>
      </c>
      <c r="H102">
        <v>8</v>
      </c>
      <c r="I102">
        <v>615.87</v>
      </c>
      <c r="J102">
        <v>0</v>
      </c>
      <c r="K102">
        <v>4926.96</v>
      </c>
      <c r="L102" t="s">
        <v>813</v>
      </c>
      <c r="N102">
        <f t="shared" si="5"/>
        <v>4926.96</v>
      </c>
      <c r="O102" s="5">
        <f t="shared" si="6"/>
        <v>4926.96</v>
      </c>
      <c r="P102" t="str">
        <f t="shared" si="7"/>
        <v>Same</v>
      </c>
      <c r="S102" t="str">
        <f t="shared" si="4"/>
        <v>Okay</v>
      </c>
    </row>
    <row r="103" spans="1:19" x14ac:dyDescent="0.3">
      <c r="A103" t="s">
        <v>113</v>
      </c>
      <c r="B103" s="2">
        <v>45730</v>
      </c>
      <c r="C103" t="s">
        <v>687</v>
      </c>
      <c r="D103" t="s">
        <v>787</v>
      </c>
      <c r="E103" t="s">
        <v>794</v>
      </c>
      <c r="F103" t="s">
        <v>799</v>
      </c>
      <c r="G103" t="s">
        <v>809</v>
      </c>
      <c r="H103">
        <v>2</v>
      </c>
      <c r="I103">
        <v>59.34</v>
      </c>
      <c r="J103">
        <v>0</v>
      </c>
      <c r="K103">
        <v>118.68</v>
      </c>
      <c r="L103" t="s">
        <v>814</v>
      </c>
      <c r="N103">
        <f t="shared" si="5"/>
        <v>118.68</v>
      </c>
      <c r="O103" s="5">
        <f t="shared" si="6"/>
        <v>118.68</v>
      </c>
      <c r="P103" t="str">
        <f t="shared" si="7"/>
        <v>Same</v>
      </c>
      <c r="S103" t="str">
        <f t="shared" si="4"/>
        <v>Okay</v>
      </c>
    </row>
    <row r="104" spans="1:19" x14ac:dyDescent="0.3">
      <c r="A104" t="s">
        <v>114</v>
      </c>
      <c r="B104" s="2">
        <v>45730</v>
      </c>
      <c r="C104" t="s">
        <v>688</v>
      </c>
      <c r="D104" t="s">
        <v>788</v>
      </c>
      <c r="E104" t="s">
        <v>795</v>
      </c>
      <c r="F104" t="s">
        <v>797</v>
      </c>
      <c r="G104" t="s">
        <v>809</v>
      </c>
      <c r="H104">
        <v>7</v>
      </c>
      <c r="I104">
        <v>209.14</v>
      </c>
      <c r="J104">
        <v>0.1</v>
      </c>
      <c r="K104">
        <v>1317.58</v>
      </c>
      <c r="L104" t="s">
        <v>816</v>
      </c>
      <c r="N104">
        <f t="shared" si="5"/>
        <v>1317.58</v>
      </c>
      <c r="O104" s="5">
        <f t="shared" si="6"/>
        <v>1317.5820000000001</v>
      </c>
      <c r="P104" t="str">
        <f t="shared" si="7"/>
        <v>Same</v>
      </c>
      <c r="S104" t="str">
        <f t="shared" si="4"/>
        <v>Okay</v>
      </c>
    </row>
    <row r="105" spans="1:19" x14ac:dyDescent="0.3">
      <c r="A105" t="s">
        <v>115</v>
      </c>
      <c r="B105" s="2">
        <v>45730</v>
      </c>
      <c r="C105" t="s">
        <v>617</v>
      </c>
      <c r="D105" t="s">
        <v>790</v>
      </c>
      <c r="E105" t="s">
        <v>796</v>
      </c>
      <c r="F105" t="s">
        <v>804</v>
      </c>
      <c r="G105" t="s">
        <v>809</v>
      </c>
      <c r="H105">
        <v>7</v>
      </c>
      <c r="I105">
        <v>371.5</v>
      </c>
      <c r="J105">
        <v>0.2</v>
      </c>
      <c r="K105">
        <v>2080.4</v>
      </c>
      <c r="L105" t="s">
        <v>813</v>
      </c>
      <c r="N105">
        <f t="shared" si="5"/>
        <v>2080.4</v>
      </c>
      <c r="O105" s="5">
        <f t="shared" si="6"/>
        <v>2080.4</v>
      </c>
      <c r="P105" t="str">
        <f t="shared" si="7"/>
        <v>Same</v>
      </c>
      <c r="S105" t="str">
        <f t="shared" si="4"/>
        <v>Okay</v>
      </c>
    </row>
    <row r="106" spans="1:19" x14ac:dyDescent="0.3">
      <c r="A106" t="s">
        <v>116</v>
      </c>
      <c r="B106" s="2">
        <v>45731</v>
      </c>
      <c r="C106" t="s">
        <v>629</v>
      </c>
      <c r="D106" t="s">
        <v>785</v>
      </c>
      <c r="E106" t="s">
        <v>792</v>
      </c>
      <c r="F106" t="s">
        <v>806</v>
      </c>
      <c r="G106" t="s">
        <v>810</v>
      </c>
      <c r="H106">
        <v>2</v>
      </c>
      <c r="I106">
        <v>84.35</v>
      </c>
      <c r="J106">
        <v>0.1</v>
      </c>
      <c r="K106">
        <v>151.83000000000001</v>
      </c>
      <c r="L106" t="s">
        <v>814</v>
      </c>
      <c r="N106">
        <f t="shared" si="5"/>
        <v>151.83000000000001</v>
      </c>
      <c r="O106" s="5">
        <f t="shared" si="6"/>
        <v>151.82999999999998</v>
      </c>
      <c r="P106" t="str">
        <f t="shared" si="7"/>
        <v>Same</v>
      </c>
      <c r="S106" t="str">
        <f t="shared" si="4"/>
        <v>Okay</v>
      </c>
    </row>
    <row r="107" spans="1:19" x14ac:dyDescent="0.3">
      <c r="A107" t="s">
        <v>117</v>
      </c>
      <c r="B107" s="2">
        <v>45731</v>
      </c>
      <c r="C107" t="s">
        <v>689</v>
      </c>
      <c r="D107" t="s">
        <v>785</v>
      </c>
      <c r="E107" t="s">
        <v>792</v>
      </c>
      <c r="F107" t="s">
        <v>800</v>
      </c>
      <c r="G107" t="s">
        <v>810</v>
      </c>
      <c r="H107">
        <v>4</v>
      </c>
      <c r="I107">
        <v>586.17999999999995</v>
      </c>
      <c r="J107">
        <v>0.2</v>
      </c>
      <c r="K107">
        <v>1875.78</v>
      </c>
      <c r="L107" t="s">
        <v>814</v>
      </c>
      <c r="N107">
        <f t="shared" si="5"/>
        <v>1875.78</v>
      </c>
      <c r="O107" s="5">
        <f t="shared" si="6"/>
        <v>1875.7759999999998</v>
      </c>
      <c r="P107" t="str">
        <f t="shared" si="7"/>
        <v>Same</v>
      </c>
      <c r="S107" t="str">
        <f t="shared" si="4"/>
        <v>Okay</v>
      </c>
    </row>
    <row r="108" spans="1:19" x14ac:dyDescent="0.3">
      <c r="A108" t="s">
        <v>118</v>
      </c>
      <c r="B108" s="2">
        <v>45734</v>
      </c>
      <c r="C108" t="s">
        <v>690</v>
      </c>
      <c r="D108" t="s">
        <v>787</v>
      </c>
      <c r="E108" t="s">
        <v>794</v>
      </c>
      <c r="F108" t="s">
        <v>806</v>
      </c>
      <c r="G108" t="s">
        <v>810</v>
      </c>
      <c r="H108">
        <v>5</v>
      </c>
      <c r="I108">
        <v>86.24</v>
      </c>
      <c r="J108">
        <v>0.2</v>
      </c>
      <c r="K108">
        <v>344.96</v>
      </c>
      <c r="L108" t="s">
        <v>815</v>
      </c>
      <c r="N108">
        <f t="shared" si="5"/>
        <v>344.96</v>
      </c>
      <c r="O108" s="5">
        <f t="shared" si="6"/>
        <v>344.96000000000004</v>
      </c>
      <c r="P108" t="str">
        <f t="shared" si="7"/>
        <v>Same</v>
      </c>
      <c r="S108" t="str">
        <f t="shared" si="4"/>
        <v>Okay</v>
      </c>
    </row>
    <row r="109" spans="1:19" x14ac:dyDescent="0.3">
      <c r="A109" t="s">
        <v>119</v>
      </c>
      <c r="B109" s="2">
        <v>45735</v>
      </c>
      <c r="C109" t="s">
        <v>691</v>
      </c>
      <c r="D109" t="s">
        <v>787</v>
      </c>
      <c r="E109" t="s">
        <v>794</v>
      </c>
      <c r="F109" t="s">
        <v>797</v>
      </c>
      <c r="G109" t="s">
        <v>809</v>
      </c>
      <c r="H109">
        <v>4</v>
      </c>
      <c r="I109">
        <v>232.57</v>
      </c>
      <c r="J109">
        <v>0</v>
      </c>
      <c r="K109">
        <v>930.28</v>
      </c>
      <c r="L109" t="s">
        <v>814</v>
      </c>
      <c r="N109">
        <f t="shared" si="5"/>
        <v>930.28</v>
      </c>
      <c r="O109" s="5">
        <f t="shared" si="6"/>
        <v>930.28</v>
      </c>
      <c r="P109" t="str">
        <f t="shared" si="7"/>
        <v>Same</v>
      </c>
      <c r="S109" t="str">
        <f t="shared" si="4"/>
        <v>Okay</v>
      </c>
    </row>
    <row r="110" spans="1:19" x14ac:dyDescent="0.3">
      <c r="A110" t="s">
        <v>120</v>
      </c>
      <c r="B110" s="2">
        <v>45735</v>
      </c>
      <c r="C110" t="s">
        <v>669</v>
      </c>
      <c r="D110" t="s">
        <v>786</v>
      </c>
      <c r="E110" t="s">
        <v>793</v>
      </c>
      <c r="F110" t="s">
        <v>799</v>
      </c>
      <c r="G110" t="s">
        <v>809</v>
      </c>
      <c r="H110">
        <v>6</v>
      </c>
      <c r="I110">
        <v>58.58</v>
      </c>
      <c r="J110">
        <v>0</v>
      </c>
      <c r="K110">
        <v>351.48</v>
      </c>
      <c r="L110" t="s">
        <v>814</v>
      </c>
      <c r="N110">
        <f t="shared" si="5"/>
        <v>351.48</v>
      </c>
      <c r="O110" s="5">
        <f t="shared" si="6"/>
        <v>351.48</v>
      </c>
      <c r="P110" t="str">
        <f t="shared" si="7"/>
        <v>Same</v>
      </c>
      <c r="S110" t="str">
        <f t="shared" si="4"/>
        <v>Okay</v>
      </c>
    </row>
    <row r="111" spans="1:19" x14ac:dyDescent="0.3">
      <c r="A111" t="s">
        <v>121</v>
      </c>
      <c r="B111" s="2">
        <v>45735</v>
      </c>
      <c r="C111" t="s">
        <v>665</v>
      </c>
      <c r="D111" t="s">
        <v>787</v>
      </c>
      <c r="E111" t="s">
        <v>794</v>
      </c>
      <c r="F111" t="s">
        <v>797</v>
      </c>
      <c r="G111" t="s">
        <v>809</v>
      </c>
      <c r="H111">
        <v>2</v>
      </c>
      <c r="I111">
        <v>198.71</v>
      </c>
      <c r="J111">
        <v>0.2</v>
      </c>
      <c r="K111">
        <v>317.94</v>
      </c>
      <c r="L111" t="s">
        <v>814</v>
      </c>
      <c r="N111">
        <f t="shared" si="5"/>
        <v>317.94</v>
      </c>
      <c r="O111" s="5">
        <f t="shared" si="6"/>
        <v>317.93600000000004</v>
      </c>
      <c r="P111" t="str">
        <f t="shared" si="7"/>
        <v>Same</v>
      </c>
      <c r="S111" t="str">
        <f t="shared" si="4"/>
        <v>Okay</v>
      </c>
    </row>
    <row r="112" spans="1:19" x14ac:dyDescent="0.3">
      <c r="A112" t="s">
        <v>122</v>
      </c>
      <c r="B112" s="2">
        <v>45739</v>
      </c>
      <c r="C112" t="s">
        <v>635</v>
      </c>
      <c r="D112" t="s">
        <v>788</v>
      </c>
      <c r="E112" t="s">
        <v>795</v>
      </c>
      <c r="F112" t="s">
        <v>807</v>
      </c>
      <c r="G112" t="s">
        <v>810</v>
      </c>
      <c r="H112">
        <v>2</v>
      </c>
      <c r="I112">
        <v>988.64</v>
      </c>
      <c r="J112">
        <v>0.1</v>
      </c>
      <c r="K112">
        <v>1779.55</v>
      </c>
      <c r="L112" t="s">
        <v>815</v>
      </c>
      <c r="N112">
        <f t="shared" si="5"/>
        <v>1779.55</v>
      </c>
      <c r="O112" s="5">
        <f t="shared" si="6"/>
        <v>1779.5519999999999</v>
      </c>
      <c r="P112" t="str">
        <f t="shared" si="7"/>
        <v>Same</v>
      </c>
      <c r="S112" t="str">
        <f t="shared" si="4"/>
        <v>Okay</v>
      </c>
    </row>
    <row r="113" spans="1:19" x14ac:dyDescent="0.3">
      <c r="A113" t="s">
        <v>123</v>
      </c>
      <c r="B113" s="2">
        <v>45739</v>
      </c>
      <c r="C113" t="s">
        <v>660</v>
      </c>
      <c r="D113" t="s">
        <v>787</v>
      </c>
      <c r="E113" t="s">
        <v>794</v>
      </c>
      <c r="F113" t="s">
        <v>798</v>
      </c>
      <c r="G113" t="s">
        <v>810</v>
      </c>
      <c r="H113">
        <v>2</v>
      </c>
      <c r="I113">
        <v>277.73</v>
      </c>
      <c r="J113">
        <v>0.05</v>
      </c>
      <c r="K113">
        <v>527.69000000000005</v>
      </c>
      <c r="L113" t="s">
        <v>813</v>
      </c>
      <c r="N113">
        <f t="shared" si="5"/>
        <v>527.69000000000005</v>
      </c>
      <c r="O113" s="5">
        <f t="shared" si="6"/>
        <v>527.68700000000001</v>
      </c>
      <c r="P113" t="str">
        <f t="shared" si="7"/>
        <v>Same</v>
      </c>
      <c r="S113" t="str">
        <f t="shared" si="4"/>
        <v>Okay</v>
      </c>
    </row>
    <row r="114" spans="1:19" x14ac:dyDescent="0.3">
      <c r="A114" t="s">
        <v>124</v>
      </c>
      <c r="B114" s="2">
        <v>45740</v>
      </c>
      <c r="C114" t="s">
        <v>647</v>
      </c>
      <c r="D114" t="s">
        <v>787</v>
      </c>
      <c r="E114" t="s">
        <v>794</v>
      </c>
      <c r="F114" t="s">
        <v>806</v>
      </c>
      <c r="G114" t="s">
        <v>810</v>
      </c>
      <c r="H114">
        <v>7</v>
      </c>
      <c r="I114">
        <v>77.010000000000005</v>
      </c>
      <c r="J114">
        <v>0.25</v>
      </c>
      <c r="K114">
        <v>404.3</v>
      </c>
      <c r="L114" t="s">
        <v>813</v>
      </c>
      <c r="N114">
        <f t="shared" si="5"/>
        <v>404.3</v>
      </c>
      <c r="O114" s="5">
        <f t="shared" si="6"/>
        <v>404.30250000000001</v>
      </c>
      <c r="P114" t="str">
        <f t="shared" si="7"/>
        <v>Same</v>
      </c>
      <c r="S114" t="str">
        <f t="shared" si="4"/>
        <v>Okay</v>
      </c>
    </row>
    <row r="115" spans="1:19" x14ac:dyDescent="0.3">
      <c r="A115" t="s">
        <v>125</v>
      </c>
      <c r="B115" s="2">
        <v>45740</v>
      </c>
      <c r="C115" t="s">
        <v>632</v>
      </c>
      <c r="D115" t="s">
        <v>785</v>
      </c>
      <c r="E115" t="s">
        <v>792</v>
      </c>
      <c r="F115" t="s">
        <v>801</v>
      </c>
      <c r="G115" t="s">
        <v>811</v>
      </c>
      <c r="H115">
        <v>2</v>
      </c>
      <c r="I115">
        <v>13.67</v>
      </c>
      <c r="J115">
        <v>0.15</v>
      </c>
      <c r="K115">
        <v>23.24</v>
      </c>
      <c r="L115" t="s">
        <v>816</v>
      </c>
      <c r="N115">
        <f t="shared" si="5"/>
        <v>23.24</v>
      </c>
      <c r="O115" s="5">
        <f t="shared" si="6"/>
        <v>23.239000000000001</v>
      </c>
      <c r="P115" t="str">
        <f t="shared" si="7"/>
        <v>Same</v>
      </c>
      <c r="S115" t="str">
        <f t="shared" si="4"/>
        <v>Okay</v>
      </c>
    </row>
    <row r="116" spans="1:19" x14ac:dyDescent="0.3">
      <c r="A116" t="s">
        <v>126</v>
      </c>
      <c r="B116" s="2">
        <v>45740</v>
      </c>
      <c r="C116" t="s">
        <v>692</v>
      </c>
      <c r="D116" t="s">
        <v>785</v>
      </c>
      <c r="E116" t="s">
        <v>792</v>
      </c>
      <c r="F116" t="s">
        <v>806</v>
      </c>
      <c r="G116" t="s">
        <v>810</v>
      </c>
      <c r="H116">
        <v>6</v>
      </c>
      <c r="I116">
        <v>86.69</v>
      </c>
      <c r="J116">
        <v>0.05</v>
      </c>
      <c r="K116">
        <v>494.13</v>
      </c>
      <c r="L116" t="s">
        <v>813</v>
      </c>
      <c r="N116">
        <f t="shared" si="5"/>
        <v>494.13</v>
      </c>
      <c r="O116" s="5">
        <f t="shared" si="6"/>
        <v>494.13299999999998</v>
      </c>
      <c r="P116" t="str">
        <f t="shared" si="7"/>
        <v>Same</v>
      </c>
      <c r="S116" t="str">
        <f t="shared" si="4"/>
        <v>Okay</v>
      </c>
    </row>
    <row r="117" spans="1:19" x14ac:dyDescent="0.3">
      <c r="A117" t="s">
        <v>127</v>
      </c>
      <c r="B117" s="2">
        <v>45741</v>
      </c>
      <c r="C117" t="s">
        <v>693</v>
      </c>
      <c r="D117" t="s">
        <v>787</v>
      </c>
      <c r="E117" t="s">
        <v>794</v>
      </c>
      <c r="F117" t="s">
        <v>808</v>
      </c>
      <c r="G117" t="s">
        <v>812</v>
      </c>
      <c r="H117">
        <v>4</v>
      </c>
      <c r="I117">
        <v>73.58</v>
      </c>
      <c r="J117">
        <v>0.1</v>
      </c>
      <c r="K117">
        <v>264.89</v>
      </c>
      <c r="L117" t="s">
        <v>815</v>
      </c>
      <c r="N117">
        <f t="shared" si="5"/>
        <v>264.89</v>
      </c>
      <c r="O117" s="5">
        <f t="shared" si="6"/>
        <v>264.88799999999998</v>
      </c>
      <c r="P117" t="str">
        <f t="shared" si="7"/>
        <v>Same</v>
      </c>
      <c r="S117" t="str">
        <f t="shared" si="4"/>
        <v>Okay</v>
      </c>
    </row>
    <row r="118" spans="1:19" x14ac:dyDescent="0.3">
      <c r="A118" t="s">
        <v>128</v>
      </c>
      <c r="B118" s="2">
        <v>45741</v>
      </c>
      <c r="C118" t="s">
        <v>633</v>
      </c>
      <c r="D118" t="s">
        <v>785</v>
      </c>
      <c r="E118" t="s">
        <v>792</v>
      </c>
      <c r="F118" t="s">
        <v>807</v>
      </c>
      <c r="G118" t="s">
        <v>810</v>
      </c>
      <c r="H118">
        <v>7</v>
      </c>
      <c r="I118">
        <v>929.28</v>
      </c>
      <c r="J118">
        <v>0</v>
      </c>
      <c r="K118">
        <v>6504.96</v>
      </c>
      <c r="L118" t="s">
        <v>815</v>
      </c>
      <c r="N118">
        <f t="shared" si="5"/>
        <v>6504.96</v>
      </c>
      <c r="O118" s="5">
        <f t="shared" si="6"/>
        <v>6504.96</v>
      </c>
      <c r="P118" t="str">
        <f t="shared" si="7"/>
        <v>Same</v>
      </c>
      <c r="S118" t="str">
        <f t="shared" si="4"/>
        <v>Okay</v>
      </c>
    </row>
    <row r="119" spans="1:19" x14ac:dyDescent="0.3">
      <c r="A119" t="s">
        <v>129</v>
      </c>
      <c r="B119" s="2">
        <v>45741</v>
      </c>
      <c r="C119" t="s">
        <v>633</v>
      </c>
      <c r="D119" t="s">
        <v>790</v>
      </c>
      <c r="E119" t="s">
        <v>796</v>
      </c>
      <c r="F119" t="s">
        <v>806</v>
      </c>
      <c r="G119" t="s">
        <v>810</v>
      </c>
      <c r="H119">
        <v>6</v>
      </c>
      <c r="I119">
        <v>78.09</v>
      </c>
      <c r="J119">
        <v>0.3</v>
      </c>
      <c r="K119">
        <v>327.98</v>
      </c>
      <c r="L119" t="s">
        <v>814</v>
      </c>
      <c r="N119">
        <f t="shared" si="5"/>
        <v>327.98</v>
      </c>
      <c r="O119" s="5">
        <f t="shared" si="6"/>
        <v>327.97800000000001</v>
      </c>
      <c r="P119" t="str">
        <f t="shared" si="7"/>
        <v>Same</v>
      </c>
      <c r="S119" t="str">
        <f t="shared" si="4"/>
        <v>Okay</v>
      </c>
    </row>
    <row r="120" spans="1:19" x14ac:dyDescent="0.3">
      <c r="A120" t="s">
        <v>130</v>
      </c>
      <c r="B120" s="2">
        <v>45741</v>
      </c>
      <c r="C120" t="s">
        <v>613</v>
      </c>
      <c r="D120" t="s">
        <v>790</v>
      </c>
      <c r="E120" t="s">
        <v>796</v>
      </c>
      <c r="F120" t="s">
        <v>802</v>
      </c>
      <c r="G120" t="s">
        <v>811</v>
      </c>
      <c r="H120">
        <v>8</v>
      </c>
      <c r="I120">
        <v>245.05</v>
      </c>
      <c r="J120">
        <v>0.15</v>
      </c>
      <c r="K120">
        <v>1666.34</v>
      </c>
      <c r="L120" t="s">
        <v>813</v>
      </c>
      <c r="N120">
        <f t="shared" si="5"/>
        <v>1666.34</v>
      </c>
      <c r="O120" s="5">
        <f t="shared" si="6"/>
        <v>1666.3400000000001</v>
      </c>
      <c r="P120" t="str">
        <f t="shared" si="7"/>
        <v>Same</v>
      </c>
      <c r="S120" t="str">
        <f t="shared" si="4"/>
        <v>Okay</v>
      </c>
    </row>
    <row r="121" spans="1:19" x14ac:dyDescent="0.3">
      <c r="A121" t="s">
        <v>131</v>
      </c>
      <c r="B121" s="2">
        <v>45742</v>
      </c>
      <c r="C121" t="s">
        <v>694</v>
      </c>
      <c r="D121" t="s">
        <v>785</v>
      </c>
      <c r="E121" t="s">
        <v>792</v>
      </c>
      <c r="F121" t="s">
        <v>799</v>
      </c>
      <c r="G121" t="s">
        <v>809</v>
      </c>
      <c r="H121">
        <v>2</v>
      </c>
      <c r="I121">
        <v>50.53</v>
      </c>
      <c r="J121">
        <v>0.05</v>
      </c>
      <c r="K121">
        <v>96.01</v>
      </c>
      <c r="L121" t="s">
        <v>813</v>
      </c>
      <c r="N121">
        <f t="shared" si="5"/>
        <v>96.01</v>
      </c>
      <c r="O121" s="5">
        <f t="shared" si="6"/>
        <v>96.006999999999991</v>
      </c>
      <c r="P121" t="str">
        <f t="shared" si="7"/>
        <v>Same</v>
      </c>
      <c r="S121" t="str">
        <f t="shared" si="4"/>
        <v>Okay</v>
      </c>
    </row>
    <row r="122" spans="1:19" x14ac:dyDescent="0.3">
      <c r="A122" t="s">
        <v>132</v>
      </c>
      <c r="B122" s="2">
        <v>45743</v>
      </c>
      <c r="C122" t="s">
        <v>695</v>
      </c>
      <c r="D122" t="s">
        <v>790</v>
      </c>
      <c r="E122" t="s">
        <v>796</v>
      </c>
      <c r="F122" t="s">
        <v>808</v>
      </c>
      <c r="G122" t="s">
        <v>812</v>
      </c>
      <c r="H122">
        <v>4</v>
      </c>
      <c r="I122">
        <v>77.959999999999994</v>
      </c>
      <c r="J122">
        <v>0.15</v>
      </c>
      <c r="K122">
        <v>265.06</v>
      </c>
      <c r="L122" t="s">
        <v>815</v>
      </c>
      <c r="N122">
        <f t="shared" si="5"/>
        <v>265.06</v>
      </c>
      <c r="O122" s="5">
        <f t="shared" si="6"/>
        <v>265.06399999999996</v>
      </c>
      <c r="P122" t="str">
        <f t="shared" si="7"/>
        <v>Same</v>
      </c>
      <c r="S122" t="str">
        <f t="shared" si="4"/>
        <v>Okay</v>
      </c>
    </row>
    <row r="123" spans="1:19" x14ac:dyDescent="0.3">
      <c r="A123" t="s">
        <v>133</v>
      </c>
      <c r="B123" s="2">
        <v>45743</v>
      </c>
      <c r="C123" t="s">
        <v>643</v>
      </c>
      <c r="D123" t="s">
        <v>788</v>
      </c>
      <c r="E123" t="s">
        <v>795</v>
      </c>
      <c r="F123" t="s">
        <v>801</v>
      </c>
      <c r="G123" t="s">
        <v>811</v>
      </c>
      <c r="H123">
        <v>5</v>
      </c>
      <c r="I123">
        <v>14.19</v>
      </c>
      <c r="J123">
        <v>0</v>
      </c>
      <c r="K123">
        <v>70.95</v>
      </c>
      <c r="L123" t="s">
        <v>814</v>
      </c>
      <c r="N123">
        <f t="shared" si="5"/>
        <v>70.95</v>
      </c>
      <c r="O123" s="5">
        <f t="shared" si="6"/>
        <v>70.95</v>
      </c>
      <c r="P123" t="str">
        <f t="shared" si="7"/>
        <v>Same</v>
      </c>
      <c r="S123" t="str">
        <f t="shared" si="4"/>
        <v>Okay</v>
      </c>
    </row>
    <row r="124" spans="1:19" x14ac:dyDescent="0.3">
      <c r="A124" t="s">
        <v>134</v>
      </c>
      <c r="B124" s="2">
        <v>45743</v>
      </c>
      <c r="C124" t="s">
        <v>696</v>
      </c>
      <c r="D124" t="s">
        <v>785</v>
      </c>
      <c r="E124" t="s">
        <v>792</v>
      </c>
      <c r="F124" t="s">
        <v>807</v>
      </c>
      <c r="G124" t="s">
        <v>810</v>
      </c>
      <c r="H124">
        <v>4</v>
      </c>
      <c r="I124">
        <v>987.6</v>
      </c>
      <c r="J124">
        <v>0</v>
      </c>
      <c r="K124">
        <v>3950.4</v>
      </c>
      <c r="L124" t="s">
        <v>815</v>
      </c>
      <c r="N124">
        <f t="shared" si="5"/>
        <v>3950.4</v>
      </c>
      <c r="O124" s="5">
        <f t="shared" si="6"/>
        <v>3950.4</v>
      </c>
      <c r="P124" t="str">
        <f t="shared" si="7"/>
        <v>Same</v>
      </c>
      <c r="S124" t="str">
        <f t="shared" si="4"/>
        <v>Okay</v>
      </c>
    </row>
    <row r="125" spans="1:19" x14ac:dyDescent="0.3">
      <c r="A125" t="s">
        <v>135</v>
      </c>
      <c r="B125" s="2">
        <v>45744</v>
      </c>
      <c r="C125" t="s">
        <v>697</v>
      </c>
      <c r="D125" t="s">
        <v>789</v>
      </c>
      <c r="E125" t="s">
        <v>792</v>
      </c>
      <c r="F125" t="s">
        <v>800</v>
      </c>
      <c r="G125" t="s">
        <v>810</v>
      </c>
      <c r="H125">
        <v>7</v>
      </c>
      <c r="I125">
        <v>700</v>
      </c>
      <c r="J125">
        <v>0.2</v>
      </c>
      <c r="K125">
        <v>3920</v>
      </c>
      <c r="L125" t="s">
        <v>816</v>
      </c>
      <c r="N125">
        <f t="shared" si="5"/>
        <v>3920</v>
      </c>
      <c r="O125" s="5">
        <f t="shared" si="6"/>
        <v>3920</v>
      </c>
      <c r="P125" t="str">
        <f t="shared" si="7"/>
        <v>Same</v>
      </c>
      <c r="S125" t="str">
        <f t="shared" si="4"/>
        <v>Okay</v>
      </c>
    </row>
    <row r="126" spans="1:19" x14ac:dyDescent="0.3">
      <c r="A126" t="s">
        <v>136</v>
      </c>
      <c r="B126" s="2">
        <v>45745</v>
      </c>
      <c r="C126" t="s">
        <v>612</v>
      </c>
      <c r="D126" t="s">
        <v>785</v>
      </c>
      <c r="E126" t="s">
        <v>792</v>
      </c>
      <c r="F126" t="s">
        <v>804</v>
      </c>
      <c r="G126" t="s">
        <v>809</v>
      </c>
      <c r="H126">
        <v>7</v>
      </c>
      <c r="I126">
        <v>321.43</v>
      </c>
      <c r="J126">
        <v>0.25</v>
      </c>
      <c r="K126">
        <v>1687.51</v>
      </c>
      <c r="L126" t="s">
        <v>815</v>
      </c>
      <c r="N126">
        <f t="shared" si="5"/>
        <v>1687.51</v>
      </c>
      <c r="O126" s="5">
        <f t="shared" si="6"/>
        <v>1687.5075000000002</v>
      </c>
      <c r="P126" t="str">
        <f t="shared" si="7"/>
        <v>Same</v>
      </c>
      <c r="S126" t="str">
        <f t="shared" si="4"/>
        <v>Okay</v>
      </c>
    </row>
    <row r="127" spans="1:19" x14ac:dyDescent="0.3">
      <c r="A127" t="s">
        <v>137</v>
      </c>
      <c r="B127" s="2">
        <v>45747</v>
      </c>
      <c r="C127" t="s">
        <v>698</v>
      </c>
      <c r="D127" t="s">
        <v>785</v>
      </c>
      <c r="E127" t="s">
        <v>792</v>
      </c>
      <c r="F127" t="s">
        <v>805</v>
      </c>
      <c r="G127" t="s">
        <v>810</v>
      </c>
      <c r="H127">
        <v>5</v>
      </c>
      <c r="I127">
        <v>45.93</v>
      </c>
      <c r="J127">
        <v>0</v>
      </c>
      <c r="K127">
        <v>229.65</v>
      </c>
      <c r="L127" t="s">
        <v>814</v>
      </c>
      <c r="N127">
        <f t="shared" si="5"/>
        <v>229.65</v>
      </c>
      <c r="O127" s="5">
        <f t="shared" si="6"/>
        <v>229.65</v>
      </c>
      <c r="P127" t="str">
        <f t="shared" si="7"/>
        <v>Same</v>
      </c>
      <c r="S127" t="str">
        <f t="shared" si="4"/>
        <v>Okay</v>
      </c>
    </row>
    <row r="128" spans="1:19" x14ac:dyDescent="0.3">
      <c r="A128" t="s">
        <v>138</v>
      </c>
      <c r="B128" s="2">
        <v>45747</v>
      </c>
      <c r="C128" t="s">
        <v>699</v>
      </c>
      <c r="D128" t="s">
        <v>785</v>
      </c>
      <c r="E128" t="s">
        <v>792</v>
      </c>
      <c r="F128" t="s">
        <v>803</v>
      </c>
      <c r="G128" t="s">
        <v>810</v>
      </c>
      <c r="H128">
        <v>2</v>
      </c>
      <c r="I128">
        <v>124.39</v>
      </c>
      <c r="J128">
        <v>0</v>
      </c>
      <c r="K128">
        <v>248.78</v>
      </c>
      <c r="L128" t="s">
        <v>814</v>
      </c>
      <c r="N128">
        <f t="shared" si="5"/>
        <v>248.78</v>
      </c>
      <c r="O128" s="5">
        <f t="shared" si="6"/>
        <v>248.78</v>
      </c>
      <c r="P128" t="str">
        <f t="shared" si="7"/>
        <v>Same</v>
      </c>
      <c r="S128" t="str">
        <f t="shared" si="4"/>
        <v>Okay</v>
      </c>
    </row>
    <row r="129" spans="1:19" x14ac:dyDescent="0.3">
      <c r="A129" t="s">
        <v>139</v>
      </c>
      <c r="B129" s="2">
        <v>45747</v>
      </c>
      <c r="C129" t="s">
        <v>675</v>
      </c>
      <c r="D129" t="s">
        <v>788</v>
      </c>
      <c r="E129" t="s">
        <v>795</v>
      </c>
      <c r="F129" t="s">
        <v>801</v>
      </c>
      <c r="G129" t="s">
        <v>811</v>
      </c>
      <c r="H129">
        <v>7</v>
      </c>
      <c r="I129">
        <v>15.18</v>
      </c>
      <c r="J129">
        <v>0.15</v>
      </c>
      <c r="K129">
        <v>90.32</v>
      </c>
      <c r="L129" t="s">
        <v>814</v>
      </c>
      <c r="N129">
        <f t="shared" si="5"/>
        <v>90.32</v>
      </c>
      <c r="O129" s="5">
        <f t="shared" si="6"/>
        <v>90.320999999999984</v>
      </c>
      <c r="P129" t="str">
        <f t="shared" si="7"/>
        <v>Same</v>
      </c>
      <c r="S129" t="str">
        <f t="shared" si="4"/>
        <v>Okay</v>
      </c>
    </row>
    <row r="130" spans="1:19" x14ac:dyDescent="0.3">
      <c r="A130" t="s">
        <v>140</v>
      </c>
      <c r="B130" s="2">
        <v>45747</v>
      </c>
      <c r="C130" t="s">
        <v>666</v>
      </c>
      <c r="D130" t="s">
        <v>788</v>
      </c>
      <c r="E130" t="s">
        <v>795</v>
      </c>
      <c r="F130" t="s">
        <v>802</v>
      </c>
      <c r="G130" t="s">
        <v>811</v>
      </c>
      <c r="H130">
        <v>4</v>
      </c>
      <c r="I130">
        <v>260.88</v>
      </c>
      <c r="J130">
        <v>0.1</v>
      </c>
      <c r="K130">
        <v>939.17</v>
      </c>
      <c r="L130" t="s">
        <v>816</v>
      </c>
      <c r="N130">
        <f t="shared" si="5"/>
        <v>939.17</v>
      </c>
      <c r="O130" s="5">
        <f t="shared" si="6"/>
        <v>939.16800000000001</v>
      </c>
      <c r="P130" t="str">
        <f t="shared" si="7"/>
        <v>Same</v>
      </c>
      <c r="S130" t="str">
        <f t="shared" ref="S130:S193" si="8">IF(OR(B130&lt;DATE(2025,1,1),B130&gt;DATE(2025,12,31)),"Strange", "Okay")</f>
        <v>Okay</v>
      </c>
    </row>
    <row r="131" spans="1:19" x14ac:dyDescent="0.3">
      <c r="A131" t="s">
        <v>141</v>
      </c>
      <c r="B131" s="2">
        <v>45749</v>
      </c>
      <c r="C131" t="s">
        <v>700</v>
      </c>
      <c r="D131" t="s">
        <v>786</v>
      </c>
      <c r="E131" t="s">
        <v>793</v>
      </c>
      <c r="F131" t="s">
        <v>797</v>
      </c>
      <c r="G131" t="s">
        <v>809</v>
      </c>
      <c r="H131">
        <v>6</v>
      </c>
      <c r="I131">
        <v>203.78</v>
      </c>
      <c r="J131">
        <v>0.2</v>
      </c>
      <c r="K131">
        <v>978.14</v>
      </c>
      <c r="L131" t="s">
        <v>816</v>
      </c>
      <c r="N131">
        <f t="shared" ref="N131:N194" si="9">ROUND(H131*I131*(1-J131),2)</f>
        <v>978.14</v>
      </c>
      <c r="O131" s="5">
        <f t="shared" ref="O131:O194" si="10">H131*I131*(1-J131)</f>
        <v>978.14400000000012</v>
      </c>
      <c r="P131" t="str">
        <f t="shared" ref="P131:P194" si="11">IF(ROUND(O131,2)=ROUND(K131,2),"Same","Different")</f>
        <v>Same</v>
      </c>
      <c r="S131" t="str">
        <f t="shared" si="8"/>
        <v>Okay</v>
      </c>
    </row>
    <row r="132" spans="1:19" x14ac:dyDescent="0.3">
      <c r="A132" t="s">
        <v>142</v>
      </c>
      <c r="B132" s="2">
        <v>45749</v>
      </c>
      <c r="C132" t="s">
        <v>701</v>
      </c>
      <c r="D132" t="s">
        <v>788</v>
      </c>
      <c r="E132" t="s">
        <v>795</v>
      </c>
      <c r="F132" t="s">
        <v>802</v>
      </c>
      <c r="G132" t="s">
        <v>811</v>
      </c>
      <c r="H132">
        <v>8</v>
      </c>
      <c r="I132">
        <v>247.13</v>
      </c>
      <c r="J132">
        <v>0.15</v>
      </c>
      <c r="K132">
        <v>1680.48</v>
      </c>
      <c r="L132" t="s">
        <v>816</v>
      </c>
      <c r="N132">
        <f t="shared" si="9"/>
        <v>1680.48</v>
      </c>
      <c r="O132" s="5">
        <f t="shared" si="10"/>
        <v>1680.4839999999999</v>
      </c>
      <c r="P132" t="str">
        <f t="shared" si="11"/>
        <v>Same</v>
      </c>
      <c r="S132" t="str">
        <f t="shared" si="8"/>
        <v>Okay</v>
      </c>
    </row>
    <row r="133" spans="1:19" x14ac:dyDescent="0.3">
      <c r="A133" t="s">
        <v>143</v>
      </c>
      <c r="B133" s="2">
        <v>45750</v>
      </c>
      <c r="C133" t="s">
        <v>663</v>
      </c>
      <c r="D133" t="s">
        <v>789</v>
      </c>
      <c r="E133" t="s">
        <v>792</v>
      </c>
      <c r="F133" t="s">
        <v>806</v>
      </c>
      <c r="G133" t="s">
        <v>810</v>
      </c>
      <c r="H133">
        <v>1</v>
      </c>
      <c r="I133">
        <v>79.89</v>
      </c>
      <c r="J133">
        <v>0</v>
      </c>
      <c r="K133">
        <v>79.89</v>
      </c>
      <c r="L133" t="s">
        <v>814</v>
      </c>
      <c r="N133">
        <f t="shared" si="9"/>
        <v>79.89</v>
      </c>
      <c r="O133" s="5">
        <f t="shared" si="10"/>
        <v>79.89</v>
      </c>
      <c r="P133" t="str">
        <f t="shared" si="11"/>
        <v>Same</v>
      </c>
      <c r="S133" t="str">
        <f t="shared" si="8"/>
        <v>Okay</v>
      </c>
    </row>
    <row r="134" spans="1:19" x14ac:dyDescent="0.3">
      <c r="A134" t="s">
        <v>144</v>
      </c>
      <c r="B134" s="2">
        <v>45750</v>
      </c>
      <c r="C134" t="s">
        <v>697</v>
      </c>
      <c r="D134" t="s">
        <v>789</v>
      </c>
      <c r="E134" t="s">
        <v>792</v>
      </c>
      <c r="F134" t="s">
        <v>802</v>
      </c>
      <c r="G134" t="s">
        <v>811</v>
      </c>
      <c r="H134">
        <v>1</v>
      </c>
      <c r="I134">
        <v>235.18</v>
      </c>
      <c r="J134">
        <v>0.05</v>
      </c>
      <c r="K134">
        <v>223.42</v>
      </c>
      <c r="L134" t="s">
        <v>815</v>
      </c>
      <c r="N134">
        <f t="shared" si="9"/>
        <v>223.42</v>
      </c>
      <c r="O134" s="5">
        <f t="shared" si="10"/>
        <v>223.42099999999999</v>
      </c>
      <c r="P134" t="str">
        <f t="shared" si="11"/>
        <v>Same</v>
      </c>
      <c r="S134" t="str">
        <f t="shared" si="8"/>
        <v>Okay</v>
      </c>
    </row>
    <row r="135" spans="1:19" x14ac:dyDescent="0.3">
      <c r="A135" t="s">
        <v>145</v>
      </c>
      <c r="B135" s="2">
        <v>45750</v>
      </c>
      <c r="C135" t="s">
        <v>641</v>
      </c>
      <c r="D135" t="s">
        <v>785</v>
      </c>
      <c r="E135" t="s">
        <v>792</v>
      </c>
      <c r="F135" t="s">
        <v>808</v>
      </c>
      <c r="G135" t="s">
        <v>812</v>
      </c>
      <c r="H135">
        <v>2</v>
      </c>
      <c r="I135">
        <v>81.11</v>
      </c>
      <c r="J135">
        <v>0.05</v>
      </c>
      <c r="K135">
        <v>154.11000000000001</v>
      </c>
      <c r="L135" t="s">
        <v>815</v>
      </c>
      <c r="N135">
        <f t="shared" si="9"/>
        <v>154.11000000000001</v>
      </c>
      <c r="O135" s="5">
        <f t="shared" si="10"/>
        <v>154.10899999999998</v>
      </c>
      <c r="P135" t="str">
        <f t="shared" si="11"/>
        <v>Same</v>
      </c>
      <c r="S135" t="str">
        <f t="shared" si="8"/>
        <v>Okay</v>
      </c>
    </row>
    <row r="136" spans="1:19" x14ac:dyDescent="0.3">
      <c r="A136" t="s">
        <v>146</v>
      </c>
      <c r="B136" s="2">
        <v>45751</v>
      </c>
      <c r="C136" t="s">
        <v>670</v>
      </c>
      <c r="D136" t="s">
        <v>788</v>
      </c>
      <c r="E136" t="s">
        <v>795</v>
      </c>
      <c r="F136" t="s">
        <v>800</v>
      </c>
      <c r="G136" t="s">
        <v>810</v>
      </c>
      <c r="H136">
        <v>5</v>
      </c>
      <c r="I136">
        <v>677.06</v>
      </c>
      <c r="J136">
        <v>0.1</v>
      </c>
      <c r="K136">
        <v>3046.77</v>
      </c>
      <c r="L136" t="s">
        <v>815</v>
      </c>
      <c r="N136">
        <f t="shared" si="9"/>
        <v>3046.77</v>
      </c>
      <c r="O136" s="5">
        <f t="shared" si="10"/>
        <v>3046.77</v>
      </c>
      <c r="P136" t="str">
        <f t="shared" si="11"/>
        <v>Same</v>
      </c>
      <c r="S136" t="str">
        <f t="shared" si="8"/>
        <v>Okay</v>
      </c>
    </row>
    <row r="137" spans="1:19" x14ac:dyDescent="0.3">
      <c r="A137" t="s">
        <v>147</v>
      </c>
      <c r="B137" s="2">
        <v>45752</v>
      </c>
      <c r="C137" t="s">
        <v>654</v>
      </c>
      <c r="D137" t="s">
        <v>790</v>
      </c>
      <c r="E137" t="s">
        <v>796</v>
      </c>
      <c r="F137" t="s">
        <v>799</v>
      </c>
      <c r="G137" t="s">
        <v>809</v>
      </c>
      <c r="H137">
        <v>1</v>
      </c>
      <c r="I137">
        <v>59.98</v>
      </c>
      <c r="J137">
        <v>0.05</v>
      </c>
      <c r="K137">
        <v>56.98</v>
      </c>
      <c r="L137" t="s">
        <v>815</v>
      </c>
      <c r="N137">
        <f t="shared" si="9"/>
        <v>56.98</v>
      </c>
      <c r="O137" s="5">
        <f t="shared" si="10"/>
        <v>56.980999999999995</v>
      </c>
      <c r="P137" t="str">
        <f t="shared" si="11"/>
        <v>Same</v>
      </c>
      <c r="S137" t="str">
        <f t="shared" si="8"/>
        <v>Okay</v>
      </c>
    </row>
    <row r="138" spans="1:19" x14ac:dyDescent="0.3">
      <c r="A138" t="s">
        <v>148</v>
      </c>
      <c r="B138" s="2">
        <v>45752</v>
      </c>
      <c r="C138" t="s">
        <v>688</v>
      </c>
      <c r="D138" t="s">
        <v>789</v>
      </c>
      <c r="E138" t="s">
        <v>792</v>
      </c>
      <c r="F138" t="s">
        <v>807</v>
      </c>
      <c r="G138" t="s">
        <v>810</v>
      </c>
      <c r="H138">
        <v>8</v>
      </c>
      <c r="I138">
        <v>972.96</v>
      </c>
      <c r="J138">
        <v>0</v>
      </c>
      <c r="K138">
        <v>7783.68</v>
      </c>
      <c r="L138" t="s">
        <v>814</v>
      </c>
      <c r="N138">
        <f t="shared" si="9"/>
        <v>7783.68</v>
      </c>
      <c r="O138" s="5">
        <f t="shared" si="10"/>
        <v>7783.68</v>
      </c>
      <c r="P138" t="str">
        <f t="shared" si="11"/>
        <v>Same</v>
      </c>
      <c r="S138" t="str">
        <f t="shared" si="8"/>
        <v>Okay</v>
      </c>
    </row>
    <row r="139" spans="1:19" x14ac:dyDescent="0.3">
      <c r="A139" t="s">
        <v>149</v>
      </c>
      <c r="B139" s="2">
        <v>45753</v>
      </c>
      <c r="C139" t="s">
        <v>702</v>
      </c>
      <c r="D139" t="s">
        <v>790</v>
      </c>
      <c r="E139" t="s">
        <v>796</v>
      </c>
      <c r="F139" t="s">
        <v>797</v>
      </c>
      <c r="G139" t="s">
        <v>809</v>
      </c>
      <c r="H139">
        <v>2</v>
      </c>
      <c r="I139">
        <v>209.48</v>
      </c>
      <c r="J139">
        <v>0</v>
      </c>
      <c r="K139">
        <v>418.96</v>
      </c>
      <c r="L139" t="s">
        <v>816</v>
      </c>
      <c r="N139">
        <f t="shared" si="9"/>
        <v>418.96</v>
      </c>
      <c r="O139" s="5">
        <f t="shared" si="10"/>
        <v>418.96</v>
      </c>
      <c r="P139" t="str">
        <f t="shared" si="11"/>
        <v>Same</v>
      </c>
      <c r="S139" t="str">
        <f t="shared" si="8"/>
        <v>Okay</v>
      </c>
    </row>
    <row r="140" spans="1:19" x14ac:dyDescent="0.3">
      <c r="A140" t="s">
        <v>150</v>
      </c>
      <c r="B140" s="2">
        <v>45753</v>
      </c>
      <c r="C140" t="s">
        <v>703</v>
      </c>
      <c r="D140" t="s">
        <v>789</v>
      </c>
      <c r="E140" t="s">
        <v>792</v>
      </c>
      <c r="F140" t="s">
        <v>798</v>
      </c>
      <c r="G140" t="s">
        <v>810</v>
      </c>
      <c r="H140">
        <v>6</v>
      </c>
      <c r="I140">
        <v>285.07</v>
      </c>
      <c r="J140">
        <v>0.2</v>
      </c>
      <c r="K140">
        <v>1368.34</v>
      </c>
      <c r="L140" t="s">
        <v>815</v>
      </c>
      <c r="N140">
        <f t="shared" si="9"/>
        <v>1368.34</v>
      </c>
      <c r="O140" s="5">
        <f t="shared" si="10"/>
        <v>1368.3360000000002</v>
      </c>
      <c r="P140" t="str">
        <f t="shared" si="11"/>
        <v>Same</v>
      </c>
      <c r="S140" t="str">
        <f t="shared" si="8"/>
        <v>Okay</v>
      </c>
    </row>
    <row r="141" spans="1:19" x14ac:dyDescent="0.3">
      <c r="A141" t="s">
        <v>151</v>
      </c>
      <c r="B141" s="2">
        <v>45754</v>
      </c>
      <c r="C141" t="s">
        <v>617</v>
      </c>
      <c r="D141" t="s">
        <v>790</v>
      </c>
      <c r="E141" t="s">
        <v>796</v>
      </c>
      <c r="F141" t="s">
        <v>807</v>
      </c>
      <c r="G141" t="s">
        <v>810</v>
      </c>
      <c r="H141">
        <v>4</v>
      </c>
      <c r="I141">
        <v>943.46</v>
      </c>
      <c r="J141">
        <v>0.1</v>
      </c>
      <c r="K141">
        <v>3396.46</v>
      </c>
      <c r="L141" t="s">
        <v>816</v>
      </c>
      <c r="N141">
        <f t="shared" si="9"/>
        <v>3396.46</v>
      </c>
      <c r="O141" s="5">
        <f t="shared" si="10"/>
        <v>3396.4560000000001</v>
      </c>
      <c r="P141" t="str">
        <f t="shared" si="11"/>
        <v>Same</v>
      </c>
      <c r="S141" t="str">
        <f t="shared" si="8"/>
        <v>Okay</v>
      </c>
    </row>
    <row r="142" spans="1:19" x14ac:dyDescent="0.3">
      <c r="A142" t="s">
        <v>152</v>
      </c>
      <c r="B142" s="2">
        <v>45755</v>
      </c>
      <c r="C142" t="s">
        <v>704</v>
      </c>
      <c r="D142" t="s">
        <v>789</v>
      </c>
      <c r="E142" t="s">
        <v>792</v>
      </c>
      <c r="F142" t="s">
        <v>802</v>
      </c>
      <c r="G142" t="s">
        <v>811</v>
      </c>
      <c r="H142">
        <v>7</v>
      </c>
      <c r="I142">
        <v>244.65</v>
      </c>
      <c r="J142">
        <v>0.2</v>
      </c>
      <c r="K142">
        <v>1370.04</v>
      </c>
      <c r="L142" t="s">
        <v>815</v>
      </c>
      <c r="N142">
        <f t="shared" si="9"/>
        <v>1370.04</v>
      </c>
      <c r="O142" s="5">
        <f t="shared" si="10"/>
        <v>1370.04</v>
      </c>
      <c r="P142" t="str">
        <f t="shared" si="11"/>
        <v>Same</v>
      </c>
      <c r="S142" t="str">
        <f t="shared" si="8"/>
        <v>Okay</v>
      </c>
    </row>
    <row r="143" spans="1:19" x14ac:dyDescent="0.3">
      <c r="A143" t="s">
        <v>153</v>
      </c>
      <c r="B143" s="2">
        <v>45756</v>
      </c>
      <c r="C143" t="s">
        <v>655</v>
      </c>
      <c r="D143" t="s">
        <v>785</v>
      </c>
      <c r="E143" t="s">
        <v>792</v>
      </c>
      <c r="F143" t="s">
        <v>805</v>
      </c>
      <c r="G143" t="s">
        <v>810</v>
      </c>
      <c r="H143">
        <v>0</v>
      </c>
      <c r="I143">
        <v>46.46</v>
      </c>
      <c r="J143">
        <v>0.15</v>
      </c>
      <c r="K143">
        <v>39.49</v>
      </c>
      <c r="L143" t="s">
        <v>814</v>
      </c>
      <c r="N143">
        <f t="shared" si="9"/>
        <v>0</v>
      </c>
      <c r="O143" s="5">
        <f t="shared" si="10"/>
        <v>0</v>
      </c>
      <c r="P143" t="str">
        <f t="shared" si="11"/>
        <v>Different</v>
      </c>
      <c r="S143" t="str">
        <f t="shared" si="8"/>
        <v>Okay</v>
      </c>
    </row>
    <row r="144" spans="1:19" x14ac:dyDescent="0.3">
      <c r="A144" t="s">
        <v>154</v>
      </c>
      <c r="B144" s="2">
        <v>45756</v>
      </c>
      <c r="C144" t="s">
        <v>629</v>
      </c>
      <c r="D144" t="s">
        <v>790</v>
      </c>
      <c r="E144" t="s">
        <v>796</v>
      </c>
      <c r="F144" t="s">
        <v>797</v>
      </c>
      <c r="G144" t="s">
        <v>809</v>
      </c>
      <c r="H144">
        <v>2</v>
      </c>
      <c r="I144">
        <v>216.63</v>
      </c>
      <c r="J144">
        <v>0.1</v>
      </c>
      <c r="K144">
        <v>389.93</v>
      </c>
      <c r="L144" t="s">
        <v>815</v>
      </c>
      <c r="N144">
        <f t="shared" si="9"/>
        <v>389.93</v>
      </c>
      <c r="O144" s="5">
        <f t="shared" si="10"/>
        <v>389.93400000000003</v>
      </c>
      <c r="P144" t="str">
        <f t="shared" si="11"/>
        <v>Same</v>
      </c>
      <c r="S144" t="str">
        <f t="shared" si="8"/>
        <v>Okay</v>
      </c>
    </row>
    <row r="145" spans="1:19" x14ac:dyDescent="0.3">
      <c r="A145" t="s">
        <v>155</v>
      </c>
      <c r="B145" s="2">
        <v>45758</v>
      </c>
      <c r="C145" t="s">
        <v>633</v>
      </c>
      <c r="D145" t="s">
        <v>785</v>
      </c>
      <c r="E145" t="s">
        <v>792</v>
      </c>
      <c r="F145" t="s">
        <v>802</v>
      </c>
      <c r="G145" t="s">
        <v>811</v>
      </c>
      <c r="H145">
        <v>4</v>
      </c>
      <c r="I145">
        <v>237.34</v>
      </c>
      <c r="J145">
        <v>0.15</v>
      </c>
      <c r="K145">
        <v>806.96</v>
      </c>
      <c r="L145" t="s">
        <v>813</v>
      </c>
      <c r="N145">
        <f t="shared" si="9"/>
        <v>806.96</v>
      </c>
      <c r="O145" s="5">
        <f t="shared" si="10"/>
        <v>806.95600000000002</v>
      </c>
      <c r="P145" t="str">
        <f t="shared" si="11"/>
        <v>Same</v>
      </c>
      <c r="S145" t="str">
        <f t="shared" si="8"/>
        <v>Okay</v>
      </c>
    </row>
    <row r="146" spans="1:19" x14ac:dyDescent="0.3">
      <c r="A146" t="s">
        <v>156</v>
      </c>
      <c r="B146" s="2">
        <v>45758</v>
      </c>
      <c r="C146" t="s">
        <v>631</v>
      </c>
      <c r="D146" t="s">
        <v>788</v>
      </c>
      <c r="E146" t="s">
        <v>795</v>
      </c>
      <c r="F146" t="s">
        <v>800</v>
      </c>
      <c r="G146" t="s">
        <v>810</v>
      </c>
      <c r="H146">
        <v>3</v>
      </c>
      <c r="I146">
        <v>668.63</v>
      </c>
      <c r="J146">
        <v>0.1</v>
      </c>
      <c r="K146">
        <v>1805.3</v>
      </c>
      <c r="L146" t="s">
        <v>815</v>
      </c>
      <c r="N146">
        <f t="shared" si="9"/>
        <v>1805.3</v>
      </c>
      <c r="O146" s="5">
        <f t="shared" si="10"/>
        <v>1805.3009999999999</v>
      </c>
      <c r="P146" t="str">
        <f t="shared" si="11"/>
        <v>Same</v>
      </c>
      <c r="S146" t="str">
        <f t="shared" si="8"/>
        <v>Okay</v>
      </c>
    </row>
    <row r="147" spans="1:19" x14ac:dyDescent="0.3">
      <c r="A147" t="s">
        <v>157</v>
      </c>
      <c r="B147" s="2">
        <v>45759</v>
      </c>
      <c r="C147" t="s">
        <v>705</v>
      </c>
      <c r="D147" t="s">
        <v>787</v>
      </c>
      <c r="E147" t="s">
        <v>794</v>
      </c>
      <c r="F147" t="s">
        <v>802</v>
      </c>
      <c r="G147" t="s">
        <v>811</v>
      </c>
      <c r="H147">
        <v>3</v>
      </c>
      <c r="I147">
        <v>234.52</v>
      </c>
      <c r="J147">
        <v>0</v>
      </c>
      <c r="K147">
        <v>703.56</v>
      </c>
      <c r="L147" t="s">
        <v>814</v>
      </c>
      <c r="N147">
        <f t="shared" si="9"/>
        <v>703.56</v>
      </c>
      <c r="O147" s="5">
        <f t="shared" si="10"/>
        <v>703.56000000000006</v>
      </c>
      <c r="P147" t="str">
        <f t="shared" si="11"/>
        <v>Same</v>
      </c>
      <c r="S147" t="str">
        <f t="shared" si="8"/>
        <v>Okay</v>
      </c>
    </row>
    <row r="148" spans="1:19" x14ac:dyDescent="0.3">
      <c r="A148" t="s">
        <v>158</v>
      </c>
      <c r="B148" s="2">
        <v>45760</v>
      </c>
      <c r="C148" t="s">
        <v>706</v>
      </c>
      <c r="D148" t="s">
        <v>790</v>
      </c>
      <c r="E148" t="s">
        <v>796</v>
      </c>
      <c r="F148" t="s">
        <v>805</v>
      </c>
      <c r="G148" t="s">
        <v>810</v>
      </c>
      <c r="H148">
        <v>7</v>
      </c>
      <c r="I148">
        <v>42.48</v>
      </c>
      <c r="J148">
        <v>0.2</v>
      </c>
      <c r="K148">
        <v>237.89</v>
      </c>
      <c r="L148" t="s">
        <v>816</v>
      </c>
      <c r="N148">
        <f t="shared" si="9"/>
        <v>237.89</v>
      </c>
      <c r="O148" s="5">
        <f t="shared" si="10"/>
        <v>237.88799999999998</v>
      </c>
      <c r="P148" t="str">
        <f t="shared" si="11"/>
        <v>Same</v>
      </c>
      <c r="S148" t="str">
        <f t="shared" si="8"/>
        <v>Okay</v>
      </c>
    </row>
    <row r="149" spans="1:19" x14ac:dyDescent="0.3">
      <c r="A149" t="s">
        <v>159</v>
      </c>
      <c r="B149" s="2">
        <v>45760</v>
      </c>
      <c r="C149" t="s">
        <v>703</v>
      </c>
      <c r="D149" t="s">
        <v>787</v>
      </c>
      <c r="E149" t="s">
        <v>794</v>
      </c>
      <c r="F149" t="s">
        <v>804</v>
      </c>
      <c r="G149" t="s">
        <v>809</v>
      </c>
      <c r="H149">
        <v>1</v>
      </c>
      <c r="I149">
        <v>372.95</v>
      </c>
      <c r="J149">
        <v>0.05</v>
      </c>
      <c r="K149">
        <v>354.3</v>
      </c>
      <c r="L149" t="s">
        <v>816</v>
      </c>
      <c r="N149">
        <f t="shared" si="9"/>
        <v>354.3</v>
      </c>
      <c r="O149" s="5">
        <f t="shared" si="10"/>
        <v>354.30249999999995</v>
      </c>
      <c r="P149" t="str">
        <f t="shared" si="11"/>
        <v>Same</v>
      </c>
      <c r="S149" t="str">
        <f t="shared" si="8"/>
        <v>Okay</v>
      </c>
    </row>
    <row r="150" spans="1:19" x14ac:dyDescent="0.3">
      <c r="A150" t="s">
        <v>160</v>
      </c>
      <c r="B150" s="2">
        <v>45760</v>
      </c>
      <c r="C150" t="s">
        <v>685</v>
      </c>
      <c r="D150" t="s">
        <v>790</v>
      </c>
      <c r="E150" t="s">
        <v>796</v>
      </c>
      <c r="F150" t="s">
        <v>804</v>
      </c>
      <c r="G150" t="s">
        <v>809</v>
      </c>
      <c r="H150">
        <v>5</v>
      </c>
      <c r="I150">
        <v>357.55</v>
      </c>
      <c r="J150">
        <v>0.05</v>
      </c>
      <c r="K150">
        <v>1698.36</v>
      </c>
      <c r="L150" t="s">
        <v>813</v>
      </c>
      <c r="N150">
        <f t="shared" si="9"/>
        <v>1698.36</v>
      </c>
      <c r="O150" s="5">
        <f t="shared" si="10"/>
        <v>1698.3625</v>
      </c>
      <c r="P150" t="str">
        <f t="shared" si="11"/>
        <v>Same</v>
      </c>
      <c r="S150" t="str">
        <f t="shared" si="8"/>
        <v>Okay</v>
      </c>
    </row>
    <row r="151" spans="1:19" x14ac:dyDescent="0.3">
      <c r="A151" t="s">
        <v>161</v>
      </c>
      <c r="B151" s="2">
        <v>45761</v>
      </c>
      <c r="C151" t="s">
        <v>623</v>
      </c>
      <c r="D151" t="s">
        <v>790</v>
      </c>
      <c r="E151" t="s">
        <v>796</v>
      </c>
      <c r="F151" t="s">
        <v>805</v>
      </c>
      <c r="G151" t="s">
        <v>810</v>
      </c>
      <c r="H151">
        <v>5</v>
      </c>
      <c r="I151">
        <v>45.79</v>
      </c>
      <c r="J151">
        <v>0.15</v>
      </c>
      <c r="K151">
        <v>194.61</v>
      </c>
      <c r="L151" t="s">
        <v>815</v>
      </c>
      <c r="N151">
        <f t="shared" si="9"/>
        <v>194.61</v>
      </c>
      <c r="O151" s="5">
        <f t="shared" si="10"/>
        <v>194.60749999999999</v>
      </c>
      <c r="P151" t="str">
        <f t="shared" si="11"/>
        <v>Same</v>
      </c>
      <c r="S151" t="str">
        <f t="shared" si="8"/>
        <v>Okay</v>
      </c>
    </row>
    <row r="152" spans="1:19" x14ac:dyDescent="0.3">
      <c r="A152" t="s">
        <v>162</v>
      </c>
      <c r="B152" s="2">
        <v>45761</v>
      </c>
      <c r="C152" t="s">
        <v>661</v>
      </c>
      <c r="D152" t="s">
        <v>786</v>
      </c>
      <c r="E152" t="s">
        <v>793</v>
      </c>
      <c r="F152" t="s">
        <v>805</v>
      </c>
      <c r="G152" t="s">
        <v>810</v>
      </c>
      <c r="H152">
        <v>3</v>
      </c>
      <c r="I152">
        <v>43.82</v>
      </c>
      <c r="J152">
        <v>0.25</v>
      </c>
      <c r="K152">
        <v>98.6</v>
      </c>
      <c r="L152" t="s">
        <v>813</v>
      </c>
      <c r="N152">
        <f t="shared" si="9"/>
        <v>98.6</v>
      </c>
      <c r="O152" s="5">
        <f t="shared" si="10"/>
        <v>98.594999999999999</v>
      </c>
      <c r="P152" t="str">
        <f t="shared" si="11"/>
        <v>Same</v>
      </c>
      <c r="S152" t="str">
        <f t="shared" si="8"/>
        <v>Okay</v>
      </c>
    </row>
    <row r="153" spans="1:19" x14ac:dyDescent="0.3">
      <c r="A153" t="s">
        <v>163</v>
      </c>
      <c r="B153" s="2">
        <v>45761</v>
      </c>
      <c r="C153" t="s">
        <v>707</v>
      </c>
      <c r="D153" t="s">
        <v>788</v>
      </c>
      <c r="E153" t="s">
        <v>795</v>
      </c>
      <c r="F153" t="s">
        <v>808</v>
      </c>
      <c r="G153" t="s">
        <v>812</v>
      </c>
      <c r="H153">
        <v>1</v>
      </c>
      <c r="I153">
        <v>80.97</v>
      </c>
      <c r="J153">
        <v>0.2</v>
      </c>
      <c r="K153">
        <v>64.78</v>
      </c>
      <c r="L153" t="s">
        <v>814</v>
      </c>
      <c r="N153">
        <f t="shared" si="9"/>
        <v>64.78</v>
      </c>
      <c r="O153" s="5">
        <f t="shared" si="10"/>
        <v>64.775999999999996</v>
      </c>
      <c r="P153" t="str">
        <f t="shared" si="11"/>
        <v>Same</v>
      </c>
      <c r="S153" t="str">
        <f t="shared" si="8"/>
        <v>Okay</v>
      </c>
    </row>
    <row r="154" spans="1:19" x14ac:dyDescent="0.3">
      <c r="A154" t="s">
        <v>164</v>
      </c>
      <c r="B154" s="2">
        <v>45761</v>
      </c>
      <c r="C154" t="s">
        <v>708</v>
      </c>
      <c r="D154" t="s">
        <v>788</v>
      </c>
      <c r="E154" t="s">
        <v>795</v>
      </c>
      <c r="F154" t="s">
        <v>798</v>
      </c>
      <c r="G154" t="s">
        <v>810</v>
      </c>
      <c r="H154">
        <v>2</v>
      </c>
      <c r="I154">
        <v>285.25</v>
      </c>
      <c r="J154">
        <v>0.05</v>
      </c>
      <c r="K154">
        <v>541.98</v>
      </c>
      <c r="L154" t="s">
        <v>814</v>
      </c>
      <c r="N154">
        <f t="shared" si="9"/>
        <v>541.98</v>
      </c>
      <c r="O154" s="5">
        <f t="shared" si="10"/>
        <v>541.97500000000002</v>
      </c>
      <c r="P154" t="str">
        <f t="shared" si="11"/>
        <v>Same</v>
      </c>
      <c r="S154" t="str">
        <f t="shared" si="8"/>
        <v>Okay</v>
      </c>
    </row>
    <row r="155" spans="1:19" x14ac:dyDescent="0.3">
      <c r="A155" t="s">
        <v>165</v>
      </c>
      <c r="B155" s="2">
        <v>45762</v>
      </c>
      <c r="C155" t="s">
        <v>709</v>
      </c>
      <c r="D155" t="s">
        <v>785</v>
      </c>
      <c r="E155" t="s">
        <v>792</v>
      </c>
      <c r="F155" t="s">
        <v>802</v>
      </c>
      <c r="G155" t="s">
        <v>811</v>
      </c>
      <c r="H155">
        <v>3</v>
      </c>
      <c r="I155">
        <v>242.74</v>
      </c>
      <c r="J155">
        <v>0.25</v>
      </c>
      <c r="K155">
        <v>546.16</v>
      </c>
      <c r="L155" t="s">
        <v>815</v>
      </c>
      <c r="N155">
        <f t="shared" si="9"/>
        <v>546.16999999999996</v>
      </c>
      <c r="O155" s="5">
        <f t="shared" si="10"/>
        <v>546.16499999999996</v>
      </c>
      <c r="P155" t="str">
        <f t="shared" si="11"/>
        <v>Different</v>
      </c>
      <c r="S155" t="str">
        <f t="shared" si="8"/>
        <v>Okay</v>
      </c>
    </row>
    <row r="156" spans="1:19" x14ac:dyDescent="0.3">
      <c r="A156" t="s">
        <v>166</v>
      </c>
      <c r="B156" s="2">
        <v>45762</v>
      </c>
      <c r="C156" t="s">
        <v>612</v>
      </c>
      <c r="D156" t="s">
        <v>789</v>
      </c>
      <c r="E156" t="s">
        <v>792</v>
      </c>
      <c r="F156" t="s">
        <v>803</v>
      </c>
      <c r="G156" t="s">
        <v>810</v>
      </c>
      <c r="H156">
        <v>2</v>
      </c>
      <c r="I156">
        <v>130.6</v>
      </c>
      <c r="J156">
        <v>0.2</v>
      </c>
      <c r="K156">
        <v>208.96</v>
      </c>
      <c r="L156" t="s">
        <v>815</v>
      </c>
      <c r="N156">
        <f t="shared" si="9"/>
        <v>208.96</v>
      </c>
      <c r="O156" s="5">
        <f t="shared" si="10"/>
        <v>208.96</v>
      </c>
      <c r="P156" t="str">
        <f t="shared" si="11"/>
        <v>Same</v>
      </c>
      <c r="S156" t="str">
        <f t="shared" si="8"/>
        <v>Okay</v>
      </c>
    </row>
    <row r="157" spans="1:19" x14ac:dyDescent="0.3">
      <c r="A157" t="s">
        <v>167</v>
      </c>
      <c r="B157" s="2">
        <v>45763</v>
      </c>
      <c r="C157" t="s">
        <v>625</v>
      </c>
      <c r="D157" t="s">
        <v>789</v>
      </c>
      <c r="E157" t="s">
        <v>792</v>
      </c>
      <c r="F157" t="s">
        <v>799</v>
      </c>
      <c r="G157" t="s">
        <v>809</v>
      </c>
      <c r="H157">
        <v>6</v>
      </c>
      <c r="I157">
        <v>52.25</v>
      </c>
      <c r="J157">
        <v>0.05</v>
      </c>
      <c r="K157">
        <v>297.82</v>
      </c>
      <c r="L157" t="s">
        <v>813</v>
      </c>
      <c r="N157">
        <f t="shared" si="9"/>
        <v>297.83</v>
      </c>
      <c r="O157" s="5">
        <f t="shared" si="10"/>
        <v>297.82499999999999</v>
      </c>
      <c r="P157" t="str">
        <f t="shared" si="11"/>
        <v>Different</v>
      </c>
      <c r="S157" t="str">
        <f t="shared" si="8"/>
        <v>Okay</v>
      </c>
    </row>
    <row r="158" spans="1:19" x14ac:dyDescent="0.3">
      <c r="A158" t="s">
        <v>168</v>
      </c>
      <c r="B158" s="2">
        <v>45764</v>
      </c>
      <c r="C158" t="s">
        <v>710</v>
      </c>
      <c r="D158" t="s">
        <v>787</v>
      </c>
      <c r="E158" t="s">
        <v>794</v>
      </c>
      <c r="F158" t="s">
        <v>805</v>
      </c>
      <c r="G158" t="s">
        <v>810</v>
      </c>
      <c r="H158">
        <v>7</v>
      </c>
      <c r="I158">
        <v>47.85</v>
      </c>
      <c r="J158">
        <v>0</v>
      </c>
      <c r="K158">
        <v>334.95</v>
      </c>
      <c r="L158" t="s">
        <v>814</v>
      </c>
      <c r="N158">
        <f t="shared" si="9"/>
        <v>334.95</v>
      </c>
      <c r="O158" s="5">
        <f t="shared" si="10"/>
        <v>334.95</v>
      </c>
      <c r="P158" t="str">
        <f t="shared" si="11"/>
        <v>Same</v>
      </c>
      <c r="S158" t="str">
        <f t="shared" si="8"/>
        <v>Okay</v>
      </c>
    </row>
    <row r="159" spans="1:19" x14ac:dyDescent="0.3">
      <c r="A159" t="s">
        <v>169</v>
      </c>
      <c r="B159" s="2">
        <v>45765</v>
      </c>
      <c r="C159" t="s">
        <v>708</v>
      </c>
      <c r="D159" t="s">
        <v>787</v>
      </c>
      <c r="E159" t="s">
        <v>794</v>
      </c>
      <c r="F159" t="s">
        <v>803</v>
      </c>
      <c r="G159" t="s">
        <v>810</v>
      </c>
      <c r="H159">
        <v>6</v>
      </c>
      <c r="I159">
        <v>128.74</v>
      </c>
      <c r="J159">
        <v>0.1</v>
      </c>
      <c r="K159">
        <v>695.2</v>
      </c>
      <c r="L159" t="s">
        <v>813</v>
      </c>
      <c r="N159">
        <f t="shared" si="9"/>
        <v>695.2</v>
      </c>
      <c r="O159" s="5">
        <f t="shared" si="10"/>
        <v>695.19600000000003</v>
      </c>
      <c r="P159" t="str">
        <f t="shared" si="11"/>
        <v>Same</v>
      </c>
      <c r="S159" t="str">
        <f t="shared" si="8"/>
        <v>Okay</v>
      </c>
    </row>
    <row r="160" spans="1:19" x14ac:dyDescent="0.3">
      <c r="A160" t="s">
        <v>170</v>
      </c>
      <c r="B160" s="2">
        <v>45765</v>
      </c>
      <c r="C160" t="s">
        <v>708</v>
      </c>
      <c r="D160" t="s">
        <v>786</v>
      </c>
      <c r="E160" t="s">
        <v>793</v>
      </c>
      <c r="F160" t="s">
        <v>802</v>
      </c>
      <c r="G160" t="s">
        <v>811</v>
      </c>
      <c r="H160">
        <v>1</v>
      </c>
      <c r="I160">
        <v>246.2</v>
      </c>
      <c r="J160">
        <v>0</v>
      </c>
      <c r="K160">
        <v>246.2</v>
      </c>
      <c r="L160" t="s">
        <v>814</v>
      </c>
      <c r="N160">
        <f t="shared" si="9"/>
        <v>246.2</v>
      </c>
      <c r="O160" s="5">
        <f t="shared" si="10"/>
        <v>246.2</v>
      </c>
      <c r="P160" t="str">
        <f t="shared" si="11"/>
        <v>Same</v>
      </c>
      <c r="S160" t="str">
        <f t="shared" si="8"/>
        <v>Okay</v>
      </c>
    </row>
    <row r="161" spans="1:19" x14ac:dyDescent="0.3">
      <c r="A161" t="s">
        <v>171</v>
      </c>
      <c r="B161" s="2">
        <v>45766</v>
      </c>
      <c r="C161" t="s">
        <v>711</v>
      </c>
      <c r="D161" t="s">
        <v>786</v>
      </c>
      <c r="E161" t="s">
        <v>793</v>
      </c>
      <c r="F161" t="s">
        <v>807</v>
      </c>
      <c r="G161" t="s">
        <v>810</v>
      </c>
      <c r="H161">
        <v>5</v>
      </c>
      <c r="I161">
        <v>861.91</v>
      </c>
      <c r="J161">
        <v>0.25</v>
      </c>
      <c r="K161">
        <v>3232.16</v>
      </c>
      <c r="L161" t="s">
        <v>814</v>
      </c>
      <c r="N161">
        <f t="shared" si="9"/>
        <v>3232.16</v>
      </c>
      <c r="O161" s="5">
        <f t="shared" si="10"/>
        <v>3232.1625000000004</v>
      </c>
      <c r="P161" t="str">
        <f t="shared" si="11"/>
        <v>Same</v>
      </c>
      <c r="S161" t="str">
        <f t="shared" si="8"/>
        <v>Okay</v>
      </c>
    </row>
    <row r="162" spans="1:19" x14ac:dyDescent="0.3">
      <c r="A162" t="s">
        <v>172</v>
      </c>
      <c r="B162" s="2">
        <v>45766</v>
      </c>
      <c r="C162" t="s">
        <v>712</v>
      </c>
      <c r="D162" t="s">
        <v>788</v>
      </c>
      <c r="E162" t="s">
        <v>795</v>
      </c>
      <c r="F162" t="s">
        <v>801</v>
      </c>
      <c r="G162" t="s">
        <v>811</v>
      </c>
      <c r="H162">
        <v>8</v>
      </c>
      <c r="I162">
        <v>15.24</v>
      </c>
      <c r="J162">
        <v>0.1</v>
      </c>
      <c r="K162">
        <v>109.73</v>
      </c>
      <c r="L162" t="s">
        <v>813</v>
      </c>
      <c r="N162">
        <f t="shared" si="9"/>
        <v>109.73</v>
      </c>
      <c r="O162" s="5">
        <f t="shared" si="10"/>
        <v>109.72800000000001</v>
      </c>
      <c r="P162" t="str">
        <f t="shared" si="11"/>
        <v>Same</v>
      </c>
      <c r="S162" t="str">
        <f t="shared" si="8"/>
        <v>Okay</v>
      </c>
    </row>
    <row r="163" spans="1:19" x14ac:dyDescent="0.3">
      <c r="A163" t="s">
        <v>173</v>
      </c>
      <c r="B163" s="2">
        <v>45767</v>
      </c>
      <c r="C163" t="s">
        <v>615</v>
      </c>
      <c r="D163" t="s">
        <v>786</v>
      </c>
      <c r="E163" t="s">
        <v>793</v>
      </c>
      <c r="F163" t="s">
        <v>797</v>
      </c>
      <c r="G163" t="s">
        <v>809</v>
      </c>
      <c r="H163">
        <v>3</v>
      </c>
      <c r="I163">
        <v>237.73</v>
      </c>
      <c r="J163">
        <v>0.2</v>
      </c>
      <c r="K163">
        <v>570.54999999999995</v>
      </c>
      <c r="L163" t="s">
        <v>815</v>
      </c>
      <c r="N163">
        <f t="shared" si="9"/>
        <v>570.54999999999995</v>
      </c>
      <c r="O163" s="5">
        <f t="shared" si="10"/>
        <v>570.55200000000002</v>
      </c>
      <c r="P163" t="str">
        <f t="shared" si="11"/>
        <v>Same</v>
      </c>
      <c r="S163" t="str">
        <f t="shared" si="8"/>
        <v>Okay</v>
      </c>
    </row>
    <row r="164" spans="1:19" x14ac:dyDescent="0.3">
      <c r="A164" t="s">
        <v>174</v>
      </c>
      <c r="B164" s="2">
        <v>45768</v>
      </c>
      <c r="C164" t="s">
        <v>713</v>
      </c>
      <c r="D164" t="s">
        <v>787</v>
      </c>
      <c r="E164" t="s">
        <v>794</v>
      </c>
      <c r="F164" t="s">
        <v>801</v>
      </c>
      <c r="G164" t="s">
        <v>811</v>
      </c>
      <c r="H164">
        <v>4</v>
      </c>
      <c r="I164">
        <v>16.239999999999998</v>
      </c>
      <c r="J164">
        <v>0</v>
      </c>
      <c r="K164">
        <v>64.959999999999994</v>
      </c>
      <c r="L164" t="s">
        <v>814</v>
      </c>
      <c r="N164">
        <f t="shared" si="9"/>
        <v>64.959999999999994</v>
      </c>
      <c r="O164" s="5">
        <f t="shared" si="10"/>
        <v>64.959999999999994</v>
      </c>
      <c r="P164" t="str">
        <f t="shared" si="11"/>
        <v>Same</v>
      </c>
      <c r="S164" t="str">
        <f t="shared" si="8"/>
        <v>Okay</v>
      </c>
    </row>
    <row r="165" spans="1:19" x14ac:dyDescent="0.3">
      <c r="A165" t="s">
        <v>175</v>
      </c>
      <c r="B165" s="2">
        <v>45768</v>
      </c>
      <c r="C165" t="s">
        <v>714</v>
      </c>
      <c r="D165" t="s">
        <v>787</v>
      </c>
      <c r="E165" t="s">
        <v>794</v>
      </c>
      <c r="F165" t="s">
        <v>800</v>
      </c>
      <c r="G165" t="s">
        <v>810</v>
      </c>
      <c r="H165">
        <v>3</v>
      </c>
      <c r="I165">
        <v>590.21</v>
      </c>
      <c r="J165">
        <v>0.05</v>
      </c>
      <c r="K165">
        <v>1682.1</v>
      </c>
      <c r="L165" t="s">
        <v>814</v>
      </c>
      <c r="N165">
        <f t="shared" si="9"/>
        <v>1682.1</v>
      </c>
      <c r="O165" s="5">
        <f t="shared" si="10"/>
        <v>1682.0985000000001</v>
      </c>
      <c r="P165" t="str">
        <f t="shared" si="11"/>
        <v>Same</v>
      </c>
      <c r="S165" t="str">
        <f t="shared" si="8"/>
        <v>Okay</v>
      </c>
    </row>
    <row r="166" spans="1:19" x14ac:dyDescent="0.3">
      <c r="A166" t="s">
        <v>176</v>
      </c>
      <c r="B166" s="2">
        <v>45768</v>
      </c>
      <c r="C166" t="s">
        <v>715</v>
      </c>
      <c r="D166" t="s">
        <v>789</v>
      </c>
      <c r="E166" t="s">
        <v>792</v>
      </c>
      <c r="F166" t="s">
        <v>807</v>
      </c>
      <c r="G166" t="s">
        <v>810</v>
      </c>
      <c r="H166">
        <v>3</v>
      </c>
      <c r="I166">
        <v>863.48</v>
      </c>
      <c r="J166">
        <v>0.1</v>
      </c>
      <c r="K166">
        <v>2331.4</v>
      </c>
      <c r="L166" t="s">
        <v>815</v>
      </c>
      <c r="N166">
        <f t="shared" si="9"/>
        <v>2331.4</v>
      </c>
      <c r="O166" s="5">
        <f t="shared" si="10"/>
        <v>2331.3960000000002</v>
      </c>
      <c r="P166" t="str">
        <f t="shared" si="11"/>
        <v>Same</v>
      </c>
      <c r="S166" t="str">
        <f t="shared" si="8"/>
        <v>Okay</v>
      </c>
    </row>
    <row r="167" spans="1:19" x14ac:dyDescent="0.3">
      <c r="A167" t="s">
        <v>177</v>
      </c>
      <c r="B167" s="2">
        <v>45768</v>
      </c>
      <c r="C167" t="s">
        <v>716</v>
      </c>
      <c r="D167" t="s">
        <v>789</v>
      </c>
      <c r="E167" t="s">
        <v>792</v>
      </c>
      <c r="F167" t="s">
        <v>808</v>
      </c>
      <c r="G167" t="s">
        <v>812</v>
      </c>
      <c r="H167">
        <v>1</v>
      </c>
      <c r="I167">
        <v>69.37</v>
      </c>
      <c r="J167">
        <v>0.1</v>
      </c>
      <c r="K167">
        <v>62.43</v>
      </c>
      <c r="L167" t="s">
        <v>815</v>
      </c>
      <c r="N167">
        <f t="shared" si="9"/>
        <v>62.43</v>
      </c>
      <c r="O167" s="5">
        <f t="shared" si="10"/>
        <v>62.433000000000007</v>
      </c>
      <c r="P167" t="str">
        <f t="shared" si="11"/>
        <v>Same</v>
      </c>
      <c r="S167" t="str">
        <f t="shared" si="8"/>
        <v>Okay</v>
      </c>
    </row>
    <row r="168" spans="1:19" x14ac:dyDescent="0.3">
      <c r="A168" t="s">
        <v>178</v>
      </c>
      <c r="B168" s="2">
        <v>45768</v>
      </c>
      <c r="C168" t="s">
        <v>717</v>
      </c>
      <c r="D168" t="s">
        <v>786</v>
      </c>
      <c r="E168" t="s">
        <v>793</v>
      </c>
      <c r="F168" t="s">
        <v>797</v>
      </c>
      <c r="G168" t="s">
        <v>809</v>
      </c>
      <c r="H168">
        <v>3</v>
      </c>
      <c r="I168">
        <v>205.27</v>
      </c>
      <c r="J168">
        <v>0.1</v>
      </c>
      <c r="K168">
        <v>554.23</v>
      </c>
      <c r="L168" t="s">
        <v>816</v>
      </c>
      <c r="N168">
        <f t="shared" si="9"/>
        <v>554.23</v>
      </c>
      <c r="O168" s="5">
        <f t="shared" si="10"/>
        <v>554.22900000000004</v>
      </c>
      <c r="P168" t="str">
        <f t="shared" si="11"/>
        <v>Same</v>
      </c>
      <c r="S168" t="str">
        <f t="shared" si="8"/>
        <v>Okay</v>
      </c>
    </row>
    <row r="169" spans="1:19" x14ac:dyDescent="0.3">
      <c r="A169" t="s">
        <v>179</v>
      </c>
      <c r="B169" s="2">
        <v>45769</v>
      </c>
      <c r="C169" t="s">
        <v>718</v>
      </c>
      <c r="D169" t="s">
        <v>789</v>
      </c>
      <c r="E169" t="s">
        <v>792</v>
      </c>
      <c r="F169" t="s">
        <v>805</v>
      </c>
      <c r="G169" t="s">
        <v>810</v>
      </c>
      <c r="H169">
        <v>1</v>
      </c>
      <c r="I169">
        <v>40.57</v>
      </c>
      <c r="J169">
        <v>0.05</v>
      </c>
      <c r="K169">
        <v>38.54</v>
      </c>
      <c r="L169" t="s">
        <v>814</v>
      </c>
      <c r="N169">
        <f t="shared" si="9"/>
        <v>38.54</v>
      </c>
      <c r="O169" s="5">
        <f t="shared" si="10"/>
        <v>38.541499999999999</v>
      </c>
      <c r="P169" t="str">
        <f t="shared" si="11"/>
        <v>Same</v>
      </c>
      <c r="S169" t="str">
        <f t="shared" si="8"/>
        <v>Okay</v>
      </c>
    </row>
    <row r="170" spans="1:19" x14ac:dyDescent="0.3">
      <c r="A170" t="s">
        <v>180</v>
      </c>
      <c r="B170" s="2">
        <v>45770</v>
      </c>
      <c r="C170" t="s">
        <v>641</v>
      </c>
      <c r="D170" t="s">
        <v>788</v>
      </c>
      <c r="E170" t="s">
        <v>795</v>
      </c>
      <c r="F170" t="s">
        <v>800</v>
      </c>
      <c r="G170" t="s">
        <v>810</v>
      </c>
      <c r="H170">
        <v>8</v>
      </c>
      <c r="I170">
        <v>613.33000000000004</v>
      </c>
      <c r="J170">
        <v>0.3</v>
      </c>
      <c r="K170">
        <v>3434.65</v>
      </c>
      <c r="L170" t="s">
        <v>815</v>
      </c>
      <c r="N170">
        <f t="shared" si="9"/>
        <v>3434.65</v>
      </c>
      <c r="O170" s="5">
        <f t="shared" si="10"/>
        <v>3434.6480000000001</v>
      </c>
      <c r="P170" t="str">
        <f t="shared" si="11"/>
        <v>Same</v>
      </c>
      <c r="S170" t="str">
        <f t="shared" si="8"/>
        <v>Okay</v>
      </c>
    </row>
    <row r="171" spans="1:19" x14ac:dyDescent="0.3">
      <c r="A171" t="s">
        <v>181</v>
      </c>
      <c r="B171" s="2">
        <v>45770</v>
      </c>
      <c r="C171" t="s">
        <v>719</v>
      </c>
      <c r="D171" t="s">
        <v>786</v>
      </c>
      <c r="E171" t="s">
        <v>793</v>
      </c>
      <c r="F171" t="s">
        <v>807</v>
      </c>
      <c r="G171" t="s">
        <v>810</v>
      </c>
      <c r="H171">
        <v>3</v>
      </c>
      <c r="I171">
        <v>880.64</v>
      </c>
      <c r="J171">
        <v>0.15</v>
      </c>
      <c r="K171">
        <v>2245.63</v>
      </c>
      <c r="L171" t="s">
        <v>816</v>
      </c>
      <c r="N171">
        <f t="shared" si="9"/>
        <v>2245.63</v>
      </c>
      <c r="O171" s="5">
        <f t="shared" si="10"/>
        <v>2245.6320000000001</v>
      </c>
      <c r="P171" t="str">
        <f t="shared" si="11"/>
        <v>Same</v>
      </c>
      <c r="S171" t="str">
        <f t="shared" si="8"/>
        <v>Okay</v>
      </c>
    </row>
    <row r="172" spans="1:19" x14ac:dyDescent="0.3">
      <c r="A172" t="s">
        <v>182</v>
      </c>
      <c r="B172" s="2">
        <v>45771</v>
      </c>
      <c r="C172" t="s">
        <v>624</v>
      </c>
      <c r="D172" t="s">
        <v>789</v>
      </c>
      <c r="E172" t="s">
        <v>792</v>
      </c>
      <c r="F172" t="s">
        <v>802</v>
      </c>
      <c r="G172" t="s">
        <v>811</v>
      </c>
      <c r="H172">
        <v>7</v>
      </c>
      <c r="I172">
        <v>267.20999999999998</v>
      </c>
      <c r="J172">
        <v>0.25</v>
      </c>
      <c r="K172">
        <v>1402.85</v>
      </c>
      <c r="L172" t="s">
        <v>814</v>
      </c>
      <c r="N172">
        <f t="shared" si="9"/>
        <v>1402.85</v>
      </c>
      <c r="O172" s="5">
        <f t="shared" si="10"/>
        <v>1402.8525</v>
      </c>
      <c r="P172" t="str">
        <f t="shared" si="11"/>
        <v>Same</v>
      </c>
      <c r="S172" t="str">
        <f t="shared" si="8"/>
        <v>Okay</v>
      </c>
    </row>
    <row r="173" spans="1:19" x14ac:dyDescent="0.3">
      <c r="A173" t="s">
        <v>183</v>
      </c>
      <c r="B173" s="2">
        <v>45772</v>
      </c>
      <c r="C173" t="s">
        <v>720</v>
      </c>
      <c r="D173" t="s">
        <v>789</v>
      </c>
      <c r="E173" t="s">
        <v>792</v>
      </c>
      <c r="F173" t="s">
        <v>801</v>
      </c>
      <c r="G173" t="s">
        <v>811</v>
      </c>
      <c r="H173">
        <v>8</v>
      </c>
      <c r="I173">
        <v>16.170000000000002</v>
      </c>
      <c r="J173">
        <v>0.05</v>
      </c>
      <c r="K173">
        <v>122.89</v>
      </c>
      <c r="L173" t="s">
        <v>814</v>
      </c>
      <c r="N173">
        <f t="shared" si="9"/>
        <v>122.89</v>
      </c>
      <c r="O173" s="5">
        <f t="shared" si="10"/>
        <v>122.89200000000001</v>
      </c>
      <c r="P173" t="str">
        <f t="shared" si="11"/>
        <v>Same</v>
      </c>
      <c r="S173" t="str">
        <f t="shared" si="8"/>
        <v>Okay</v>
      </c>
    </row>
    <row r="174" spans="1:19" x14ac:dyDescent="0.3">
      <c r="A174" t="s">
        <v>184</v>
      </c>
      <c r="B174" s="2">
        <v>45774</v>
      </c>
      <c r="C174" t="s">
        <v>630</v>
      </c>
      <c r="D174" t="s">
        <v>789</v>
      </c>
      <c r="E174" t="s">
        <v>792</v>
      </c>
      <c r="F174" t="s">
        <v>803</v>
      </c>
      <c r="G174" t="s">
        <v>810</v>
      </c>
      <c r="H174">
        <v>6</v>
      </c>
      <c r="I174">
        <v>124.69</v>
      </c>
      <c r="J174">
        <v>0.15</v>
      </c>
      <c r="K174">
        <v>635.91999999999996</v>
      </c>
      <c r="L174" t="s">
        <v>816</v>
      </c>
      <c r="N174">
        <f t="shared" si="9"/>
        <v>635.91999999999996</v>
      </c>
      <c r="O174" s="5">
        <f t="shared" si="10"/>
        <v>635.91899999999998</v>
      </c>
      <c r="P174" t="str">
        <f t="shared" si="11"/>
        <v>Same</v>
      </c>
      <c r="S174" t="str">
        <f t="shared" si="8"/>
        <v>Okay</v>
      </c>
    </row>
    <row r="175" spans="1:19" x14ac:dyDescent="0.3">
      <c r="A175" t="s">
        <v>185</v>
      </c>
      <c r="B175" s="2">
        <v>45774</v>
      </c>
      <c r="C175" t="s">
        <v>721</v>
      </c>
      <c r="D175" t="s">
        <v>786</v>
      </c>
      <c r="E175" t="s">
        <v>793</v>
      </c>
      <c r="F175" t="s">
        <v>799</v>
      </c>
      <c r="G175" t="s">
        <v>809</v>
      </c>
      <c r="H175">
        <v>6</v>
      </c>
      <c r="I175">
        <v>53.9</v>
      </c>
      <c r="J175">
        <v>0.1</v>
      </c>
      <c r="K175">
        <v>291.06</v>
      </c>
      <c r="L175" t="s">
        <v>814</v>
      </c>
      <c r="N175">
        <f t="shared" si="9"/>
        <v>291.06</v>
      </c>
      <c r="O175" s="5">
        <f t="shared" si="10"/>
        <v>291.06</v>
      </c>
      <c r="P175" t="str">
        <f t="shared" si="11"/>
        <v>Same</v>
      </c>
      <c r="S175" t="str">
        <f t="shared" si="8"/>
        <v>Okay</v>
      </c>
    </row>
    <row r="176" spans="1:19" x14ac:dyDescent="0.3">
      <c r="A176" t="s">
        <v>186</v>
      </c>
      <c r="B176" s="2">
        <v>45774</v>
      </c>
      <c r="C176" t="s">
        <v>693</v>
      </c>
      <c r="D176" t="s">
        <v>787</v>
      </c>
      <c r="E176" t="s">
        <v>794</v>
      </c>
      <c r="F176" t="s">
        <v>808</v>
      </c>
      <c r="G176" t="s">
        <v>812</v>
      </c>
      <c r="H176">
        <v>8</v>
      </c>
      <c r="I176">
        <v>74.87</v>
      </c>
      <c r="J176">
        <v>0</v>
      </c>
      <c r="K176">
        <v>598.96</v>
      </c>
      <c r="L176" t="s">
        <v>815</v>
      </c>
      <c r="N176">
        <f t="shared" si="9"/>
        <v>598.96</v>
      </c>
      <c r="O176" s="5">
        <f t="shared" si="10"/>
        <v>598.96</v>
      </c>
      <c r="P176" t="str">
        <f t="shared" si="11"/>
        <v>Same</v>
      </c>
      <c r="S176" t="str">
        <f t="shared" si="8"/>
        <v>Okay</v>
      </c>
    </row>
    <row r="177" spans="1:19" x14ac:dyDescent="0.3">
      <c r="A177" t="s">
        <v>187</v>
      </c>
      <c r="B177" s="2">
        <v>45774</v>
      </c>
      <c r="C177" t="s">
        <v>688</v>
      </c>
      <c r="D177" t="s">
        <v>788</v>
      </c>
      <c r="E177" t="s">
        <v>795</v>
      </c>
      <c r="F177" t="s">
        <v>805</v>
      </c>
      <c r="G177" t="s">
        <v>810</v>
      </c>
      <c r="H177">
        <v>7</v>
      </c>
      <c r="I177">
        <v>43.25</v>
      </c>
      <c r="J177">
        <v>0.05</v>
      </c>
      <c r="K177">
        <v>287.61</v>
      </c>
      <c r="L177" t="s">
        <v>814</v>
      </c>
      <c r="N177">
        <f t="shared" si="9"/>
        <v>287.61</v>
      </c>
      <c r="O177" s="5">
        <f t="shared" si="10"/>
        <v>287.61250000000001</v>
      </c>
      <c r="P177" t="str">
        <f t="shared" si="11"/>
        <v>Same</v>
      </c>
      <c r="S177" t="str">
        <f t="shared" si="8"/>
        <v>Okay</v>
      </c>
    </row>
    <row r="178" spans="1:19" x14ac:dyDescent="0.3">
      <c r="A178" t="s">
        <v>188</v>
      </c>
      <c r="B178" s="2">
        <v>45774</v>
      </c>
      <c r="C178" t="s">
        <v>675</v>
      </c>
      <c r="D178" t="s">
        <v>787</v>
      </c>
      <c r="E178" t="s">
        <v>794</v>
      </c>
      <c r="F178" t="s">
        <v>800</v>
      </c>
      <c r="G178" t="s">
        <v>810</v>
      </c>
      <c r="H178">
        <v>1</v>
      </c>
      <c r="I178">
        <v>637.67999999999995</v>
      </c>
      <c r="J178">
        <v>0.1</v>
      </c>
      <c r="K178">
        <v>573.91</v>
      </c>
      <c r="L178" t="s">
        <v>813</v>
      </c>
      <c r="N178">
        <f t="shared" si="9"/>
        <v>573.91</v>
      </c>
      <c r="O178" s="5">
        <f t="shared" si="10"/>
        <v>573.91199999999992</v>
      </c>
      <c r="P178" t="str">
        <f t="shared" si="11"/>
        <v>Same</v>
      </c>
      <c r="S178" t="str">
        <f t="shared" si="8"/>
        <v>Okay</v>
      </c>
    </row>
    <row r="179" spans="1:19" x14ac:dyDescent="0.3">
      <c r="A179" t="s">
        <v>189</v>
      </c>
      <c r="B179" s="2">
        <v>45775</v>
      </c>
      <c r="C179" t="s">
        <v>623</v>
      </c>
      <c r="D179" t="s">
        <v>788</v>
      </c>
      <c r="E179" t="s">
        <v>795</v>
      </c>
      <c r="F179" t="s">
        <v>797</v>
      </c>
      <c r="G179" t="s">
        <v>809</v>
      </c>
      <c r="H179">
        <v>5</v>
      </c>
      <c r="I179">
        <v>208.43</v>
      </c>
      <c r="J179">
        <v>0.05</v>
      </c>
      <c r="K179">
        <v>990.04</v>
      </c>
      <c r="L179" t="s">
        <v>813</v>
      </c>
      <c r="N179">
        <f t="shared" si="9"/>
        <v>990.04</v>
      </c>
      <c r="O179" s="5">
        <f t="shared" si="10"/>
        <v>990.04250000000002</v>
      </c>
      <c r="P179" t="str">
        <f t="shared" si="11"/>
        <v>Same</v>
      </c>
      <c r="S179" t="str">
        <f t="shared" si="8"/>
        <v>Okay</v>
      </c>
    </row>
    <row r="180" spans="1:19" x14ac:dyDescent="0.3">
      <c r="A180" t="s">
        <v>190</v>
      </c>
      <c r="B180" s="2">
        <v>45775</v>
      </c>
      <c r="C180" t="s">
        <v>633</v>
      </c>
      <c r="D180" t="s">
        <v>790</v>
      </c>
      <c r="E180" t="s">
        <v>796</v>
      </c>
      <c r="F180" t="s">
        <v>808</v>
      </c>
      <c r="G180" t="s">
        <v>812</v>
      </c>
      <c r="H180">
        <v>2</v>
      </c>
      <c r="I180">
        <v>76.14</v>
      </c>
      <c r="J180">
        <v>0.25</v>
      </c>
      <c r="K180">
        <v>114.21</v>
      </c>
      <c r="L180" t="s">
        <v>814</v>
      </c>
      <c r="N180">
        <f t="shared" si="9"/>
        <v>114.21</v>
      </c>
      <c r="O180" s="5">
        <f t="shared" si="10"/>
        <v>114.21000000000001</v>
      </c>
      <c r="P180" t="str">
        <f t="shared" si="11"/>
        <v>Same</v>
      </c>
      <c r="S180" t="str">
        <f t="shared" si="8"/>
        <v>Okay</v>
      </c>
    </row>
    <row r="181" spans="1:19" x14ac:dyDescent="0.3">
      <c r="A181" t="s">
        <v>191</v>
      </c>
      <c r="B181" s="2">
        <v>45775</v>
      </c>
      <c r="C181" t="s">
        <v>722</v>
      </c>
      <c r="D181" t="s">
        <v>786</v>
      </c>
      <c r="E181" t="s">
        <v>793</v>
      </c>
      <c r="F181" t="s">
        <v>797</v>
      </c>
      <c r="G181" t="s">
        <v>809</v>
      </c>
      <c r="H181">
        <v>6</v>
      </c>
      <c r="I181">
        <v>229.42</v>
      </c>
      <c r="J181">
        <v>0.1</v>
      </c>
      <c r="K181">
        <v>1238.8699999999999</v>
      </c>
      <c r="L181" t="s">
        <v>813</v>
      </c>
      <c r="N181">
        <f t="shared" si="9"/>
        <v>1238.8699999999999</v>
      </c>
      <c r="O181" s="5">
        <f t="shared" si="10"/>
        <v>1238.8679999999999</v>
      </c>
      <c r="P181" t="str">
        <f t="shared" si="11"/>
        <v>Same</v>
      </c>
      <c r="S181" t="str">
        <f t="shared" si="8"/>
        <v>Okay</v>
      </c>
    </row>
    <row r="182" spans="1:19" x14ac:dyDescent="0.3">
      <c r="A182" t="s">
        <v>192</v>
      </c>
      <c r="B182" s="2">
        <v>45776</v>
      </c>
      <c r="C182" t="s">
        <v>705</v>
      </c>
      <c r="D182" t="s">
        <v>789</v>
      </c>
      <c r="E182" t="s">
        <v>792</v>
      </c>
      <c r="F182" t="s">
        <v>800</v>
      </c>
      <c r="G182" t="s">
        <v>810</v>
      </c>
      <c r="H182">
        <v>1</v>
      </c>
      <c r="I182">
        <v>654.04999999999995</v>
      </c>
      <c r="J182">
        <v>0.25</v>
      </c>
      <c r="K182">
        <v>490.54</v>
      </c>
      <c r="L182" t="s">
        <v>814</v>
      </c>
      <c r="N182">
        <f t="shared" si="9"/>
        <v>490.54</v>
      </c>
      <c r="O182" s="5">
        <f t="shared" si="10"/>
        <v>490.53749999999997</v>
      </c>
      <c r="P182" t="str">
        <f t="shared" si="11"/>
        <v>Same</v>
      </c>
      <c r="S182" t="str">
        <f t="shared" si="8"/>
        <v>Okay</v>
      </c>
    </row>
    <row r="183" spans="1:19" x14ac:dyDescent="0.3">
      <c r="A183" t="s">
        <v>193</v>
      </c>
      <c r="B183" s="2">
        <v>45777</v>
      </c>
      <c r="C183" t="s">
        <v>688</v>
      </c>
      <c r="D183" t="s">
        <v>789</v>
      </c>
      <c r="E183" t="s">
        <v>792</v>
      </c>
      <c r="F183" t="s">
        <v>808</v>
      </c>
      <c r="G183" t="s">
        <v>812</v>
      </c>
      <c r="H183">
        <v>5</v>
      </c>
      <c r="I183">
        <v>80.69</v>
      </c>
      <c r="J183">
        <v>0.05</v>
      </c>
      <c r="K183">
        <v>383.28</v>
      </c>
      <c r="L183" t="s">
        <v>815</v>
      </c>
      <c r="N183">
        <f t="shared" si="9"/>
        <v>383.28</v>
      </c>
      <c r="O183" s="5">
        <f t="shared" si="10"/>
        <v>383.27749999999997</v>
      </c>
      <c r="P183" t="str">
        <f t="shared" si="11"/>
        <v>Same</v>
      </c>
      <c r="S183" t="str">
        <f t="shared" si="8"/>
        <v>Okay</v>
      </c>
    </row>
    <row r="184" spans="1:19" x14ac:dyDescent="0.3">
      <c r="A184" t="s">
        <v>194</v>
      </c>
      <c r="B184" s="2">
        <v>45777</v>
      </c>
      <c r="C184" t="s">
        <v>632</v>
      </c>
      <c r="D184" t="s">
        <v>790</v>
      </c>
      <c r="E184" t="s">
        <v>796</v>
      </c>
      <c r="F184" t="s">
        <v>802</v>
      </c>
      <c r="G184" t="s">
        <v>811</v>
      </c>
      <c r="H184">
        <v>5</v>
      </c>
      <c r="I184">
        <v>272.81</v>
      </c>
      <c r="J184">
        <v>0</v>
      </c>
      <c r="K184">
        <v>1364.05</v>
      </c>
      <c r="L184" t="s">
        <v>814</v>
      </c>
      <c r="N184">
        <f t="shared" si="9"/>
        <v>1364.05</v>
      </c>
      <c r="O184" s="5">
        <f t="shared" si="10"/>
        <v>1364.05</v>
      </c>
      <c r="P184" t="str">
        <f t="shared" si="11"/>
        <v>Same</v>
      </c>
      <c r="S184" t="str">
        <f t="shared" si="8"/>
        <v>Okay</v>
      </c>
    </row>
    <row r="185" spans="1:19" x14ac:dyDescent="0.3">
      <c r="A185" t="s">
        <v>195</v>
      </c>
      <c r="B185" s="2">
        <v>45777</v>
      </c>
      <c r="C185" t="s">
        <v>723</v>
      </c>
      <c r="D185" t="s">
        <v>785</v>
      </c>
      <c r="E185" t="s">
        <v>792</v>
      </c>
      <c r="F185" t="s">
        <v>802</v>
      </c>
      <c r="G185" t="s">
        <v>811</v>
      </c>
      <c r="H185">
        <v>7</v>
      </c>
      <c r="I185">
        <v>249.69</v>
      </c>
      <c r="J185">
        <v>0.1</v>
      </c>
      <c r="K185">
        <v>1573.05</v>
      </c>
      <c r="L185" t="s">
        <v>815</v>
      </c>
      <c r="N185">
        <f t="shared" si="9"/>
        <v>1573.05</v>
      </c>
      <c r="O185" s="5">
        <f t="shared" si="10"/>
        <v>1573.047</v>
      </c>
      <c r="P185" t="str">
        <f t="shared" si="11"/>
        <v>Same</v>
      </c>
      <c r="S185" t="str">
        <f t="shared" si="8"/>
        <v>Okay</v>
      </c>
    </row>
    <row r="186" spans="1:19" x14ac:dyDescent="0.3">
      <c r="A186" t="s">
        <v>196</v>
      </c>
      <c r="B186" s="2">
        <v>45779</v>
      </c>
      <c r="C186" t="s">
        <v>674</v>
      </c>
      <c r="D186" t="s">
        <v>786</v>
      </c>
      <c r="E186" t="s">
        <v>793</v>
      </c>
      <c r="F186" t="s">
        <v>801</v>
      </c>
      <c r="G186" t="s">
        <v>811</v>
      </c>
      <c r="H186">
        <v>6</v>
      </c>
      <c r="I186">
        <v>13.94</v>
      </c>
      <c r="J186">
        <v>0.2</v>
      </c>
      <c r="K186">
        <v>66.91</v>
      </c>
      <c r="L186" t="s">
        <v>815</v>
      </c>
      <c r="N186">
        <f t="shared" si="9"/>
        <v>66.91</v>
      </c>
      <c r="O186" s="5">
        <f t="shared" si="10"/>
        <v>66.912000000000006</v>
      </c>
      <c r="P186" t="str">
        <f t="shared" si="11"/>
        <v>Same</v>
      </c>
      <c r="S186" t="str">
        <f t="shared" si="8"/>
        <v>Okay</v>
      </c>
    </row>
    <row r="187" spans="1:19" x14ac:dyDescent="0.3">
      <c r="A187" t="s">
        <v>197</v>
      </c>
      <c r="B187" s="2">
        <v>45780</v>
      </c>
      <c r="C187" t="s">
        <v>672</v>
      </c>
      <c r="D187" t="s">
        <v>785</v>
      </c>
      <c r="E187" t="s">
        <v>792</v>
      </c>
      <c r="F187" t="s">
        <v>800</v>
      </c>
      <c r="G187" t="s">
        <v>810</v>
      </c>
      <c r="H187">
        <v>5</v>
      </c>
      <c r="I187">
        <v>689.5</v>
      </c>
      <c r="J187">
        <v>0.1</v>
      </c>
      <c r="K187">
        <v>3102.75</v>
      </c>
      <c r="L187" t="s">
        <v>816</v>
      </c>
      <c r="N187">
        <f t="shared" si="9"/>
        <v>3102.75</v>
      </c>
      <c r="O187" s="5">
        <f t="shared" si="10"/>
        <v>3102.75</v>
      </c>
      <c r="P187" t="str">
        <f t="shared" si="11"/>
        <v>Same</v>
      </c>
      <c r="S187" t="str">
        <f t="shared" si="8"/>
        <v>Okay</v>
      </c>
    </row>
    <row r="188" spans="1:19" x14ac:dyDescent="0.3">
      <c r="A188" t="s">
        <v>198</v>
      </c>
      <c r="B188" s="2">
        <v>45780</v>
      </c>
      <c r="C188" t="s">
        <v>721</v>
      </c>
      <c r="D188" t="s">
        <v>786</v>
      </c>
      <c r="E188" t="s">
        <v>793</v>
      </c>
      <c r="F188" t="s">
        <v>800</v>
      </c>
      <c r="G188" t="s">
        <v>810</v>
      </c>
      <c r="H188">
        <v>2</v>
      </c>
      <c r="I188">
        <v>606.77</v>
      </c>
      <c r="J188">
        <v>0</v>
      </c>
      <c r="K188">
        <v>1213.54</v>
      </c>
      <c r="L188" t="s">
        <v>815</v>
      </c>
      <c r="N188">
        <f t="shared" si="9"/>
        <v>1213.54</v>
      </c>
      <c r="O188" s="5">
        <f t="shared" si="10"/>
        <v>1213.54</v>
      </c>
      <c r="P188" t="str">
        <f t="shared" si="11"/>
        <v>Same</v>
      </c>
      <c r="S188" t="str">
        <f t="shared" si="8"/>
        <v>Okay</v>
      </c>
    </row>
    <row r="189" spans="1:19" x14ac:dyDescent="0.3">
      <c r="A189" t="s">
        <v>199</v>
      </c>
      <c r="B189" s="2">
        <v>45781</v>
      </c>
      <c r="C189" t="s">
        <v>724</v>
      </c>
      <c r="D189" t="s">
        <v>789</v>
      </c>
      <c r="E189" t="s">
        <v>792</v>
      </c>
      <c r="F189" t="s">
        <v>801</v>
      </c>
      <c r="G189" t="s">
        <v>811</v>
      </c>
      <c r="H189">
        <v>3</v>
      </c>
      <c r="I189">
        <v>14.12</v>
      </c>
      <c r="J189">
        <v>0.1</v>
      </c>
      <c r="K189">
        <v>38.119999999999997</v>
      </c>
      <c r="L189" t="s">
        <v>814</v>
      </c>
      <c r="N189">
        <f t="shared" si="9"/>
        <v>38.119999999999997</v>
      </c>
      <c r="O189" s="5">
        <f t="shared" si="10"/>
        <v>38.124000000000002</v>
      </c>
      <c r="P189" t="str">
        <f t="shared" si="11"/>
        <v>Same</v>
      </c>
      <c r="S189" t="str">
        <f t="shared" si="8"/>
        <v>Okay</v>
      </c>
    </row>
    <row r="190" spans="1:19" x14ac:dyDescent="0.3">
      <c r="A190" t="s">
        <v>200</v>
      </c>
      <c r="B190" s="2">
        <v>45783</v>
      </c>
      <c r="C190" t="s">
        <v>725</v>
      </c>
      <c r="D190" t="s">
        <v>787</v>
      </c>
      <c r="E190" t="s">
        <v>794</v>
      </c>
      <c r="F190" t="s">
        <v>799</v>
      </c>
      <c r="G190" t="s">
        <v>809</v>
      </c>
      <c r="H190">
        <v>6</v>
      </c>
      <c r="I190">
        <v>57.26</v>
      </c>
      <c r="J190">
        <v>0.05</v>
      </c>
      <c r="K190">
        <v>326.38</v>
      </c>
      <c r="L190" t="s">
        <v>814</v>
      </c>
      <c r="N190">
        <f t="shared" si="9"/>
        <v>326.38</v>
      </c>
      <c r="O190" s="5">
        <f t="shared" si="10"/>
        <v>326.38200000000001</v>
      </c>
      <c r="P190" t="str">
        <f t="shared" si="11"/>
        <v>Same</v>
      </c>
      <c r="S190" t="str">
        <f t="shared" si="8"/>
        <v>Okay</v>
      </c>
    </row>
    <row r="191" spans="1:19" x14ac:dyDescent="0.3">
      <c r="A191" t="s">
        <v>201</v>
      </c>
      <c r="B191" s="2">
        <v>45783</v>
      </c>
      <c r="C191" t="s">
        <v>684</v>
      </c>
      <c r="D191" t="s">
        <v>788</v>
      </c>
      <c r="E191" t="s">
        <v>795</v>
      </c>
      <c r="F191" t="s">
        <v>801</v>
      </c>
      <c r="G191" t="s">
        <v>811</v>
      </c>
      <c r="H191">
        <v>6</v>
      </c>
      <c r="I191">
        <v>16.260000000000002</v>
      </c>
      <c r="J191">
        <v>0.15</v>
      </c>
      <c r="K191">
        <v>82.93</v>
      </c>
      <c r="L191" t="s">
        <v>813</v>
      </c>
      <c r="N191">
        <f t="shared" si="9"/>
        <v>82.93</v>
      </c>
      <c r="O191" s="5">
        <f t="shared" si="10"/>
        <v>82.926000000000002</v>
      </c>
      <c r="P191" t="str">
        <f t="shared" si="11"/>
        <v>Same</v>
      </c>
      <c r="S191" t="str">
        <f t="shared" si="8"/>
        <v>Okay</v>
      </c>
    </row>
    <row r="192" spans="1:19" x14ac:dyDescent="0.3">
      <c r="A192" t="s">
        <v>202</v>
      </c>
      <c r="B192" s="2">
        <v>45784</v>
      </c>
      <c r="C192" t="s">
        <v>616</v>
      </c>
      <c r="D192" t="s">
        <v>785</v>
      </c>
      <c r="E192" t="s">
        <v>792</v>
      </c>
      <c r="F192" t="s">
        <v>802</v>
      </c>
      <c r="G192" t="s">
        <v>811</v>
      </c>
      <c r="H192">
        <v>4</v>
      </c>
      <c r="I192">
        <v>240.55</v>
      </c>
      <c r="J192">
        <v>0</v>
      </c>
      <c r="K192">
        <v>962.2</v>
      </c>
      <c r="L192" t="s">
        <v>814</v>
      </c>
      <c r="N192">
        <f t="shared" si="9"/>
        <v>962.2</v>
      </c>
      <c r="O192" s="5">
        <f t="shared" si="10"/>
        <v>962.2</v>
      </c>
      <c r="P192" t="str">
        <f t="shared" si="11"/>
        <v>Same</v>
      </c>
      <c r="S192" t="str">
        <f t="shared" si="8"/>
        <v>Okay</v>
      </c>
    </row>
    <row r="193" spans="1:19" x14ac:dyDescent="0.3">
      <c r="A193" t="s">
        <v>203</v>
      </c>
      <c r="B193" s="2">
        <v>45784</v>
      </c>
      <c r="C193" t="s">
        <v>621</v>
      </c>
      <c r="D193" t="s">
        <v>789</v>
      </c>
      <c r="E193" t="s">
        <v>792</v>
      </c>
      <c r="F193" t="s">
        <v>807</v>
      </c>
      <c r="G193" t="s">
        <v>810</v>
      </c>
      <c r="H193">
        <v>8</v>
      </c>
      <c r="I193">
        <v>944.69</v>
      </c>
      <c r="J193">
        <v>0</v>
      </c>
      <c r="K193">
        <v>7557.52</v>
      </c>
      <c r="L193" t="s">
        <v>814</v>
      </c>
      <c r="N193">
        <f t="shared" si="9"/>
        <v>7557.52</v>
      </c>
      <c r="O193" s="5">
        <f t="shared" si="10"/>
        <v>7557.52</v>
      </c>
      <c r="P193" t="str">
        <f t="shared" si="11"/>
        <v>Same</v>
      </c>
      <c r="S193" t="str">
        <f t="shared" si="8"/>
        <v>Okay</v>
      </c>
    </row>
    <row r="194" spans="1:19" x14ac:dyDescent="0.3">
      <c r="A194" t="s">
        <v>204</v>
      </c>
      <c r="B194" s="2">
        <v>45785</v>
      </c>
      <c r="C194" t="s">
        <v>672</v>
      </c>
      <c r="D194" t="s">
        <v>788</v>
      </c>
      <c r="E194" t="s">
        <v>795</v>
      </c>
      <c r="F194" t="s">
        <v>808</v>
      </c>
      <c r="G194" t="s">
        <v>812</v>
      </c>
      <c r="H194">
        <v>1</v>
      </c>
      <c r="I194">
        <v>77.33</v>
      </c>
      <c r="J194">
        <v>0.3</v>
      </c>
      <c r="K194">
        <v>54.13</v>
      </c>
      <c r="L194" t="s">
        <v>814</v>
      </c>
      <c r="N194">
        <f t="shared" si="9"/>
        <v>54.13</v>
      </c>
      <c r="O194" s="5">
        <f t="shared" si="10"/>
        <v>54.130999999999993</v>
      </c>
      <c r="P194" t="str">
        <f t="shared" si="11"/>
        <v>Same</v>
      </c>
      <c r="S194" t="str">
        <f t="shared" ref="S194:S257" si="12">IF(OR(B194&lt;DATE(2025,1,1),B194&gt;DATE(2025,12,31)),"Strange", "Okay")</f>
        <v>Okay</v>
      </c>
    </row>
    <row r="195" spans="1:19" x14ac:dyDescent="0.3">
      <c r="A195" t="s">
        <v>205</v>
      </c>
      <c r="B195" s="2">
        <v>45786</v>
      </c>
      <c r="C195" t="s">
        <v>685</v>
      </c>
      <c r="D195" t="s">
        <v>790</v>
      </c>
      <c r="E195" t="s">
        <v>796</v>
      </c>
      <c r="F195" t="s">
        <v>803</v>
      </c>
      <c r="G195" t="s">
        <v>810</v>
      </c>
      <c r="H195">
        <v>3</v>
      </c>
      <c r="I195">
        <v>114.65</v>
      </c>
      <c r="J195">
        <v>0.3</v>
      </c>
      <c r="K195">
        <v>240.76</v>
      </c>
      <c r="L195" t="s">
        <v>814</v>
      </c>
      <c r="N195">
        <f t="shared" ref="N195:N258" si="13">ROUND(H195*I195*(1-J195),2)</f>
        <v>240.77</v>
      </c>
      <c r="O195" s="5">
        <f t="shared" ref="O195:O258" si="14">H195*I195*(1-J195)</f>
        <v>240.76500000000001</v>
      </c>
      <c r="P195" t="str">
        <f t="shared" ref="P195:P258" si="15">IF(ROUND(O195,2)=ROUND(K195,2),"Same","Different")</f>
        <v>Different</v>
      </c>
      <c r="S195" t="str">
        <f t="shared" si="12"/>
        <v>Okay</v>
      </c>
    </row>
    <row r="196" spans="1:19" x14ac:dyDescent="0.3">
      <c r="A196" t="s">
        <v>206</v>
      </c>
      <c r="B196" s="2">
        <v>45786</v>
      </c>
      <c r="C196" t="s">
        <v>724</v>
      </c>
      <c r="D196" t="s">
        <v>787</v>
      </c>
      <c r="E196" t="s">
        <v>794</v>
      </c>
      <c r="F196" t="s">
        <v>804</v>
      </c>
      <c r="G196" t="s">
        <v>809</v>
      </c>
      <c r="H196">
        <v>4</v>
      </c>
      <c r="I196">
        <v>324.33999999999997</v>
      </c>
      <c r="J196">
        <v>0</v>
      </c>
      <c r="K196">
        <v>1297.3599999999999</v>
      </c>
      <c r="L196" t="s">
        <v>813</v>
      </c>
      <c r="N196">
        <f t="shared" si="13"/>
        <v>1297.3599999999999</v>
      </c>
      <c r="O196" s="5">
        <f t="shared" si="14"/>
        <v>1297.3599999999999</v>
      </c>
      <c r="P196" t="str">
        <f t="shared" si="15"/>
        <v>Same</v>
      </c>
      <c r="S196" t="str">
        <f t="shared" si="12"/>
        <v>Okay</v>
      </c>
    </row>
    <row r="197" spans="1:19" x14ac:dyDescent="0.3">
      <c r="A197" t="s">
        <v>207</v>
      </c>
      <c r="B197" s="2">
        <v>45787</v>
      </c>
      <c r="C197" t="s">
        <v>726</v>
      </c>
      <c r="D197" t="s">
        <v>785</v>
      </c>
      <c r="E197" t="s">
        <v>792</v>
      </c>
      <c r="F197" t="s">
        <v>807</v>
      </c>
      <c r="G197" t="s">
        <v>810</v>
      </c>
      <c r="H197">
        <v>2</v>
      </c>
      <c r="I197">
        <v>882.79</v>
      </c>
      <c r="J197">
        <v>0.15</v>
      </c>
      <c r="K197">
        <v>1500.74</v>
      </c>
      <c r="L197" t="s">
        <v>815</v>
      </c>
      <c r="N197">
        <f t="shared" si="13"/>
        <v>1500.74</v>
      </c>
      <c r="O197" s="5">
        <f t="shared" si="14"/>
        <v>1500.7429999999999</v>
      </c>
      <c r="P197" t="str">
        <f t="shared" si="15"/>
        <v>Same</v>
      </c>
      <c r="S197" t="str">
        <f t="shared" si="12"/>
        <v>Okay</v>
      </c>
    </row>
    <row r="198" spans="1:19" x14ac:dyDescent="0.3">
      <c r="A198" t="s">
        <v>208</v>
      </c>
      <c r="B198" s="2">
        <v>45788</v>
      </c>
      <c r="C198" t="s">
        <v>702</v>
      </c>
      <c r="D198" t="s">
        <v>788</v>
      </c>
      <c r="E198" t="s">
        <v>795</v>
      </c>
      <c r="F198" t="s">
        <v>808</v>
      </c>
      <c r="G198" t="s">
        <v>812</v>
      </c>
      <c r="H198">
        <v>3</v>
      </c>
      <c r="I198">
        <v>75.92</v>
      </c>
      <c r="J198">
        <v>0.1</v>
      </c>
      <c r="K198">
        <v>204.98</v>
      </c>
      <c r="L198" t="s">
        <v>816</v>
      </c>
      <c r="N198">
        <f t="shared" si="13"/>
        <v>204.98</v>
      </c>
      <c r="O198" s="5">
        <f t="shared" si="14"/>
        <v>204.98400000000001</v>
      </c>
      <c r="P198" t="str">
        <f t="shared" si="15"/>
        <v>Same</v>
      </c>
      <c r="S198" t="str">
        <f t="shared" si="12"/>
        <v>Okay</v>
      </c>
    </row>
    <row r="199" spans="1:19" x14ac:dyDescent="0.3">
      <c r="A199" t="s">
        <v>209</v>
      </c>
      <c r="B199" s="2">
        <v>45790</v>
      </c>
      <c r="C199" t="s">
        <v>727</v>
      </c>
      <c r="D199" t="s">
        <v>786</v>
      </c>
      <c r="E199" t="s">
        <v>793</v>
      </c>
      <c r="F199" t="s">
        <v>801</v>
      </c>
      <c r="G199" t="s">
        <v>811</v>
      </c>
      <c r="H199">
        <v>7</v>
      </c>
      <c r="I199">
        <v>16.09</v>
      </c>
      <c r="J199">
        <v>0</v>
      </c>
      <c r="K199">
        <v>112.63</v>
      </c>
      <c r="L199" t="s">
        <v>816</v>
      </c>
      <c r="N199">
        <f t="shared" si="13"/>
        <v>112.63</v>
      </c>
      <c r="O199" s="5">
        <f t="shared" si="14"/>
        <v>112.63</v>
      </c>
      <c r="P199" t="str">
        <f t="shared" si="15"/>
        <v>Same</v>
      </c>
      <c r="S199" t="str">
        <f t="shared" si="12"/>
        <v>Okay</v>
      </c>
    </row>
    <row r="200" spans="1:19" x14ac:dyDescent="0.3">
      <c r="A200" t="s">
        <v>210</v>
      </c>
      <c r="B200" s="2">
        <v>45790</v>
      </c>
      <c r="C200" t="s">
        <v>646</v>
      </c>
      <c r="D200" t="s">
        <v>787</v>
      </c>
      <c r="E200" t="s">
        <v>794</v>
      </c>
      <c r="F200" t="s">
        <v>807</v>
      </c>
      <c r="G200" t="s">
        <v>810</v>
      </c>
      <c r="H200">
        <v>4</v>
      </c>
      <c r="I200">
        <v>939.48</v>
      </c>
      <c r="J200">
        <v>0.2</v>
      </c>
      <c r="K200">
        <v>3006.34</v>
      </c>
      <c r="L200" t="s">
        <v>814</v>
      </c>
      <c r="N200">
        <f t="shared" si="13"/>
        <v>3006.34</v>
      </c>
      <c r="O200" s="5">
        <f t="shared" si="14"/>
        <v>3006.3360000000002</v>
      </c>
      <c r="P200" t="str">
        <f t="shared" si="15"/>
        <v>Same</v>
      </c>
      <c r="S200" t="str">
        <f t="shared" si="12"/>
        <v>Okay</v>
      </c>
    </row>
    <row r="201" spans="1:19" x14ac:dyDescent="0.3">
      <c r="A201" t="s">
        <v>211</v>
      </c>
      <c r="B201" s="2">
        <v>45791</v>
      </c>
      <c r="C201" t="s">
        <v>701</v>
      </c>
      <c r="D201" t="s">
        <v>785</v>
      </c>
      <c r="E201" t="s">
        <v>792</v>
      </c>
      <c r="F201" t="s">
        <v>802</v>
      </c>
      <c r="G201" t="s">
        <v>811</v>
      </c>
      <c r="H201">
        <v>5</v>
      </c>
      <c r="I201">
        <v>243.52</v>
      </c>
      <c r="J201">
        <v>0.05</v>
      </c>
      <c r="K201">
        <v>1156.72</v>
      </c>
      <c r="L201" t="s">
        <v>815</v>
      </c>
      <c r="N201">
        <f t="shared" si="13"/>
        <v>1156.72</v>
      </c>
      <c r="O201" s="5">
        <f t="shared" si="14"/>
        <v>1156.72</v>
      </c>
      <c r="P201" t="str">
        <f t="shared" si="15"/>
        <v>Same</v>
      </c>
      <c r="S201" t="str">
        <f t="shared" si="12"/>
        <v>Okay</v>
      </c>
    </row>
    <row r="202" spans="1:19" x14ac:dyDescent="0.3">
      <c r="A202" t="s">
        <v>212</v>
      </c>
      <c r="B202" s="2">
        <v>45792</v>
      </c>
      <c r="C202" t="s">
        <v>664</v>
      </c>
      <c r="D202" t="s">
        <v>788</v>
      </c>
      <c r="E202" t="s">
        <v>795</v>
      </c>
      <c r="F202" t="s">
        <v>805</v>
      </c>
      <c r="G202" t="s">
        <v>810</v>
      </c>
      <c r="H202">
        <v>4</v>
      </c>
      <c r="I202">
        <v>46.91</v>
      </c>
      <c r="J202">
        <v>0.05</v>
      </c>
      <c r="K202">
        <v>178.26</v>
      </c>
      <c r="L202" t="s">
        <v>814</v>
      </c>
      <c r="N202">
        <f t="shared" si="13"/>
        <v>178.26</v>
      </c>
      <c r="O202" s="5">
        <f t="shared" si="14"/>
        <v>178.25799999999998</v>
      </c>
      <c r="P202" t="str">
        <f t="shared" si="15"/>
        <v>Same</v>
      </c>
      <c r="S202" t="str">
        <f t="shared" si="12"/>
        <v>Okay</v>
      </c>
    </row>
    <row r="203" spans="1:19" x14ac:dyDescent="0.3">
      <c r="A203" t="s">
        <v>213</v>
      </c>
      <c r="B203" s="2">
        <v>45793</v>
      </c>
      <c r="C203" t="s">
        <v>724</v>
      </c>
      <c r="D203" t="s">
        <v>785</v>
      </c>
      <c r="E203" t="s">
        <v>792</v>
      </c>
      <c r="F203" t="s">
        <v>802</v>
      </c>
      <c r="G203" t="s">
        <v>811</v>
      </c>
      <c r="H203">
        <v>4</v>
      </c>
      <c r="I203">
        <v>250.91</v>
      </c>
      <c r="J203">
        <v>0.15</v>
      </c>
      <c r="K203">
        <v>853.09</v>
      </c>
      <c r="L203" t="s">
        <v>814</v>
      </c>
      <c r="N203">
        <f t="shared" si="13"/>
        <v>853.09</v>
      </c>
      <c r="O203" s="5">
        <f t="shared" si="14"/>
        <v>853.09399999999994</v>
      </c>
      <c r="P203" t="str">
        <f t="shared" si="15"/>
        <v>Same</v>
      </c>
      <c r="S203" t="str">
        <f t="shared" si="12"/>
        <v>Okay</v>
      </c>
    </row>
    <row r="204" spans="1:19" x14ac:dyDescent="0.3">
      <c r="A204" t="s">
        <v>214</v>
      </c>
      <c r="B204" s="2">
        <v>45793</v>
      </c>
      <c r="C204" t="s">
        <v>648</v>
      </c>
      <c r="D204" t="s">
        <v>785</v>
      </c>
      <c r="E204" t="s">
        <v>792</v>
      </c>
      <c r="F204" t="s">
        <v>802</v>
      </c>
      <c r="G204" t="s">
        <v>811</v>
      </c>
      <c r="H204">
        <v>6</v>
      </c>
      <c r="I204">
        <v>246.13</v>
      </c>
      <c r="J204">
        <v>0.2</v>
      </c>
      <c r="K204">
        <v>1181.42</v>
      </c>
      <c r="L204" t="s">
        <v>814</v>
      </c>
      <c r="N204">
        <f t="shared" si="13"/>
        <v>1181.42</v>
      </c>
      <c r="O204" s="5">
        <f t="shared" si="14"/>
        <v>1181.424</v>
      </c>
      <c r="P204" t="str">
        <f t="shared" si="15"/>
        <v>Same</v>
      </c>
      <c r="S204" t="str">
        <f t="shared" si="12"/>
        <v>Okay</v>
      </c>
    </row>
    <row r="205" spans="1:19" x14ac:dyDescent="0.3">
      <c r="A205" t="s">
        <v>215</v>
      </c>
      <c r="B205" s="2">
        <v>45793</v>
      </c>
      <c r="C205" t="s">
        <v>665</v>
      </c>
      <c r="D205" t="s">
        <v>785</v>
      </c>
      <c r="E205" t="s">
        <v>792</v>
      </c>
      <c r="F205" t="s">
        <v>799</v>
      </c>
      <c r="G205" t="s">
        <v>809</v>
      </c>
      <c r="H205">
        <v>2</v>
      </c>
      <c r="I205">
        <v>58</v>
      </c>
      <c r="J205">
        <v>0.1</v>
      </c>
      <c r="K205">
        <v>104.4</v>
      </c>
      <c r="L205" t="s">
        <v>814</v>
      </c>
      <c r="N205">
        <f t="shared" si="13"/>
        <v>104.4</v>
      </c>
      <c r="O205" s="5">
        <f t="shared" si="14"/>
        <v>104.4</v>
      </c>
      <c r="P205" t="str">
        <f t="shared" si="15"/>
        <v>Same</v>
      </c>
      <c r="S205" t="str">
        <f t="shared" si="12"/>
        <v>Okay</v>
      </c>
    </row>
    <row r="206" spans="1:19" x14ac:dyDescent="0.3">
      <c r="A206" t="s">
        <v>216</v>
      </c>
      <c r="B206" s="2">
        <v>45793</v>
      </c>
      <c r="C206" t="s">
        <v>641</v>
      </c>
      <c r="D206" t="s">
        <v>789</v>
      </c>
      <c r="E206" t="s">
        <v>792</v>
      </c>
      <c r="F206" t="s">
        <v>801</v>
      </c>
      <c r="G206" t="s">
        <v>811</v>
      </c>
      <c r="H206">
        <v>2</v>
      </c>
      <c r="I206">
        <v>13.94</v>
      </c>
      <c r="J206">
        <v>0.1</v>
      </c>
      <c r="K206">
        <v>25.09</v>
      </c>
      <c r="L206" t="s">
        <v>814</v>
      </c>
      <c r="N206">
        <f t="shared" si="13"/>
        <v>25.09</v>
      </c>
      <c r="O206" s="5">
        <f t="shared" si="14"/>
        <v>25.091999999999999</v>
      </c>
      <c r="P206" t="str">
        <f t="shared" si="15"/>
        <v>Same</v>
      </c>
      <c r="S206" t="str">
        <f t="shared" si="12"/>
        <v>Okay</v>
      </c>
    </row>
    <row r="207" spans="1:19" x14ac:dyDescent="0.3">
      <c r="A207" t="s">
        <v>217</v>
      </c>
      <c r="B207" s="2">
        <v>45794</v>
      </c>
      <c r="C207" t="s">
        <v>728</v>
      </c>
      <c r="D207" t="s">
        <v>786</v>
      </c>
      <c r="E207" t="s">
        <v>793</v>
      </c>
      <c r="F207" t="s">
        <v>799</v>
      </c>
      <c r="G207" t="s">
        <v>809</v>
      </c>
      <c r="H207">
        <v>8</v>
      </c>
      <c r="I207">
        <v>59.83</v>
      </c>
      <c r="J207">
        <v>0.1</v>
      </c>
      <c r="K207">
        <v>430.78</v>
      </c>
      <c r="L207" t="s">
        <v>814</v>
      </c>
      <c r="N207">
        <f t="shared" si="13"/>
        <v>430.78</v>
      </c>
      <c r="O207" s="5">
        <f t="shared" si="14"/>
        <v>430.77600000000001</v>
      </c>
      <c r="P207" t="str">
        <f t="shared" si="15"/>
        <v>Same</v>
      </c>
      <c r="S207" t="str">
        <f t="shared" si="12"/>
        <v>Okay</v>
      </c>
    </row>
    <row r="208" spans="1:19" x14ac:dyDescent="0.3">
      <c r="A208" t="s">
        <v>218</v>
      </c>
      <c r="B208" s="2">
        <v>45794</v>
      </c>
      <c r="C208" t="s">
        <v>699</v>
      </c>
      <c r="D208" t="s">
        <v>789</v>
      </c>
      <c r="E208" t="s">
        <v>792</v>
      </c>
      <c r="F208" t="s">
        <v>807</v>
      </c>
      <c r="G208" t="s">
        <v>810</v>
      </c>
      <c r="H208">
        <v>5</v>
      </c>
      <c r="I208">
        <v>959.51</v>
      </c>
      <c r="J208">
        <v>0.25</v>
      </c>
      <c r="K208">
        <v>3598.16</v>
      </c>
      <c r="L208" t="s">
        <v>814</v>
      </c>
      <c r="N208">
        <f t="shared" si="13"/>
        <v>3598.16</v>
      </c>
      <c r="O208" s="5">
        <f t="shared" si="14"/>
        <v>3598.1625000000004</v>
      </c>
      <c r="P208" t="str">
        <f t="shared" si="15"/>
        <v>Same</v>
      </c>
      <c r="S208" t="str">
        <f t="shared" si="12"/>
        <v>Okay</v>
      </c>
    </row>
    <row r="209" spans="1:19" x14ac:dyDescent="0.3">
      <c r="A209" t="s">
        <v>219</v>
      </c>
      <c r="B209" s="2">
        <v>45795</v>
      </c>
      <c r="C209" t="s">
        <v>664</v>
      </c>
      <c r="D209" t="s">
        <v>787</v>
      </c>
      <c r="E209" t="s">
        <v>794</v>
      </c>
      <c r="F209" t="s">
        <v>799</v>
      </c>
      <c r="G209" t="s">
        <v>809</v>
      </c>
      <c r="H209">
        <v>6</v>
      </c>
      <c r="I209">
        <v>56.34</v>
      </c>
      <c r="J209">
        <v>0.2</v>
      </c>
      <c r="K209">
        <v>270.43</v>
      </c>
      <c r="L209" t="s">
        <v>816</v>
      </c>
      <c r="N209">
        <f t="shared" si="13"/>
        <v>270.43</v>
      </c>
      <c r="O209" s="5">
        <f t="shared" si="14"/>
        <v>270.43200000000002</v>
      </c>
      <c r="P209" t="str">
        <f t="shared" si="15"/>
        <v>Same</v>
      </c>
      <c r="S209" t="str">
        <f t="shared" si="12"/>
        <v>Okay</v>
      </c>
    </row>
    <row r="210" spans="1:19" x14ac:dyDescent="0.3">
      <c r="A210" t="s">
        <v>220</v>
      </c>
      <c r="B210" s="2">
        <v>45796</v>
      </c>
      <c r="C210" t="s">
        <v>729</v>
      </c>
      <c r="D210" t="s">
        <v>785</v>
      </c>
      <c r="E210" t="s">
        <v>792</v>
      </c>
      <c r="F210" t="s">
        <v>802</v>
      </c>
      <c r="G210" t="s">
        <v>811</v>
      </c>
      <c r="H210">
        <v>2</v>
      </c>
      <c r="I210">
        <v>226.03</v>
      </c>
      <c r="J210">
        <v>0.05</v>
      </c>
      <c r="K210">
        <v>429.46</v>
      </c>
      <c r="L210" t="s">
        <v>815</v>
      </c>
      <c r="N210">
        <f t="shared" si="13"/>
        <v>429.46</v>
      </c>
      <c r="O210" s="5">
        <f t="shared" si="14"/>
        <v>429.45699999999999</v>
      </c>
      <c r="P210" t="str">
        <f t="shared" si="15"/>
        <v>Same</v>
      </c>
      <c r="S210" t="str">
        <f t="shared" si="12"/>
        <v>Okay</v>
      </c>
    </row>
    <row r="211" spans="1:19" x14ac:dyDescent="0.3">
      <c r="A211" t="s">
        <v>221</v>
      </c>
      <c r="B211" s="2">
        <v>45796</v>
      </c>
      <c r="C211" t="s">
        <v>626</v>
      </c>
      <c r="D211" t="s">
        <v>785</v>
      </c>
      <c r="E211" t="s">
        <v>792</v>
      </c>
      <c r="F211" t="s">
        <v>798</v>
      </c>
      <c r="G211" t="s">
        <v>810</v>
      </c>
      <c r="H211">
        <v>1</v>
      </c>
      <c r="I211">
        <v>316.33</v>
      </c>
      <c r="J211">
        <v>0</v>
      </c>
      <c r="K211">
        <v>316.33</v>
      </c>
      <c r="L211" t="s">
        <v>814</v>
      </c>
      <c r="N211">
        <f t="shared" si="13"/>
        <v>316.33</v>
      </c>
      <c r="O211" s="5">
        <f t="shared" si="14"/>
        <v>316.33</v>
      </c>
      <c r="P211" t="str">
        <f t="shared" si="15"/>
        <v>Same</v>
      </c>
      <c r="S211" t="str">
        <f t="shared" si="12"/>
        <v>Okay</v>
      </c>
    </row>
    <row r="212" spans="1:19" x14ac:dyDescent="0.3">
      <c r="A212" t="s">
        <v>222</v>
      </c>
      <c r="B212" s="2">
        <v>45797</v>
      </c>
      <c r="C212" t="s">
        <v>730</v>
      </c>
      <c r="D212" t="s">
        <v>786</v>
      </c>
      <c r="E212" t="s">
        <v>793</v>
      </c>
      <c r="F212" t="s">
        <v>805</v>
      </c>
      <c r="G212" t="s">
        <v>810</v>
      </c>
      <c r="H212">
        <v>4</v>
      </c>
      <c r="I212">
        <v>45.27</v>
      </c>
      <c r="J212">
        <v>0.05</v>
      </c>
      <c r="K212">
        <v>172.03</v>
      </c>
      <c r="L212" t="s">
        <v>814</v>
      </c>
      <c r="N212">
        <f t="shared" si="13"/>
        <v>172.03</v>
      </c>
      <c r="O212" s="5">
        <f t="shared" si="14"/>
        <v>172.02600000000001</v>
      </c>
      <c r="P212" t="str">
        <f t="shared" si="15"/>
        <v>Same</v>
      </c>
      <c r="S212" t="str">
        <f t="shared" si="12"/>
        <v>Okay</v>
      </c>
    </row>
    <row r="213" spans="1:19" x14ac:dyDescent="0.3">
      <c r="A213" t="s">
        <v>223</v>
      </c>
      <c r="B213" s="2">
        <v>45798</v>
      </c>
      <c r="C213" t="s">
        <v>665</v>
      </c>
      <c r="D213" t="s">
        <v>788</v>
      </c>
      <c r="E213" t="s">
        <v>795</v>
      </c>
      <c r="F213" t="s">
        <v>807</v>
      </c>
      <c r="G213" t="s">
        <v>810</v>
      </c>
      <c r="H213">
        <v>7</v>
      </c>
      <c r="I213">
        <v>855.96</v>
      </c>
      <c r="J213">
        <v>0</v>
      </c>
      <c r="K213">
        <v>5991.72</v>
      </c>
      <c r="L213" t="s">
        <v>814</v>
      </c>
      <c r="N213">
        <f t="shared" si="13"/>
        <v>5991.72</v>
      </c>
      <c r="O213" s="5">
        <f t="shared" si="14"/>
        <v>5991.72</v>
      </c>
      <c r="P213" t="str">
        <f t="shared" si="15"/>
        <v>Same</v>
      </c>
      <c r="S213" t="str">
        <f t="shared" si="12"/>
        <v>Okay</v>
      </c>
    </row>
    <row r="214" spans="1:19" x14ac:dyDescent="0.3">
      <c r="A214" t="s">
        <v>224</v>
      </c>
      <c r="B214" s="2">
        <v>45798</v>
      </c>
      <c r="C214" t="s">
        <v>725</v>
      </c>
      <c r="D214" t="s">
        <v>787</v>
      </c>
      <c r="E214" t="s">
        <v>794</v>
      </c>
      <c r="F214" t="s">
        <v>801</v>
      </c>
      <c r="G214" t="s">
        <v>811</v>
      </c>
      <c r="H214">
        <v>6</v>
      </c>
      <c r="I214">
        <v>14.79</v>
      </c>
      <c r="J214">
        <v>0</v>
      </c>
      <c r="K214">
        <v>88.74</v>
      </c>
      <c r="L214" t="s">
        <v>815</v>
      </c>
      <c r="N214">
        <f t="shared" si="13"/>
        <v>88.74</v>
      </c>
      <c r="O214" s="5">
        <f t="shared" si="14"/>
        <v>88.74</v>
      </c>
      <c r="P214" t="str">
        <f t="shared" si="15"/>
        <v>Same</v>
      </c>
      <c r="S214" t="str">
        <f t="shared" si="12"/>
        <v>Okay</v>
      </c>
    </row>
    <row r="215" spans="1:19" x14ac:dyDescent="0.3">
      <c r="A215" t="s">
        <v>225</v>
      </c>
      <c r="B215" s="2">
        <v>45798</v>
      </c>
      <c r="C215" t="s">
        <v>731</v>
      </c>
      <c r="D215" t="s">
        <v>787</v>
      </c>
      <c r="E215" t="s">
        <v>794</v>
      </c>
      <c r="F215" t="s">
        <v>806</v>
      </c>
      <c r="G215" t="s">
        <v>810</v>
      </c>
      <c r="H215">
        <v>6</v>
      </c>
      <c r="I215">
        <v>81.77</v>
      </c>
      <c r="J215">
        <v>0.05</v>
      </c>
      <c r="K215">
        <v>466.09</v>
      </c>
      <c r="L215" t="s">
        <v>814</v>
      </c>
      <c r="N215">
        <f t="shared" si="13"/>
        <v>466.09</v>
      </c>
      <c r="O215" s="5">
        <f t="shared" si="14"/>
        <v>466.089</v>
      </c>
      <c r="P215" t="str">
        <f t="shared" si="15"/>
        <v>Same</v>
      </c>
      <c r="S215" t="str">
        <f t="shared" si="12"/>
        <v>Okay</v>
      </c>
    </row>
    <row r="216" spans="1:19" x14ac:dyDescent="0.3">
      <c r="A216" t="s">
        <v>226</v>
      </c>
      <c r="B216" s="2">
        <v>45799</v>
      </c>
      <c r="C216" t="s">
        <v>614</v>
      </c>
      <c r="D216" t="s">
        <v>789</v>
      </c>
      <c r="E216" t="s">
        <v>792</v>
      </c>
      <c r="F216" t="s">
        <v>806</v>
      </c>
      <c r="G216" t="s">
        <v>810</v>
      </c>
      <c r="H216">
        <v>4</v>
      </c>
      <c r="I216">
        <v>72.680000000000007</v>
      </c>
      <c r="J216">
        <v>0.1</v>
      </c>
      <c r="K216">
        <v>261.64999999999998</v>
      </c>
      <c r="L216" t="s">
        <v>815</v>
      </c>
      <c r="N216">
        <f t="shared" si="13"/>
        <v>261.64999999999998</v>
      </c>
      <c r="O216" s="5">
        <f t="shared" si="14"/>
        <v>261.64800000000002</v>
      </c>
      <c r="P216" t="str">
        <f t="shared" si="15"/>
        <v>Same</v>
      </c>
      <c r="S216" t="str">
        <f t="shared" si="12"/>
        <v>Okay</v>
      </c>
    </row>
    <row r="217" spans="1:19" x14ac:dyDescent="0.3">
      <c r="A217" t="s">
        <v>227</v>
      </c>
      <c r="B217" s="2">
        <v>45802</v>
      </c>
      <c r="C217" t="s">
        <v>732</v>
      </c>
      <c r="D217" t="s">
        <v>790</v>
      </c>
      <c r="E217" t="s">
        <v>796</v>
      </c>
      <c r="F217" t="s">
        <v>804</v>
      </c>
      <c r="G217" t="s">
        <v>809</v>
      </c>
      <c r="H217">
        <v>7</v>
      </c>
      <c r="I217">
        <v>368.83</v>
      </c>
      <c r="J217">
        <v>0.25</v>
      </c>
      <c r="K217">
        <v>1936.36</v>
      </c>
      <c r="L217" t="s">
        <v>813</v>
      </c>
      <c r="N217">
        <f t="shared" si="13"/>
        <v>1936.36</v>
      </c>
      <c r="O217" s="5">
        <f t="shared" si="14"/>
        <v>1936.3575000000001</v>
      </c>
      <c r="P217" t="str">
        <f t="shared" si="15"/>
        <v>Same</v>
      </c>
      <c r="S217" t="str">
        <f t="shared" si="12"/>
        <v>Okay</v>
      </c>
    </row>
    <row r="218" spans="1:19" x14ac:dyDescent="0.3">
      <c r="A218" t="s">
        <v>228</v>
      </c>
      <c r="B218" s="2">
        <v>45802</v>
      </c>
      <c r="C218" t="s">
        <v>687</v>
      </c>
      <c r="D218" t="s">
        <v>789</v>
      </c>
      <c r="E218" t="s">
        <v>792</v>
      </c>
      <c r="F218" t="s">
        <v>807</v>
      </c>
      <c r="G218" t="s">
        <v>810</v>
      </c>
      <c r="H218">
        <v>7</v>
      </c>
      <c r="I218">
        <v>986.15</v>
      </c>
      <c r="J218">
        <v>0.05</v>
      </c>
      <c r="K218">
        <v>6557.9</v>
      </c>
      <c r="L218" t="s">
        <v>814</v>
      </c>
      <c r="N218">
        <f t="shared" si="13"/>
        <v>6557.9</v>
      </c>
      <c r="O218" s="5">
        <f t="shared" si="14"/>
        <v>6557.8975</v>
      </c>
      <c r="P218" t="str">
        <f t="shared" si="15"/>
        <v>Same</v>
      </c>
      <c r="S218" t="str">
        <f t="shared" si="12"/>
        <v>Okay</v>
      </c>
    </row>
    <row r="219" spans="1:19" x14ac:dyDescent="0.3">
      <c r="A219" t="s">
        <v>229</v>
      </c>
      <c r="B219" s="2">
        <v>45803</v>
      </c>
      <c r="C219" t="s">
        <v>704</v>
      </c>
      <c r="D219" t="s">
        <v>785</v>
      </c>
      <c r="E219" t="s">
        <v>792</v>
      </c>
      <c r="F219" t="s">
        <v>808</v>
      </c>
      <c r="G219" t="s">
        <v>812</v>
      </c>
      <c r="H219">
        <v>8</v>
      </c>
      <c r="I219">
        <v>73.28</v>
      </c>
      <c r="J219">
        <v>0.2</v>
      </c>
      <c r="K219">
        <v>468.99</v>
      </c>
      <c r="L219" t="s">
        <v>815</v>
      </c>
      <c r="N219">
        <f t="shared" si="13"/>
        <v>468.99</v>
      </c>
      <c r="O219" s="5">
        <f t="shared" si="14"/>
        <v>468.99200000000002</v>
      </c>
      <c r="P219" t="str">
        <f t="shared" si="15"/>
        <v>Same</v>
      </c>
      <c r="S219" t="str">
        <f t="shared" si="12"/>
        <v>Okay</v>
      </c>
    </row>
    <row r="220" spans="1:19" x14ac:dyDescent="0.3">
      <c r="A220" t="s">
        <v>230</v>
      </c>
      <c r="B220" s="2">
        <v>45803</v>
      </c>
      <c r="C220" t="s">
        <v>672</v>
      </c>
      <c r="D220" t="s">
        <v>789</v>
      </c>
      <c r="E220" t="s">
        <v>792</v>
      </c>
      <c r="F220" t="s">
        <v>805</v>
      </c>
      <c r="G220" t="s">
        <v>810</v>
      </c>
      <c r="H220">
        <v>6</v>
      </c>
      <c r="I220">
        <v>41.78</v>
      </c>
      <c r="J220">
        <v>0.05</v>
      </c>
      <c r="K220">
        <v>238.15</v>
      </c>
      <c r="L220" t="s">
        <v>815</v>
      </c>
      <c r="N220">
        <f t="shared" si="13"/>
        <v>238.15</v>
      </c>
      <c r="O220" s="5">
        <f t="shared" si="14"/>
        <v>238.14599999999999</v>
      </c>
      <c r="P220" t="str">
        <f t="shared" si="15"/>
        <v>Same</v>
      </c>
      <c r="S220" t="str">
        <f t="shared" si="12"/>
        <v>Okay</v>
      </c>
    </row>
    <row r="221" spans="1:19" x14ac:dyDescent="0.3">
      <c r="A221" t="s">
        <v>231</v>
      </c>
      <c r="B221" s="2">
        <v>45803</v>
      </c>
      <c r="C221" t="s">
        <v>683</v>
      </c>
      <c r="D221" t="s">
        <v>790</v>
      </c>
      <c r="E221" t="s">
        <v>796</v>
      </c>
      <c r="F221" t="s">
        <v>801</v>
      </c>
      <c r="G221" t="s">
        <v>811</v>
      </c>
      <c r="H221">
        <v>5</v>
      </c>
      <c r="I221">
        <v>13.99</v>
      </c>
      <c r="J221">
        <v>0.1</v>
      </c>
      <c r="K221">
        <v>62.96</v>
      </c>
      <c r="L221" t="s">
        <v>813</v>
      </c>
      <c r="N221">
        <f t="shared" si="13"/>
        <v>62.96</v>
      </c>
      <c r="O221" s="5">
        <f t="shared" si="14"/>
        <v>62.955000000000005</v>
      </c>
      <c r="P221" t="str">
        <f t="shared" si="15"/>
        <v>Same</v>
      </c>
      <c r="S221" t="str">
        <f t="shared" si="12"/>
        <v>Okay</v>
      </c>
    </row>
    <row r="222" spans="1:19" x14ac:dyDescent="0.3">
      <c r="A222" t="s">
        <v>232</v>
      </c>
      <c r="B222" s="2">
        <v>45803</v>
      </c>
      <c r="C222" t="s">
        <v>689</v>
      </c>
      <c r="D222" t="s">
        <v>786</v>
      </c>
      <c r="E222" t="s">
        <v>793</v>
      </c>
      <c r="F222" t="s">
        <v>803</v>
      </c>
      <c r="G222" t="s">
        <v>810</v>
      </c>
      <c r="H222">
        <v>8</v>
      </c>
      <c r="I222">
        <v>116.96</v>
      </c>
      <c r="J222">
        <v>0</v>
      </c>
      <c r="K222">
        <v>935.68</v>
      </c>
      <c r="L222" t="s">
        <v>813</v>
      </c>
      <c r="N222">
        <f t="shared" si="13"/>
        <v>935.68</v>
      </c>
      <c r="O222" s="5">
        <f t="shared" si="14"/>
        <v>935.68</v>
      </c>
      <c r="P222" t="str">
        <f t="shared" si="15"/>
        <v>Same</v>
      </c>
      <c r="S222" t="str">
        <f t="shared" si="12"/>
        <v>Okay</v>
      </c>
    </row>
    <row r="223" spans="1:19" x14ac:dyDescent="0.3">
      <c r="A223" t="s">
        <v>233</v>
      </c>
      <c r="B223" s="2">
        <v>45804</v>
      </c>
      <c r="C223" t="s">
        <v>686</v>
      </c>
      <c r="D223" t="s">
        <v>785</v>
      </c>
      <c r="E223" t="s">
        <v>792</v>
      </c>
      <c r="F223" t="s">
        <v>799</v>
      </c>
      <c r="G223" t="s">
        <v>809</v>
      </c>
      <c r="H223">
        <v>3</v>
      </c>
      <c r="I223">
        <v>52.64</v>
      </c>
      <c r="J223">
        <v>0.1</v>
      </c>
      <c r="K223">
        <v>142.13</v>
      </c>
      <c r="L223" t="s">
        <v>815</v>
      </c>
      <c r="N223">
        <f t="shared" si="13"/>
        <v>142.13</v>
      </c>
      <c r="O223" s="5">
        <f t="shared" si="14"/>
        <v>142.12800000000001</v>
      </c>
      <c r="P223" t="str">
        <f t="shared" si="15"/>
        <v>Same</v>
      </c>
      <c r="S223" t="str">
        <f t="shared" si="12"/>
        <v>Okay</v>
      </c>
    </row>
    <row r="224" spans="1:19" x14ac:dyDescent="0.3">
      <c r="A224" t="s">
        <v>234</v>
      </c>
      <c r="B224" s="2">
        <v>45804</v>
      </c>
      <c r="C224" t="s">
        <v>695</v>
      </c>
      <c r="D224" t="s">
        <v>787</v>
      </c>
      <c r="E224" t="s">
        <v>794</v>
      </c>
      <c r="F224" t="s">
        <v>804</v>
      </c>
      <c r="G224" t="s">
        <v>809</v>
      </c>
      <c r="H224">
        <v>3</v>
      </c>
      <c r="I224">
        <v>348.76</v>
      </c>
      <c r="J224">
        <v>0</v>
      </c>
      <c r="K224">
        <v>1046.28</v>
      </c>
      <c r="L224" t="s">
        <v>816</v>
      </c>
      <c r="N224">
        <f t="shared" si="13"/>
        <v>1046.28</v>
      </c>
      <c r="O224" s="5">
        <f t="shared" si="14"/>
        <v>1046.28</v>
      </c>
      <c r="P224" t="str">
        <f t="shared" si="15"/>
        <v>Same</v>
      </c>
      <c r="S224" t="str">
        <f t="shared" si="12"/>
        <v>Okay</v>
      </c>
    </row>
    <row r="225" spans="1:19" x14ac:dyDescent="0.3">
      <c r="A225" t="s">
        <v>235</v>
      </c>
      <c r="B225" s="2">
        <v>45804</v>
      </c>
      <c r="C225" t="s">
        <v>687</v>
      </c>
      <c r="D225" t="s">
        <v>787</v>
      </c>
      <c r="E225" t="s">
        <v>794</v>
      </c>
      <c r="F225" t="s">
        <v>806</v>
      </c>
      <c r="G225" t="s">
        <v>810</v>
      </c>
      <c r="H225">
        <v>4</v>
      </c>
      <c r="I225">
        <v>86.57</v>
      </c>
      <c r="J225">
        <v>0.1</v>
      </c>
      <c r="K225">
        <v>311.64999999999998</v>
      </c>
      <c r="L225" t="s">
        <v>814</v>
      </c>
      <c r="N225">
        <f t="shared" si="13"/>
        <v>311.64999999999998</v>
      </c>
      <c r="O225" s="5">
        <f t="shared" si="14"/>
        <v>311.65199999999999</v>
      </c>
      <c r="P225" t="str">
        <f t="shared" si="15"/>
        <v>Same</v>
      </c>
      <c r="S225" t="str">
        <f t="shared" si="12"/>
        <v>Okay</v>
      </c>
    </row>
    <row r="226" spans="1:19" x14ac:dyDescent="0.3">
      <c r="A226" t="s">
        <v>236</v>
      </c>
      <c r="B226" s="2">
        <v>45805</v>
      </c>
      <c r="C226" t="s">
        <v>613</v>
      </c>
      <c r="D226" t="s">
        <v>789</v>
      </c>
      <c r="E226" t="s">
        <v>792</v>
      </c>
      <c r="F226" t="s">
        <v>798</v>
      </c>
      <c r="G226" t="s">
        <v>810</v>
      </c>
      <c r="H226">
        <v>6</v>
      </c>
      <c r="I226">
        <v>323.99</v>
      </c>
      <c r="J226">
        <v>0</v>
      </c>
      <c r="K226">
        <v>1943.94</v>
      </c>
      <c r="L226" t="s">
        <v>815</v>
      </c>
      <c r="N226">
        <f t="shared" si="13"/>
        <v>1943.94</v>
      </c>
      <c r="O226" s="5">
        <f t="shared" si="14"/>
        <v>1943.94</v>
      </c>
      <c r="P226" t="str">
        <f t="shared" si="15"/>
        <v>Same</v>
      </c>
      <c r="S226" t="str">
        <f t="shared" si="12"/>
        <v>Okay</v>
      </c>
    </row>
    <row r="227" spans="1:19" x14ac:dyDescent="0.3">
      <c r="A227" t="s">
        <v>237</v>
      </c>
      <c r="B227" s="2">
        <v>45806</v>
      </c>
      <c r="C227" t="s">
        <v>631</v>
      </c>
      <c r="D227" t="s">
        <v>789</v>
      </c>
      <c r="E227" t="s">
        <v>792</v>
      </c>
      <c r="F227" t="s">
        <v>800</v>
      </c>
      <c r="G227" t="s">
        <v>810</v>
      </c>
      <c r="H227">
        <v>7</v>
      </c>
      <c r="I227">
        <v>665.41</v>
      </c>
      <c r="J227">
        <v>0.15</v>
      </c>
      <c r="K227">
        <v>3959.19</v>
      </c>
      <c r="L227" t="s">
        <v>815</v>
      </c>
      <c r="N227">
        <f t="shared" si="13"/>
        <v>3959.19</v>
      </c>
      <c r="O227" s="5">
        <f t="shared" si="14"/>
        <v>3959.1895</v>
      </c>
      <c r="P227" t="str">
        <f t="shared" si="15"/>
        <v>Same</v>
      </c>
      <c r="S227" t="str">
        <f t="shared" si="12"/>
        <v>Okay</v>
      </c>
    </row>
    <row r="228" spans="1:19" x14ac:dyDescent="0.3">
      <c r="A228" t="s">
        <v>238</v>
      </c>
      <c r="B228" s="2">
        <v>45806</v>
      </c>
      <c r="C228" t="s">
        <v>733</v>
      </c>
      <c r="D228" t="s">
        <v>789</v>
      </c>
      <c r="E228" t="s">
        <v>792</v>
      </c>
      <c r="F228" t="s">
        <v>808</v>
      </c>
      <c r="G228" t="s">
        <v>812</v>
      </c>
      <c r="H228">
        <v>4</v>
      </c>
      <c r="I228">
        <v>82.27</v>
      </c>
      <c r="J228">
        <v>0.15</v>
      </c>
      <c r="K228">
        <v>279.72000000000003</v>
      </c>
      <c r="L228" t="s">
        <v>814</v>
      </c>
      <c r="N228">
        <f t="shared" si="13"/>
        <v>279.72000000000003</v>
      </c>
      <c r="O228" s="5">
        <f t="shared" si="14"/>
        <v>279.71799999999996</v>
      </c>
      <c r="P228" t="str">
        <f t="shared" si="15"/>
        <v>Same</v>
      </c>
      <c r="S228" t="str">
        <f t="shared" si="12"/>
        <v>Okay</v>
      </c>
    </row>
    <row r="229" spans="1:19" x14ac:dyDescent="0.3">
      <c r="A229" t="s">
        <v>239</v>
      </c>
      <c r="B229" s="2">
        <v>45806</v>
      </c>
      <c r="C229" t="s">
        <v>643</v>
      </c>
      <c r="D229" t="s">
        <v>789</v>
      </c>
      <c r="E229" t="s">
        <v>792</v>
      </c>
      <c r="F229" t="s">
        <v>806</v>
      </c>
      <c r="G229" t="s">
        <v>810</v>
      </c>
      <c r="H229">
        <v>7</v>
      </c>
      <c r="I229">
        <v>74.010000000000005</v>
      </c>
      <c r="J229">
        <v>0.15</v>
      </c>
      <c r="K229">
        <v>440.36</v>
      </c>
      <c r="L229" t="s">
        <v>816</v>
      </c>
      <c r="N229">
        <f t="shared" si="13"/>
        <v>440.36</v>
      </c>
      <c r="O229" s="5">
        <f t="shared" si="14"/>
        <v>440.35950000000003</v>
      </c>
      <c r="P229" t="str">
        <f t="shared" si="15"/>
        <v>Same</v>
      </c>
      <c r="S229" t="str">
        <f t="shared" si="12"/>
        <v>Okay</v>
      </c>
    </row>
    <row r="230" spans="1:19" x14ac:dyDescent="0.3">
      <c r="A230" t="s">
        <v>240</v>
      </c>
      <c r="B230" s="2">
        <v>45809</v>
      </c>
      <c r="C230" t="s">
        <v>726</v>
      </c>
      <c r="D230" t="s">
        <v>790</v>
      </c>
      <c r="E230" t="s">
        <v>796</v>
      </c>
      <c r="F230" t="s">
        <v>798</v>
      </c>
      <c r="G230" t="s">
        <v>810</v>
      </c>
      <c r="H230">
        <v>1</v>
      </c>
      <c r="I230">
        <v>286.73</v>
      </c>
      <c r="J230">
        <v>0.15</v>
      </c>
      <c r="K230">
        <v>243.72</v>
      </c>
      <c r="L230" t="s">
        <v>813</v>
      </c>
      <c r="N230">
        <f t="shared" si="13"/>
        <v>243.72</v>
      </c>
      <c r="O230" s="5">
        <f t="shared" si="14"/>
        <v>243.72050000000002</v>
      </c>
      <c r="P230" t="str">
        <f t="shared" si="15"/>
        <v>Same</v>
      </c>
      <c r="S230" t="str">
        <f t="shared" si="12"/>
        <v>Okay</v>
      </c>
    </row>
    <row r="231" spans="1:19" x14ac:dyDescent="0.3">
      <c r="A231" t="s">
        <v>241</v>
      </c>
      <c r="B231" s="2">
        <v>45810</v>
      </c>
      <c r="C231" t="s">
        <v>631</v>
      </c>
      <c r="D231" t="s">
        <v>787</v>
      </c>
      <c r="E231" t="s">
        <v>794</v>
      </c>
      <c r="F231" t="s">
        <v>806</v>
      </c>
      <c r="G231" t="s">
        <v>810</v>
      </c>
      <c r="H231">
        <v>8</v>
      </c>
      <c r="I231">
        <v>85.55</v>
      </c>
      <c r="J231">
        <v>0.25</v>
      </c>
      <c r="K231">
        <v>513.29999999999995</v>
      </c>
      <c r="L231" t="s">
        <v>813</v>
      </c>
      <c r="N231">
        <f t="shared" si="13"/>
        <v>513.29999999999995</v>
      </c>
      <c r="O231" s="5">
        <f t="shared" si="14"/>
        <v>513.29999999999995</v>
      </c>
      <c r="P231" t="str">
        <f t="shared" si="15"/>
        <v>Same</v>
      </c>
      <c r="S231" t="str">
        <f t="shared" si="12"/>
        <v>Okay</v>
      </c>
    </row>
    <row r="232" spans="1:19" x14ac:dyDescent="0.3">
      <c r="A232" t="s">
        <v>242</v>
      </c>
      <c r="B232" s="2">
        <v>45810</v>
      </c>
      <c r="C232" t="s">
        <v>671</v>
      </c>
      <c r="D232" t="s">
        <v>788</v>
      </c>
      <c r="E232" t="s">
        <v>795</v>
      </c>
      <c r="F232" t="s">
        <v>801</v>
      </c>
      <c r="G232" t="s">
        <v>811</v>
      </c>
      <c r="H232">
        <v>2</v>
      </c>
      <c r="I232">
        <v>14.51</v>
      </c>
      <c r="J232">
        <v>0.25</v>
      </c>
      <c r="K232">
        <v>21.76</v>
      </c>
      <c r="L232" t="s">
        <v>814</v>
      </c>
      <c r="N232">
        <f t="shared" si="13"/>
        <v>21.77</v>
      </c>
      <c r="O232" s="5">
        <f t="shared" si="14"/>
        <v>21.765000000000001</v>
      </c>
      <c r="P232" t="str">
        <f t="shared" si="15"/>
        <v>Different</v>
      </c>
      <c r="S232" t="str">
        <f t="shared" si="12"/>
        <v>Okay</v>
      </c>
    </row>
    <row r="233" spans="1:19" x14ac:dyDescent="0.3">
      <c r="A233" t="s">
        <v>243</v>
      </c>
      <c r="B233" s="2">
        <v>45811</v>
      </c>
      <c r="C233" t="s">
        <v>701</v>
      </c>
      <c r="D233" t="s">
        <v>785</v>
      </c>
      <c r="E233" t="s">
        <v>792</v>
      </c>
      <c r="F233" t="s">
        <v>799</v>
      </c>
      <c r="G233" t="s">
        <v>809</v>
      </c>
      <c r="H233">
        <v>1</v>
      </c>
      <c r="I233">
        <v>52.99</v>
      </c>
      <c r="J233">
        <v>0</v>
      </c>
      <c r="K233">
        <v>52.99</v>
      </c>
      <c r="L233" t="s">
        <v>815</v>
      </c>
      <c r="N233">
        <f t="shared" si="13"/>
        <v>52.99</v>
      </c>
      <c r="O233" s="5">
        <f t="shared" si="14"/>
        <v>52.99</v>
      </c>
      <c r="P233" t="str">
        <f t="shared" si="15"/>
        <v>Same</v>
      </c>
      <c r="S233" t="str">
        <f t="shared" si="12"/>
        <v>Okay</v>
      </c>
    </row>
    <row r="234" spans="1:19" x14ac:dyDescent="0.3">
      <c r="A234" t="s">
        <v>244</v>
      </c>
      <c r="B234" s="2">
        <v>45812</v>
      </c>
      <c r="C234" t="s">
        <v>734</v>
      </c>
      <c r="D234" t="s">
        <v>790</v>
      </c>
      <c r="E234" t="s">
        <v>796</v>
      </c>
      <c r="F234" t="s">
        <v>806</v>
      </c>
      <c r="G234" t="s">
        <v>810</v>
      </c>
      <c r="H234">
        <v>8</v>
      </c>
      <c r="I234">
        <v>80.09</v>
      </c>
      <c r="J234">
        <v>0.25</v>
      </c>
      <c r="K234">
        <v>480.54</v>
      </c>
      <c r="L234" t="s">
        <v>814</v>
      </c>
      <c r="N234">
        <f t="shared" si="13"/>
        <v>480.54</v>
      </c>
      <c r="O234" s="5">
        <f t="shared" si="14"/>
        <v>480.54</v>
      </c>
      <c r="P234" t="str">
        <f t="shared" si="15"/>
        <v>Same</v>
      </c>
      <c r="S234" t="str">
        <f t="shared" si="12"/>
        <v>Okay</v>
      </c>
    </row>
    <row r="235" spans="1:19" x14ac:dyDescent="0.3">
      <c r="A235" t="s">
        <v>245</v>
      </c>
      <c r="B235" s="2">
        <v>45813</v>
      </c>
      <c r="C235" t="s">
        <v>735</v>
      </c>
      <c r="D235" t="s">
        <v>789</v>
      </c>
      <c r="E235" t="s">
        <v>792</v>
      </c>
      <c r="F235" t="s">
        <v>805</v>
      </c>
      <c r="G235" t="s">
        <v>810</v>
      </c>
      <c r="H235">
        <v>6</v>
      </c>
      <c r="I235">
        <v>46.85</v>
      </c>
      <c r="J235">
        <v>0.45</v>
      </c>
      <c r="K235">
        <v>238.94</v>
      </c>
      <c r="L235" t="s">
        <v>814</v>
      </c>
      <c r="N235">
        <f t="shared" si="13"/>
        <v>154.61000000000001</v>
      </c>
      <c r="O235" s="5">
        <f t="shared" si="14"/>
        <v>154.60500000000002</v>
      </c>
      <c r="P235" t="str">
        <f t="shared" si="15"/>
        <v>Different</v>
      </c>
      <c r="S235" t="str">
        <f t="shared" si="12"/>
        <v>Okay</v>
      </c>
    </row>
    <row r="236" spans="1:19" x14ac:dyDescent="0.3">
      <c r="A236" t="s">
        <v>246</v>
      </c>
      <c r="B236" s="2">
        <v>45813</v>
      </c>
      <c r="C236" t="s">
        <v>705</v>
      </c>
      <c r="D236" t="s">
        <v>785</v>
      </c>
      <c r="E236" t="s">
        <v>792</v>
      </c>
      <c r="F236" t="s">
        <v>797</v>
      </c>
      <c r="G236" t="s">
        <v>809</v>
      </c>
      <c r="H236">
        <v>8</v>
      </c>
      <c r="I236">
        <v>221.02</v>
      </c>
      <c r="J236">
        <v>0.15</v>
      </c>
      <c r="K236">
        <v>1502.94</v>
      </c>
      <c r="L236" t="s">
        <v>816</v>
      </c>
      <c r="N236">
        <f t="shared" si="13"/>
        <v>1502.94</v>
      </c>
      <c r="O236" s="5">
        <f t="shared" si="14"/>
        <v>1502.9359999999999</v>
      </c>
      <c r="P236" t="str">
        <f t="shared" si="15"/>
        <v>Same</v>
      </c>
      <c r="S236" t="str">
        <f t="shared" si="12"/>
        <v>Okay</v>
      </c>
    </row>
    <row r="237" spans="1:19" x14ac:dyDescent="0.3">
      <c r="A237" t="s">
        <v>247</v>
      </c>
      <c r="B237" s="2">
        <v>45814</v>
      </c>
      <c r="C237" t="s">
        <v>622</v>
      </c>
      <c r="D237" t="s">
        <v>789</v>
      </c>
      <c r="E237" t="s">
        <v>792</v>
      </c>
      <c r="F237" t="s">
        <v>800</v>
      </c>
      <c r="G237" t="s">
        <v>810</v>
      </c>
      <c r="H237">
        <v>7</v>
      </c>
      <c r="I237">
        <v>641.16</v>
      </c>
      <c r="J237">
        <v>0.3</v>
      </c>
      <c r="K237">
        <v>3141.68</v>
      </c>
      <c r="L237" t="s">
        <v>814</v>
      </c>
      <c r="N237">
        <f t="shared" si="13"/>
        <v>3141.68</v>
      </c>
      <c r="O237" s="5">
        <f t="shared" si="14"/>
        <v>3141.6839999999997</v>
      </c>
      <c r="P237" t="str">
        <f t="shared" si="15"/>
        <v>Same</v>
      </c>
      <c r="S237" t="str">
        <f t="shared" si="12"/>
        <v>Okay</v>
      </c>
    </row>
    <row r="238" spans="1:19" x14ac:dyDescent="0.3">
      <c r="A238" t="s">
        <v>248</v>
      </c>
      <c r="B238" s="2">
        <v>45815</v>
      </c>
      <c r="C238" t="s">
        <v>640</v>
      </c>
      <c r="D238" t="s">
        <v>789</v>
      </c>
      <c r="E238" t="s">
        <v>792</v>
      </c>
      <c r="F238" t="s">
        <v>799</v>
      </c>
      <c r="G238" t="s">
        <v>809</v>
      </c>
      <c r="H238">
        <v>7</v>
      </c>
      <c r="I238">
        <v>53.87</v>
      </c>
      <c r="J238">
        <v>0.1</v>
      </c>
      <c r="K238">
        <v>339.38</v>
      </c>
      <c r="L238" t="s">
        <v>815</v>
      </c>
      <c r="N238">
        <f t="shared" si="13"/>
        <v>339.38</v>
      </c>
      <c r="O238" s="5">
        <f t="shared" si="14"/>
        <v>339.38099999999997</v>
      </c>
      <c r="P238" t="str">
        <f t="shared" si="15"/>
        <v>Same</v>
      </c>
      <c r="S238" t="str">
        <f t="shared" si="12"/>
        <v>Okay</v>
      </c>
    </row>
    <row r="239" spans="1:19" x14ac:dyDescent="0.3">
      <c r="A239" t="s">
        <v>249</v>
      </c>
      <c r="B239" s="2">
        <v>45816</v>
      </c>
      <c r="C239" t="s">
        <v>642</v>
      </c>
      <c r="D239" t="s">
        <v>789</v>
      </c>
      <c r="E239" t="s">
        <v>792</v>
      </c>
      <c r="F239" t="s">
        <v>797</v>
      </c>
      <c r="G239" t="s">
        <v>809</v>
      </c>
      <c r="H239">
        <v>4</v>
      </c>
      <c r="I239">
        <v>200.32</v>
      </c>
      <c r="J239">
        <v>0.1</v>
      </c>
      <c r="K239">
        <v>721.15</v>
      </c>
      <c r="L239" t="s">
        <v>815</v>
      </c>
      <c r="N239">
        <f t="shared" si="13"/>
        <v>721.15</v>
      </c>
      <c r="O239" s="5">
        <f t="shared" si="14"/>
        <v>721.15200000000004</v>
      </c>
      <c r="P239" t="str">
        <f t="shared" si="15"/>
        <v>Same</v>
      </c>
      <c r="S239" t="str">
        <f t="shared" si="12"/>
        <v>Okay</v>
      </c>
    </row>
    <row r="240" spans="1:19" x14ac:dyDescent="0.3">
      <c r="A240" t="s">
        <v>250</v>
      </c>
      <c r="B240" s="2">
        <v>45817</v>
      </c>
      <c r="C240" t="s">
        <v>655</v>
      </c>
      <c r="D240" t="s">
        <v>785</v>
      </c>
      <c r="E240" t="s">
        <v>792</v>
      </c>
      <c r="F240" t="s">
        <v>807</v>
      </c>
      <c r="G240" t="s">
        <v>810</v>
      </c>
      <c r="H240">
        <v>6</v>
      </c>
      <c r="I240">
        <v>814.25</v>
      </c>
      <c r="J240">
        <v>0.15</v>
      </c>
      <c r="K240">
        <v>4152.68</v>
      </c>
      <c r="L240" t="s">
        <v>815</v>
      </c>
      <c r="N240">
        <f t="shared" si="13"/>
        <v>4152.68</v>
      </c>
      <c r="O240" s="5">
        <f t="shared" si="14"/>
        <v>4152.6750000000002</v>
      </c>
      <c r="P240" t="str">
        <f t="shared" si="15"/>
        <v>Same</v>
      </c>
      <c r="S240" t="str">
        <f t="shared" si="12"/>
        <v>Okay</v>
      </c>
    </row>
    <row r="241" spans="1:19" x14ac:dyDescent="0.3">
      <c r="A241" t="s">
        <v>251</v>
      </c>
      <c r="B241" s="2">
        <v>45817</v>
      </c>
      <c r="C241" t="s">
        <v>653</v>
      </c>
      <c r="D241" t="s">
        <v>787</v>
      </c>
      <c r="E241" t="s">
        <v>794</v>
      </c>
      <c r="F241" t="s">
        <v>797</v>
      </c>
      <c r="G241" t="s">
        <v>809</v>
      </c>
      <c r="H241">
        <v>8</v>
      </c>
      <c r="I241">
        <v>201.11</v>
      </c>
      <c r="J241">
        <v>0.15</v>
      </c>
      <c r="K241">
        <v>1367.55</v>
      </c>
      <c r="L241" t="s">
        <v>814</v>
      </c>
      <c r="N241">
        <f t="shared" si="13"/>
        <v>1367.55</v>
      </c>
      <c r="O241" s="5">
        <f t="shared" si="14"/>
        <v>1367.548</v>
      </c>
      <c r="P241" t="str">
        <f t="shared" si="15"/>
        <v>Same</v>
      </c>
      <c r="S241" t="str">
        <f t="shared" si="12"/>
        <v>Okay</v>
      </c>
    </row>
    <row r="242" spans="1:19" x14ac:dyDescent="0.3">
      <c r="A242" t="s">
        <v>252</v>
      </c>
      <c r="B242" s="2">
        <v>45817</v>
      </c>
      <c r="C242" t="s">
        <v>736</v>
      </c>
      <c r="D242" t="s">
        <v>785</v>
      </c>
      <c r="E242" t="s">
        <v>792</v>
      </c>
      <c r="F242" t="s">
        <v>799</v>
      </c>
      <c r="G242" t="s">
        <v>809</v>
      </c>
      <c r="H242">
        <v>5</v>
      </c>
      <c r="I242">
        <v>59.8</v>
      </c>
      <c r="J242">
        <v>0.2</v>
      </c>
      <c r="K242">
        <v>239.2</v>
      </c>
      <c r="L242" t="s">
        <v>814</v>
      </c>
      <c r="N242">
        <f t="shared" si="13"/>
        <v>239.2</v>
      </c>
      <c r="O242" s="5">
        <f t="shared" si="14"/>
        <v>239.20000000000002</v>
      </c>
      <c r="P242" t="str">
        <f t="shared" si="15"/>
        <v>Same</v>
      </c>
      <c r="S242" t="str">
        <f t="shared" si="12"/>
        <v>Okay</v>
      </c>
    </row>
    <row r="243" spans="1:19" x14ac:dyDescent="0.3">
      <c r="A243" t="s">
        <v>253</v>
      </c>
      <c r="B243" s="2">
        <v>45817</v>
      </c>
      <c r="C243" t="s">
        <v>666</v>
      </c>
      <c r="D243" t="s">
        <v>785</v>
      </c>
      <c r="E243" t="s">
        <v>792</v>
      </c>
      <c r="F243" t="s">
        <v>805</v>
      </c>
      <c r="G243" t="s">
        <v>810</v>
      </c>
      <c r="H243">
        <v>6</v>
      </c>
      <c r="I243">
        <v>44.08</v>
      </c>
      <c r="J243">
        <v>0.25</v>
      </c>
      <c r="K243">
        <v>198.36</v>
      </c>
      <c r="L243" t="s">
        <v>816</v>
      </c>
      <c r="N243">
        <f t="shared" si="13"/>
        <v>198.36</v>
      </c>
      <c r="O243" s="5">
        <f t="shared" si="14"/>
        <v>198.36</v>
      </c>
      <c r="P243" t="str">
        <f t="shared" si="15"/>
        <v>Same</v>
      </c>
      <c r="S243" t="str">
        <f t="shared" si="12"/>
        <v>Okay</v>
      </c>
    </row>
    <row r="244" spans="1:19" x14ac:dyDescent="0.3">
      <c r="A244" t="s">
        <v>254</v>
      </c>
      <c r="B244" s="2">
        <v>45818</v>
      </c>
      <c r="C244" t="s">
        <v>733</v>
      </c>
      <c r="D244" t="s">
        <v>789</v>
      </c>
      <c r="E244" t="s">
        <v>792</v>
      </c>
      <c r="F244" t="s">
        <v>804</v>
      </c>
      <c r="G244" t="s">
        <v>809</v>
      </c>
      <c r="H244">
        <v>4</v>
      </c>
      <c r="I244">
        <v>358.65</v>
      </c>
      <c r="J244">
        <v>0</v>
      </c>
      <c r="K244">
        <v>1434.6</v>
      </c>
      <c r="L244" t="s">
        <v>813</v>
      </c>
      <c r="N244">
        <f t="shared" si="13"/>
        <v>1434.6</v>
      </c>
      <c r="O244" s="5">
        <f t="shared" si="14"/>
        <v>1434.6</v>
      </c>
      <c r="P244" t="str">
        <f t="shared" si="15"/>
        <v>Same</v>
      </c>
      <c r="S244" t="str">
        <f t="shared" si="12"/>
        <v>Okay</v>
      </c>
    </row>
    <row r="245" spans="1:19" x14ac:dyDescent="0.3">
      <c r="A245" t="s">
        <v>255</v>
      </c>
      <c r="B245" s="2">
        <v>45818</v>
      </c>
      <c r="C245" t="s">
        <v>698</v>
      </c>
      <c r="D245" t="s">
        <v>789</v>
      </c>
      <c r="E245" t="s">
        <v>792</v>
      </c>
      <c r="F245" t="s">
        <v>800</v>
      </c>
      <c r="G245" t="s">
        <v>810</v>
      </c>
      <c r="H245">
        <v>8</v>
      </c>
      <c r="I245">
        <v>631.13</v>
      </c>
      <c r="J245">
        <v>0.1</v>
      </c>
      <c r="K245">
        <v>4544.1400000000003</v>
      </c>
      <c r="L245" t="s">
        <v>814</v>
      </c>
      <c r="N245">
        <f t="shared" si="13"/>
        <v>4544.1400000000003</v>
      </c>
      <c r="O245" s="5">
        <f t="shared" si="14"/>
        <v>4544.1360000000004</v>
      </c>
      <c r="P245" t="str">
        <f t="shared" si="15"/>
        <v>Same</v>
      </c>
      <c r="S245" t="str">
        <f t="shared" si="12"/>
        <v>Okay</v>
      </c>
    </row>
    <row r="246" spans="1:19" x14ac:dyDescent="0.3">
      <c r="A246" t="s">
        <v>256</v>
      </c>
      <c r="B246" s="2">
        <v>45818</v>
      </c>
      <c r="C246" t="s">
        <v>733</v>
      </c>
      <c r="D246" t="s">
        <v>788</v>
      </c>
      <c r="E246" t="s">
        <v>795</v>
      </c>
      <c r="F246" t="s">
        <v>806</v>
      </c>
      <c r="G246" t="s">
        <v>810</v>
      </c>
      <c r="H246">
        <v>1</v>
      </c>
      <c r="I246">
        <v>80.61</v>
      </c>
      <c r="J246">
        <v>0.15</v>
      </c>
      <c r="K246">
        <v>68.52</v>
      </c>
      <c r="L246" t="s">
        <v>813</v>
      </c>
      <c r="N246">
        <f t="shared" si="13"/>
        <v>68.52</v>
      </c>
      <c r="O246" s="5">
        <f t="shared" si="14"/>
        <v>68.518500000000003</v>
      </c>
      <c r="P246" t="str">
        <f t="shared" si="15"/>
        <v>Same</v>
      </c>
      <c r="S246" t="str">
        <f t="shared" si="12"/>
        <v>Okay</v>
      </c>
    </row>
    <row r="247" spans="1:19" x14ac:dyDescent="0.3">
      <c r="A247" t="s">
        <v>257</v>
      </c>
      <c r="B247" s="2">
        <v>45819</v>
      </c>
      <c r="C247" t="s">
        <v>737</v>
      </c>
      <c r="D247" t="s">
        <v>786</v>
      </c>
      <c r="E247" t="s">
        <v>793</v>
      </c>
      <c r="F247" t="s">
        <v>799</v>
      </c>
      <c r="G247" t="s">
        <v>809</v>
      </c>
      <c r="H247">
        <v>3</v>
      </c>
      <c r="I247">
        <v>58.59</v>
      </c>
      <c r="J247">
        <v>0</v>
      </c>
      <c r="K247">
        <v>175.77</v>
      </c>
      <c r="L247" t="s">
        <v>815</v>
      </c>
      <c r="N247">
        <f t="shared" si="13"/>
        <v>175.77</v>
      </c>
      <c r="O247" s="5">
        <f t="shared" si="14"/>
        <v>175.77</v>
      </c>
      <c r="P247" t="str">
        <f t="shared" si="15"/>
        <v>Same</v>
      </c>
      <c r="S247" t="str">
        <f t="shared" si="12"/>
        <v>Okay</v>
      </c>
    </row>
    <row r="248" spans="1:19" x14ac:dyDescent="0.3">
      <c r="A248" t="s">
        <v>258</v>
      </c>
      <c r="B248" s="2">
        <v>45820</v>
      </c>
      <c r="C248" t="s">
        <v>738</v>
      </c>
      <c r="D248" t="s">
        <v>786</v>
      </c>
      <c r="E248" t="s">
        <v>793</v>
      </c>
      <c r="F248" t="s">
        <v>803</v>
      </c>
      <c r="G248" t="s">
        <v>810</v>
      </c>
      <c r="H248">
        <v>8</v>
      </c>
      <c r="I248">
        <v>113.09</v>
      </c>
      <c r="J248">
        <v>0.2</v>
      </c>
      <c r="K248">
        <v>723.78</v>
      </c>
      <c r="L248" t="s">
        <v>814</v>
      </c>
      <c r="N248">
        <f t="shared" si="13"/>
        <v>723.78</v>
      </c>
      <c r="O248" s="5">
        <f t="shared" si="14"/>
        <v>723.77600000000007</v>
      </c>
      <c r="P248" t="str">
        <f t="shared" si="15"/>
        <v>Same</v>
      </c>
      <c r="S248" t="str">
        <f t="shared" si="12"/>
        <v>Okay</v>
      </c>
    </row>
    <row r="249" spans="1:19" x14ac:dyDescent="0.3">
      <c r="A249" t="s">
        <v>259</v>
      </c>
      <c r="B249" s="2">
        <v>45821</v>
      </c>
      <c r="C249" t="s">
        <v>705</v>
      </c>
      <c r="D249" t="s">
        <v>785</v>
      </c>
      <c r="E249" t="s">
        <v>792</v>
      </c>
      <c r="F249" t="s">
        <v>806</v>
      </c>
      <c r="G249" t="s">
        <v>810</v>
      </c>
      <c r="H249">
        <v>8</v>
      </c>
      <c r="I249">
        <v>84.3</v>
      </c>
      <c r="J249">
        <v>0.15</v>
      </c>
      <c r="K249">
        <v>573.24</v>
      </c>
      <c r="L249" t="s">
        <v>813</v>
      </c>
      <c r="N249">
        <f t="shared" si="13"/>
        <v>573.24</v>
      </c>
      <c r="O249" s="5">
        <f t="shared" si="14"/>
        <v>573.24</v>
      </c>
      <c r="P249" t="str">
        <f t="shared" si="15"/>
        <v>Same</v>
      </c>
      <c r="S249" t="str">
        <f t="shared" si="12"/>
        <v>Okay</v>
      </c>
    </row>
    <row r="250" spans="1:19" x14ac:dyDescent="0.3">
      <c r="A250" t="s">
        <v>260</v>
      </c>
      <c r="B250" s="2">
        <v>45821</v>
      </c>
      <c r="C250" t="s">
        <v>676</v>
      </c>
      <c r="D250" t="s">
        <v>788</v>
      </c>
      <c r="E250" t="s">
        <v>795</v>
      </c>
      <c r="F250" t="s">
        <v>804</v>
      </c>
      <c r="G250" t="s">
        <v>809</v>
      </c>
      <c r="H250">
        <v>7</v>
      </c>
      <c r="I250">
        <v>342.66</v>
      </c>
      <c r="J250">
        <v>0</v>
      </c>
      <c r="K250">
        <v>2398.62</v>
      </c>
      <c r="L250" t="s">
        <v>815</v>
      </c>
      <c r="N250">
        <f t="shared" si="13"/>
        <v>2398.62</v>
      </c>
      <c r="O250" s="5">
        <f t="shared" si="14"/>
        <v>2398.6200000000003</v>
      </c>
      <c r="P250" t="str">
        <f t="shared" si="15"/>
        <v>Same</v>
      </c>
      <c r="S250" t="str">
        <f t="shared" si="12"/>
        <v>Okay</v>
      </c>
    </row>
    <row r="251" spans="1:19" x14ac:dyDescent="0.3">
      <c r="A251" t="s">
        <v>261</v>
      </c>
      <c r="B251" s="2">
        <v>45822</v>
      </c>
      <c r="C251" t="s">
        <v>665</v>
      </c>
      <c r="D251" t="s">
        <v>790</v>
      </c>
      <c r="E251" t="s">
        <v>796</v>
      </c>
      <c r="F251" t="s">
        <v>804</v>
      </c>
      <c r="G251" t="s">
        <v>809</v>
      </c>
      <c r="H251">
        <v>2</v>
      </c>
      <c r="I251">
        <v>372.95</v>
      </c>
      <c r="J251">
        <v>0.2</v>
      </c>
      <c r="K251">
        <v>596.72</v>
      </c>
      <c r="L251" t="s">
        <v>815</v>
      </c>
      <c r="N251">
        <f t="shared" si="13"/>
        <v>596.72</v>
      </c>
      <c r="O251" s="5">
        <f t="shared" si="14"/>
        <v>596.72</v>
      </c>
      <c r="P251" t="str">
        <f t="shared" si="15"/>
        <v>Same</v>
      </c>
      <c r="S251" t="str">
        <f t="shared" si="12"/>
        <v>Okay</v>
      </c>
    </row>
    <row r="252" spans="1:19" x14ac:dyDescent="0.3">
      <c r="A252" t="s">
        <v>262</v>
      </c>
      <c r="B252" s="2">
        <v>45822</v>
      </c>
      <c r="C252" t="s">
        <v>716</v>
      </c>
      <c r="D252" t="s">
        <v>785</v>
      </c>
      <c r="E252" t="s">
        <v>792</v>
      </c>
      <c r="F252" t="s">
        <v>802</v>
      </c>
      <c r="G252" t="s">
        <v>811</v>
      </c>
      <c r="H252">
        <v>5</v>
      </c>
      <c r="I252">
        <v>238.38</v>
      </c>
      <c r="J252">
        <v>0.2</v>
      </c>
      <c r="K252">
        <v>953.52</v>
      </c>
      <c r="L252" t="s">
        <v>814</v>
      </c>
      <c r="N252">
        <f t="shared" si="13"/>
        <v>953.52</v>
      </c>
      <c r="O252" s="5">
        <f t="shared" si="14"/>
        <v>953.5200000000001</v>
      </c>
      <c r="P252" t="str">
        <f t="shared" si="15"/>
        <v>Same</v>
      </c>
      <c r="S252" t="str">
        <f t="shared" si="12"/>
        <v>Okay</v>
      </c>
    </row>
    <row r="253" spans="1:19" x14ac:dyDescent="0.3">
      <c r="A253" t="s">
        <v>263</v>
      </c>
      <c r="B253" s="2">
        <v>45822</v>
      </c>
      <c r="C253" t="s">
        <v>709</v>
      </c>
      <c r="D253" t="s">
        <v>786</v>
      </c>
      <c r="E253" t="s">
        <v>793</v>
      </c>
      <c r="F253" t="s">
        <v>805</v>
      </c>
      <c r="G253" t="s">
        <v>810</v>
      </c>
      <c r="H253">
        <v>3</v>
      </c>
      <c r="I253">
        <v>40.56</v>
      </c>
      <c r="J253">
        <v>0.1</v>
      </c>
      <c r="K253">
        <v>109.51</v>
      </c>
      <c r="L253" t="s">
        <v>814</v>
      </c>
      <c r="N253">
        <f t="shared" si="13"/>
        <v>109.51</v>
      </c>
      <c r="O253" s="5">
        <f t="shared" si="14"/>
        <v>109.51200000000001</v>
      </c>
      <c r="P253" t="str">
        <f t="shared" si="15"/>
        <v>Same</v>
      </c>
      <c r="S253" t="str">
        <f t="shared" si="12"/>
        <v>Okay</v>
      </c>
    </row>
    <row r="254" spans="1:19" x14ac:dyDescent="0.3">
      <c r="A254" t="s">
        <v>264</v>
      </c>
      <c r="B254" s="2">
        <v>45824</v>
      </c>
      <c r="C254" t="s">
        <v>615</v>
      </c>
      <c r="D254" t="s">
        <v>790</v>
      </c>
      <c r="E254" t="s">
        <v>796</v>
      </c>
      <c r="F254" t="s">
        <v>805</v>
      </c>
      <c r="G254" t="s">
        <v>810</v>
      </c>
      <c r="H254">
        <v>2</v>
      </c>
      <c r="I254">
        <v>41.38</v>
      </c>
      <c r="J254">
        <v>0.2</v>
      </c>
      <c r="K254">
        <v>66.209999999999994</v>
      </c>
      <c r="L254" t="s">
        <v>815</v>
      </c>
      <c r="N254">
        <f t="shared" si="13"/>
        <v>66.209999999999994</v>
      </c>
      <c r="O254" s="5">
        <f t="shared" si="14"/>
        <v>66.208000000000013</v>
      </c>
      <c r="P254" t="str">
        <f t="shared" si="15"/>
        <v>Same</v>
      </c>
      <c r="S254" t="str">
        <f t="shared" si="12"/>
        <v>Okay</v>
      </c>
    </row>
    <row r="255" spans="1:19" x14ac:dyDescent="0.3">
      <c r="A255" t="s">
        <v>265</v>
      </c>
      <c r="B255" s="2">
        <v>45824</v>
      </c>
      <c r="C255" t="s">
        <v>677</v>
      </c>
      <c r="D255" t="s">
        <v>789</v>
      </c>
      <c r="E255" t="s">
        <v>792</v>
      </c>
      <c r="F255" t="s">
        <v>805</v>
      </c>
      <c r="G255" t="s">
        <v>810</v>
      </c>
      <c r="H255">
        <v>3</v>
      </c>
      <c r="I255">
        <v>46.6</v>
      </c>
      <c r="J255">
        <v>0</v>
      </c>
      <c r="K255">
        <v>139.80000000000001</v>
      </c>
      <c r="L255" t="s">
        <v>814</v>
      </c>
      <c r="N255">
        <f t="shared" si="13"/>
        <v>139.80000000000001</v>
      </c>
      <c r="O255" s="5">
        <f t="shared" si="14"/>
        <v>139.80000000000001</v>
      </c>
      <c r="P255" t="str">
        <f t="shared" si="15"/>
        <v>Same</v>
      </c>
      <c r="S255" t="str">
        <f t="shared" si="12"/>
        <v>Okay</v>
      </c>
    </row>
    <row r="256" spans="1:19" x14ac:dyDescent="0.3">
      <c r="A256" t="s">
        <v>266</v>
      </c>
      <c r="B256" s="2">
        <v>45825</v>
      </c>
      <c r="C256" t="s">
        <v>739</v>
      </c>
      <c r="D256" t="s">
        <v>788</v>
      </c>
      <c r="E256" t="s">
        <v>795</v>
      </c>
      <c r="F256" t="s">
        <v>802</v>
      </c>
      <c r="G256" t="s">
        <v>811</v>
      </c>
      <c r="H256">
        <v>4</v>
      </c>
      <c r="I256">
        <v>268.33999999999997</v>
      </c>
      <c r="J256">
        <v>0.2</v>
      </c>
      <c r="K256">
        <v>858.69</v>
      </c>
      <c r="L256" t="s">
        <v>815</v>
      </c>
      <c r="N256">
        <f t="shared" si="13"/>
        <v>858.69</v>
      </c>
      <c r="O256" s="5">
        <f t="shared" si="14"/>
        <v>858.68799999999999</v>
      </c>
      <c r="P256" t="str">
        <f t="shared" si="15"/>
        <v>Same</v>
      </c>
      <c r="S256" t="str">
        <f t="shared" si="12"/>
        <v>Okay</v>
      </c>
    </row>
    <row r="257" spans="1:19" x14ac:dyDescent="0.3">
      <c r="A257" t="s">
        <v>267</v>
      </c>
      <c r="B257" s="2">
        <v>45825</v>
      </c>
      <c r="C257" t="s">
        <v>665</v>
      </c>
      <c r="D257" t="s">
        <v>785</v>
      </c>
      <c r="E257" t="s">
        <v>792</v>
      </c>
      <c r="F257" t="s">
        <v>804</v>
      </c>
      <c r="G257" t="s">
        <v>809</v>
      </c>
      <c r="H257">
        <v>7</v>
      </c>
      <c r="I257">
        <v>376.57</v>
      </c>
      <c r="J257">
        <v>0.2</v>
      </c>
      <c r="K257">
        <v>2108.79</v>
      </c>
      <c r="L257" t="s">
        <v>814</v>
      </c>
      <c r="N257">
        <f t="shared" si="13"/>
        <v>2108.79</v>
      </c>
      <c r="O257" s="5">
        <f t="shared" si="14"/>
        <v>2108.7919999999999</v>
      </c>
      <c r="P257" t="str">
        <f t="shared" si="15"/>
        <v>Same</v>
      </c>
      <c r="S257" t="str">
        <f t="shared" si="12"/>
        <v>Okay</v>
      </c>
    </row>
    <row r="258" spans="1:19" x14ac:dyDescent="0.3">
      <c r="A258" t="s">
        <v>268</v>
      </c>
      <c r="B258" s="2">
        <v>45825</v>
      </c>
      <c r="C258" t="s">
        <v>680</v>
      </c>
      <c r="D258" t="s">
        <v>788</v>
      </c>
      <c r="E258" t="s">
        <v>795</v>
      </c>
      <c r="F258" t="s">
        <v>800</v>
      </c>
      <c r="G258" t="s">
        <v>810</v>
      </c>
      <c r="H258">
        <v>5</v>
      </c>
      <c r="I258">
        <v>597.67999999999995</v>
      </c>
      <c r="J258">
        <v>0.1</v>
      </c>
      <c r="K258">
        <v>2689.56</v>
      </c>
      <c r="L258" t="s">
        <v>815</v>
      </c>
      <c r="N258">
        <f t="shared" si="13"/>
        <v>2689.56</v>
      </c>
      <c r="O258" s="5">
        <f t="shared" si="14"/>
        <v>2689.56</v>
      </c>
      <c r="P258" t="str">
        <f t="shared" si="15"/>
        <v>Same</v>
      </c>
      <c r="S258" t="str">
        <f t="shared" ref="S258:S321" si="16">IF(OR(B258&lt;DATE(2025,1,1),B258&gt;DATE(2025,12,31)),"Strange", "Okay")</f>
        <v>Okay</v>
      </c>
    </row>
    <row r="259" spans="1:19" x14ac:dyDescent="0.3">
      <c r="A259" t="s">
        <v>269</v>
      </c>
      <c r="B259" s="2">
        <v>45826</v>
      </c>
      <c r="C259" t="s">
        <v>733</v>
      </c>
      <c r="D259" t="s">
        <v>785</v>
      </c>
      <c r="E259" t="s">
        <v>792</v>
      </c>
      <c r="F259" t="s">
        <v>801</v>
      </c>
      <c r="G259" t="s">
        <v>811</v>
      </c>
      <c r="H259">
        <v>5</v>
      </c>
      <c r="I259">
        <v>15.08</v>
      </c>
      <c r="J259">
        <v>0.1</v>
      </c>
      <c r="K259">
        <v>67.86</v>
      </c>
      <c r="L259" t="s">
        <v>815</v>
      </c>
      <c r="N259">
        <f t="shared" ref="N259:N322" si="17">ROUND(H259*I259*(1-J259),2)</f>
        <v>67.86</v>
      </c>
      <c r="O259" s="5">
        <f t="shared" ref="O259:O322" si="18">H259*I259*(1-J259)</f>
        <v>67.860000000000014</v>
      </c>
      <c r="P259" t="str">
        <f t="shared" ref="P259:P322" si="19">IF(ROUND(O259,2)=ROUND(K259,2),"Same","Different")</f>
        <v>Same</v>
      </c>
      <c r="S259" t="str">
        <f t="shared" si="16"/>
        <v>Okay</v>
      </c>
    </row>
    <row r="260" spans="1:19" x14ac:dyDescent="0.3">
      <c r="A260" t="s">
        <v>270</v>
      </c>
      <c r="B260" s="2">
        <v>45826</v>
      </c>
      <c r="C260" t="s">
        <v>659</v>
      </c>
      <c r="D260" t="s">
        <v>787</v>
      </c>
      <c r="E260" t="s">
        <v>794</v>
      </c>
      <c r="F260" t="s">
        <v>807</v>
      </c>
      <c r="G260" t="s">
        <v>810</v>
      </c>
      <c r="H260">
        <v>8</v>
      </c>
      <c r="I260">
        <v>830.66</v>
      </c>
      <c r="J260">
        <v>0.2</v>
      </c>
      <c r="K260">
        <v>5316.22</v>
      </c>
      <c r="L260" t="s">
        <v>813</v>
      </c>
      <c r="N260">
        <f t="shared" si="17"/>
        <v>5316.22</v>
      </c>
      <c r="O260" s="5">
        <f t="shared" si="18"/>
        <v>5316.2240000000002</v>
      </c>
      <c r="P260" t="str">
        <f t="shared" si="19"/>
        <v>Same</v>
      </c>
      <c r="S260" t="str">
        <f t="shared" si="16"/>
        <v>Okay</v>
      </c>
    </row>
    <row r="261" spans="1:19" x14ac:dyDescent="0.3">
      <c r="A261" t="s">
        <v>271</v>
      </c>
      <c r="B261" s="2">
        <v>45828</v>
      </c>
      <c r="C261" t="s">
        <v>740</v>
      </c>
      <c r="D261" t="s">
        <v>785</v>
      </c>
      <c r="E261" t="s">
        <v>792</v>
      </c>
      <c r="F261" t="s">
        <v>807</v>
      </c>
      <c r="G261" t="s">
        <v>810</v>
      </c>
      <c r="H261">
        <v>3</v>
      </c>
      <c r="I261">
        <v>954.26</v>
      </c>
      <c r="J261">
        <v>0.1</v>
      </c>
      <c r="K261">
        <v>2576.5</v>
      </c>
      <c r="L261" t="s">
        <v>813</v>
      </c>
      <c r="N261">
        <f t="shared" si="17"/>
        <v>2576.5</v>
      </c>
      <c r="O261" s="5">
        <f t="shared" si="18"/>
        <v>2576.502</v>
      </c>
      <c r="P261" t="str">
        <f t="shared" si="19"/>
        <v>Same</v>
      </c>
      <c r="S261" t="str">
        <f t="shared" si="16"/>
        <v>Okay</v>
      </c>
    </row>
    <row r="262" spans="1:19" x14ac:dyDescent="0.3">
      <c r="A262" t="s">
        <v>272</v>
      </c>
      <c r="B262" s="2">
        <v>45828</v>
      </c>
      <c r="C262" t="s">
        <v>702</v>
      </c>
      <c r="D262" t="s">
        <v>789</v>
      </c>
      <c r="E262" t="s">
        <v>792</v>
      </c>
      <c r="F262" t="s">
        <v>802</v>
      </c>
      <c r="G262" t="s">
        <v>811</v>
      </c>
      <c r="H262">
        <v>4</v>
      </c>
      <c r="I262">
        <v>266.44</v>
      </c>
      <c r="J262">
        <v>0.1</v>
      </c>
      <c r="K262">
        <v>959.18</v>
      </c>
      <c r="L262" t="s">
        <v>814</v>
      </c>
      <c r="N262">
        <f t="shared" si="17"/>
        <v>959.18</v>
      </c>
      <c r="O262" s="5">
        <f t="shared" si="18"/>
        <v>959.18399999999997</v>
      </c>
      <c r="P262" t="str">
        <f t="shared" si="19"/>
        <v>Same</v>
      </c>
      <c r="S262" t="str">
        <f t="shared" si="16"/>
        <v>Okay</v>
      </c>
    </row>
    <row r="263" spans="1:19" x14ac:dyDescent="0.3">
      <c r="A263" t="s">
        <v>273</v>
      </c>
      <c r="B263" s="2">
        <v>45829</v>
      </c>
      <c r="C263" t="s">
        <v>693</v>
      </c>
      <c r="D263" t="s">
        <v>787</v>
      </c>
      <c r="E263" t="s">
        <v>794</v>
      </c>
      <c r="F263" t="s">
        <v>807</v>
      </c>
      <c r="G263" t="s">
        <v>810</v>
      </c>
      <c r="H263">
        <v>6</v>
      </c>
      <c r="I263">
        <v>870.59</v>
      </c>
      <c r="J263">
        <v>0</v>
      </c>
      <c r="K263">
        <v>5223.54</v>
      </c>
      <c r="L263" t="s">
        <v>814</v>
      </c>
      <c r="N263">
        <f t="shared" si="17"/>
        <v>5223.54</v>
      </c>
      <c r="O263" s="5">
        <f t="shared" si="18"/>
        <v>5223.54</v>
      </c>
      <c r="P263" t="str">
        <f t="shared" si="19"/>
        <v>Same</v>
      </c>
      <c r="S263" t="str">
        <f t="shared" si="16"/>
        <v>Okay</v>
      </c>
    </row>
    <row r="264" spans="1:19" x14ac:dyDescent="0.3">
      <c r="A264" t="s">
        <v>274</v>
      </c>
      <c r="B264" s="2">
        <v>45829</v>
      </c>
      <c r="C264" t="s">
        <v>624</v>
      </c>
      <c r="D264" t="s">
        <v>787</v>
      </c>
      <c r="E264" t="s">
        <v>794</v>
      </c>
      <c r="F264" t="s">
        <v>802</v>
      </c>
      <c r="G264" t="s">
        <v>811</v>
      </c>
      <c r="H264">
        <v>1</v>
      </c>
      <c r="I264">
        <v>233.18</v>
      </c>
      <c r="J264">
        <v>0.05</v>
      </c>
      <c r="K264">
        <v>221.52</v>
      </c>
      <c r="L264" t="s">
        <v>816</v>
      </c>
      <c r="N264">
        <f t="shared" si="17"/>
        <v>221.52</v>
      </c>
      <c r="O264" s="5">
        <f t="shared" si="18"/>
        <v>221.52099999999999</v>
      </c>
      <c r="P264" t="str">
        <f t="shared" si="19"/>
        <v>Same</v>
      </c>
      <c r="S264" t="str">
        <f t="shared" si="16"/>
        <v>Okay</v>
      </c>
    </row>
    <row r="265" spans="1:19" x14ac:dyDescent="0.3">
      <c r="A265" t="s">
        <v>275</v>
      </c>
      <c r="B265" s="2">
        <v>45829</v>
      </c>
      <c r="C265" t="s">
        <v>741</v>
      </c>
      <c r="D265" t="s">
        <v>785</v>
      </c>
      <c r="E265" t="s">
        <v>792</v>
      </c>
      <c r="F265" t="s">
        <v>806</v>
      </c>
      <c r="G265" t="s">
        <v>810</v>
      </c>
      <c r="H265">
        <v>4</v>
      </c>
      <c r="I265">
        <v>78.790000000000006</v>
      </c>
      <c r="J265">
        <v>0</v>
      </c>
      <c r="K265">
        <v>315.16000000000003</v>
      </c>
      <c r="L265" t="s">
        <v>813</v>
      </c>
      <c r="N265">
        <f t="shared" si="17"/>
        <v>315.16000000000003</v>
      </c>
      <c r="O265" s="5">
        <f t="shared" si="18"/>
        <v>315.16000000000003</v>
      </c>
      <c r="P265" t="str">
        <f t="shared" si="19"/>
        <v>Same</v>
      </c>
      <c r="S265" t="str">
        <f t="shared" si="16"/>
        <v>Okay</v>
      </c>
    </row>
    <row r="266" spans="1:19" x14ac:dyDescent="0.3">
      <c r="A266" t="s">
        <v>276</v>
      </c>
      <c r="B266" s="2">
        <v>45829</v>
      </c>
      <c r="C266" t="s">
        <v>708</v>
      </c>
      <c r="D266" t="s">
        <v>790</v>
      </c>
      <c r="E266" t="s">
        <v>796</v>
      </c>
      <c r="F266" t="s">
        <v>800</v>
      </c>
      <c r="G266" t="s">
        <v>810</v>
      </c>
      <c r="H266">
        <v>5</v>
      </c>
      <c r="I266">
        <v>652.79</v>
      </c>
      <c r="J266">
        <v>0</v>
      </c>
      <c r="K266">
        <v>3263.95</v>
      </c>
      <c r="L266" t="s">
        <v>813</v>
      </c>
      <c r="N266">
        <f t="shared" si="17"/>
        <v>3263.95</v>
      </c>
      <c r="O266" s="5">
        <f t="shared" si="18"/>
        <v>3263.95</v>
      </c>
      <c r="P266" t="str">
        <f t="shared" si="19"/>
        <v>Same</v>
      </c>
      <c r="S266" t="str">
        <f t="shared" si="16"/>
        <v>Okay</v>
      </c>
    </row>
    <row r="267" spans="1:19" x14ac:dyDescent="0.3">
      <c r="A267" t="s">
        <v>277</v>
      </c>
      <c r="B267" s="2">
        <v>45830</v>
      </c>
      <c r="C267" t="s">
        <v>667</v>
      </c>
      <c r="D267" t="s">
        <v>789</v>
      </c>
      <c r="E267" t="s">
        <v>792</v>
      </c>
      <c r="F267" t="s">
        <v>805</v>
      </c>
      <c r="G267" t="s">
        <v>810</v>
      </c>
      <c r="H267">
        <v>5</v>
      </c>
      <c r="I267">
        <v>46.04</v>
      </c>
      <c r="J267">
        <v>0.05</v>
      </c>
      <c r="K267">
        <v>218.69</v>
      </c>
      <c r="L267" t="s">
        <v>815</v>
      </c>
      <c r="N267">
        <f t="shared" si="17"/>
        <v>218.69</v>
      </c>
      <c r="O267" s="5">
        <f t="shared" si="18"/>
        <v>218.68999999999997</v>
      </c>
      <c r="P267" t="str">
        <f t="shared" si="19"/>
        <v>Same</v>
      </c>
      <c r="S267" t="str">
        <f t="shared" si="16"/>
        <v>Okay</v>
      </c>
    </row>
    <row r="268" spans="1:19" x14ac:dyDescent="0.3">
      <c r="A268" t="s">
        <v>278</v>
      </c>
      <c r="B268" s="2">
        <v>45830</v>
      </c>
      <c r="C268" t="s">
        <v>699</v>
      </c>
      <c r="D268" t="s">
        <v>788</v>
      </c>
      <c r="E268" t="s">
        <v>795</v>
      </c>
      <c r="F268" t="s">
        <v>801</v>
      </c>
      <c r="G268" t="s">
        <v>811</v>
      </c>
      <c r="H268">
        <v>6</v>
      </c>
      <c r="I268">
        <v>16.14</v>
      </c>
      <c r="J268">
        <v>0.05</v>
      </c>
      <c r="K268">
        <v>92</v>
      </c>
      <c r="L268" t="s">
        <v>815</v>
      </c>
      <c r="N268">
        <f t="shared" si="17"/>
        <v>92</v>
      </c>
      <c r="O268" s="5">
        <f t="shared" si="18"/>
        <v>91.998000000000005</v>
      </c>
      <c r="P268" t="str">
        <f t="shared" si="19"/>
        <v>Same</v>
      </c>
      <c r="S268" t="str">
        <f t="shared" si="16"/>
        <v>Okay</v>
      </c>
    </row>
    <row r="269" spans="1:19" x14ac:dyDescent="0.3">
      <c r="A269" t="s">
        <v>279</v>
      </c>
      <c r="B269" s="2">
        <v>45831</v>
      </c>
      <c r="C269" t="s">
        <v>679</v>
      </c>
      <c r="D269" t="s">
        <v>785</v>
      </c>
      <c r="E269" t="s">
        <v>792</v>
      </c>
      <c r="F269" t="s">
        <v>797</v>
      </c>
      <c r="G269" t="s">
        <v>809</v>
      </c>
      <c r="H269">
        <v>2</v>
      </c>
      <c r="I269">
        <v>215.46</v>
      </c>
      <c r="J269">
        <v>0</v>
      </c>
      <c r="K269">
        <v>430.92</v>
      </c>
      <c r="L269" t="s">
        <v>815</v>
      </c>
      <c r="N269">
        <f t="shared" si="17"/>
        <v>430.92</v>
      </c>
      <c r="O269" s="5">
        <f t="shared" si="18"/>
        <v>430.92</v>
      </c>
      <c r="P269" t="str">
        <f t="shared" si="19"/>
        <v>Same</v>
      </c>
      <c r="S269" t="str">
        <f t="shared" si="16"/>
        <v>Okay</v>
      </c>
    </row>
    <row r="270" spans="1:19" x14ac:dyDescent="0.3">
      <c r="A270" t="s">
        <v>280</v>
      </c>
      <c r="B270" s="2">
        <v>45832</v>
      </c>
      <c r="C270" t="s">
        <v>622</v>
      </c>
      <c r="D270" t="s">
        <v>786</v>
      </c>
      <c r="E270" t="s">
        <v>793</v>
      </c>
      <c r="F270" t="s">
        <v>807</v>
      </c>
      <c r="G270" t="s">
        <v>810</v>
      </c>
      <c r="H270">
        <v>6</v>
      </c>
      <c r="I270">
        <v>895.92</v>
      </c>
      <c r="J270">
        <v>0.05</v>
      </c>
      <c r="K270">
        <v>5106.74</v>
      </c>
      <c r="L270" t="s">
        <v>814</v>
      </c>
      <c r="N270">
        <f t="shared" si="17"/>
        <v>5106.74</v>
      </c>
      <c r="O270" s="5">
        <f t="shared" si="18"/>
        <v>5106.7439999999997</v>
      </c>
      <c r="P270" t="str">
        <f t="shared" si="19"/>
        <v>Same</v>
      </c>
      <c r="S270" t="str">
        <f t="shared" si="16"/>
        <v>Okay</v>
      </c>
    </row>
    <row r="271" spans="1:19" x14ac:dyDescent="0.3">
      <c r="A271" t="s">
        <v>281</v>
      </c>
      <c r="B271" s="2">
        <v>45833</v>
      </c>
      <c r="C271" t="s">
        <v>742</v>
      </c>
      <c r="D271" t="s">
        <v>786</v>
      </c>
      <c r="E271" t="s">
        <v>793</v>
      </c>
      <c r="F271" t="s">
        <v>800</v>
      </c>
      <c r="G271" t="s">
        <v>810</v>
      </c>
      <c r="H271">
        <v>8</v>
      </c>
      <c r="I271">
        <v>617.37</v>
      </c>
      <c r="J271">
        <v>0.1</v>
      </c>
      <c r="K271">
        <v>4445.0600000000004</v>
      </c>
      <c r="L271" t="s">
        <v>814</v>
      </c>
      <c r="N271">
        <f t="shared" si="17"/>
        <v>4445.0600000000004</v>
      </c>
      <c r="O271" s="5">
        <f t="shared" si="18"/>
        <v>4445.0640000000003</v>
      </c>
      <c r="P271" t="str">
        <f t="shared" si="19"/>
        <v>Same</v>
      </c>
      <c r="S271" t="str">
        <f t="shared" si="16"/>
        <v>Okay</v>
      </c>
    </row>
    <row r="272" spans="1:19" x14ac:dyDescent="0.3">
      <c r="A272" t="s">
        <v>282</v>
      </c>
      <c r="B272" s="2">
        <v>45834</v>
      </c>
      <c r="C272" t="s">
        <v>646</v>
      </c>
      <c r="D272" t="s">
        <v>785</v>
      </c>
      <c r="E272" t="s">
        <v>792</v>
      </c>
      <c r="F272" t="s">
        <v>803</v>
      </c>
      <c r="G272" t="s">
        <v>810</v>
      </c>
      <c r="H272">
        <v>8</v>
      </c>
      <c r="I272">
        <v>116.4</v>
      </c>
      <c r="J272">
        <v>0</v>
      </c>
      <c r="K272">
        <v>931.2</v>
      </c>
      <c r="L272" t="s">
        <v>816</v>
      </c>
      <c r="N272">
        <f t="shared" si="17"/>
        <v>931.2</v>
      </c>
      <c r="O272" s="5">
        <f t="shared" si="18"/>
        <v>931.2</v>
      </c>
      <c r="P272" t="str">
        <f t="shared" si="19"/>
        <v>Same</v>
      </c>
      <c r="S272" t="str">
        <f t="shared" si="16"/>
        <v>Okay</v>
      </c>
    </row>
    <row r="273" spans="1:19" x14ac:dyDescent="0.3">
      <c r="A273" t="s">
        <v>283</v>
      </c>
      <c r="B273" s="2">
        <v>45835</v>
      </c>
      <c r="C273" t="s">
        <v>743</v>
      </c>
      <c r="D273" t="s">
        <v>785</v>
      </c>
      <c r="E273" t="s">
        <v>792</v>
      </c>
      <c r="F273" t="s">
        <v>805</v>
      </c>
      <c r="G273" t="s">
        <v>810</v>
      </c>
      <c r="H273">
        <v>2</v>
      </c>
      <c r="I273">
        <v>49.26</v>
      </c>
      <c r="J273">
        <v>0.1</v>
      </c>
      <c r="K273">
        <v>88.67</v>
      </c>
      <c r="L273" t="s">
        <v>814</v>
      </c>
      <c r="N273">
        <f t="shared" si="17"/>
        <v>88.67</v>
      </c>
      <c r="O273" s="5">
        <f t="shared" si="18"/>
        <v>88.667999999999992</v>
      </c>
      <c r="P273" t="str">
        <f t="shared" si="19"/>
        <v>Same</v>
      </c>
      <c r="S273" t="str">
        <f t="shared" si="16"/>
        <v>Okay</v>
      </c>
    </row>
    <row r="274" spans="1:19" x14ac:dyDescent="0.3">
      <c r="A274" t="s">
        <v>284</v>
      </c>
      <c r="B274" s="2">
        <v>45835</v>
      </c>
      <c r="C274" t="s">
        <v>643</v>
      </c>
      <c r="D274" t="s">
        <v>788</v>
      </c>
      <c r="E274" t="s">
        <v>795</v>
      </c>
      <c r="F274" t="s">
        <v>806</v>
      </c>
      <c r="G274" t="s">
        <v>810</v>
      </c>
      <c r="H274">
        <v>2</v>
      </c>
      <c r="I274">
        <v>75.010000000000005</v>
      </c>
      <c r="J274">
        <v>0.1</v>
      </c>
      <c r="K274">
        <v>135.02000000000001</v>
      </c>
      <c r="L274" t="s">
        <v>814</v>
      </c>
      <c r="N274">
        <f t="shared" si="17"/>
        <v>135.02000000000001</v>
      </c>
      <c r="O274" s="5">
        <f t="shared" si="18"/>
        <v>135.018</v>
      </c>
      <c r="P274" t="str">
        <f t="shared" si="19"/>
        <v>Same</v>
      </c>
      <c r="S274" t="str">
        <f t="shared" si="16"/>
        <v>Okay</v>
      </c>
    </row>
    <row r="275" spans="1:19" x14ac:dyDescent="0.3">
      <c r="A275" t="s">
        <v>285</v>
      </c>
      <c r="B275" s="2">
        <v>45835</v>
      </c>
      <c r="C275" t="s">
        <v>657</v>
      </c>
      <c r="D275" t="s">
        <v>785</v>
      </c>
      <c r="E275" t="s">
        <v>792</v>
      </c>
      <c r="F275" t="s">
        <v>808</v>
      </c>
      <c r="G275" t="s">
        <v>812</v>
      </c>
      <c r="H275">
        <v>8</v>
      </c>
      <c r="I275">
        <v>77.47</v>
      </c>
      <c r="J275">
        <v>0.1</v>
      </c>
      <c r="K275">
        <v>557.78</v>
      </c>
      <c r="L275" t="s">
        <v>813</v>
      </c>
      <c r="N275">
        <f t="shared" si="17"/>
        <v>557.78</v>
      </c>
      <c r="O275" s="5">
        <f t="shared" si="18"/>
        <v>557.78399999999999</v>
      </c>
      <c r="P275" t="str">
        <f t="shared" si="19"/>
        <v>Same</v>
      </c>
      <c r="S275" t="str">
        <f t="shared" si="16"/>
        <v>Okay</v>
      </c>
    </row>
    <row r="276" spans="1:19" x14ac:dyDescent="0.3">
      <c r="A276" t="s">
        <v>286</v>
      </c>
      <c r="B276" s="2">
        <v>45836</v>
      </c>
      <c r="C276" t="s">
        <v>618</v>
      </c>
      <c r="D276" t="s">
        <v>785</v>
      </c>
      <c r="E276" t="s">
        <v>792</v>
      </c>
      <c r="F276" t="s">
        <v>808</v>
      </c>
      <c r="G276" t="s">
        <v>812</v>
      </c>
      <c r="H276">
        <v>8</v>
      </c>
      <c r="I276">
        <v>81.72</v>
      </c>
      <c r="J276">
        <v>0.1</v>
      </c>
      <c r="K276">
        <v>588.38</v>
      </c>
      <c r="L276" t="s">
        <v>813</v>
      </c>
      <c r="N276">
        <f t="shared" si="17"/>
        <v>588.38</v>
      </c>
      <c r="O276" s="5">
        <f t="shared" si="18"/>
        <v>588.38400000000001</v>
      </c>
      <c r="P276" t="str">
        <f t="shared" si="19"/>
        <v>Same</v>
      </c>
      <c r="S276" t="str">
        <f t="shared" si="16"/>
        <v>Okay</v>
      </c>
    </row>
    <row r="277" spans="1:19" x14ac:dyDescent="0.3">
      <c r="A277" t="s">
        <v>287</v>
      </c>
      <c r="B277" s="2">
        <v>45837</v>
      </c>
      <c r="C277" t="s">
        <v>633</v>
      </c>
      <c r="D277" t="s">
        <v>789</v>
      </c>
      <c r="E277" t="s">
        <v>792</v>
      </c>
      <c r="F277" t="s">
        <v>806</v>
      </c>
      <c r="G277" t="s">
        <v>810</v>
      </c>
      <c r="H277">
        <v>7</v>
      </c>
      <c r="I277">
        <v>74.69</v>
      </c>
      <c r="J277">
        <v>0.05</v>
      </c>
      <c r="K277">
        <v>496.69</v>
      </c>
      <c r="L277" t="s">
        <v>815</v>
      </c>
      <c r="N277">
        <f t="shared" si="17"/>
        <v>496.69</v>
      </c>
      <c r="O277" s="5">
        <f t="shared" si="18"/>
        <v>496.68849999999992</v>
      </c>
      <c r="P277" t="str">
        <f t="shared" si="19"/>
        <v>Same</v>
      </c>
      <c r="S277" t="str">
        <f t="shared" si="16"/>
        <v>Okay</v>
      </c>
    </row>
    <row r="278" spans="1:19" x14ac:dyDescent="0.3">
      <c r="A278" t="s">
        <v>288</v>
      </c>
      <c r="B278" s="2">
        <v>45838</v>
      </c>
      <c r="C278" t="s">
        <v>678</v>
      </c>
      <c r="D278" t="s">
        <v>788</v>
      </c>
      <c r="E278" t="s">
        <v>795</v>
      </c>
      <c r="F278" t="s">
        <v>806</v>
      </c>
      <c r="G278" t="s">
        <v>810</v>
      </c>
      <c r="H278">
        <v>8</v>
      </c>
      <c r="I278">
        <v>82.47</v>
      </c>
      <c r="J278">
        <v>0</v>
      </c>
      <c r="K278">
        <v>659.76</v>
      </c>
      <c r="L278" t="s">
        <v>813</v>
      </c>
      <c r="N278">
        <f t="shared" si="17"/>
        <v>659.76</v>
      </c>
      <c r="O278" s="5">
        <f t="shared" si="18"/>
        <v>659.76</v>
      </c>
      <c r="P278" t="str">
        <f t="shared" si="19"/>
        <v>Same</v>
      </c>
      <c r="S278" t="str">
        <f t="shared" si="16"/>
        <v>Okay</v>
      </c>
    </row>
    <row r="279" spans="1:19" x14ac:dyDescent="0.3">
      <c r="A279" t="s">
        <v>289</v>
      </c>
      <c r="B279" s="2">
        <v>45839</v>
      </c>
      <c r="C279" t="s">
        <v>684</v>
      </c>
      <c r="D279" t="s">
        <v>790</v>
      </c>
      <c r="E279" t="s">
        <v>796</v>
      </c>
      <c r="F279" t="s">
        <v>798</v>
      </c>
      <c r="G279" t="s">
        <v>810</v>
      </c>
      <c r="H279">
        <v>1</v>
      </c>
      <c r="I279">
        <v>276.79000000000002</v>
      </c>
      <c r="J279">
        <v>0.3</v>
      </c>
      <c r="K279">
        <v>193.75</v>
      </c>
      <c r="L279" t="s">
        <v>813</v>
      </c>
      <c r="N279">
        <f t="shared" si="17"/>
        <v>193.75</v>
      </c>
      <c r="O279" s="5">
        <f t="shared" si="18"/>
        <v>193.75300000000001</v>
      </c>
      <c r="P279" t="str">
        <f t="shared" si="19"/>
        <v>Same</v>
      </c>
      <c r="S279" t="str">
        <f t="shared" si="16"/>
        <v>Okay</v>
      </c>
    </row>
    <row r="280" spans="1:19" x14ac:dyDescent="0.3">
      <c r="A280" t="s">
        <v>290</v>
      </c>
      <c r="B280" s="2">
        <v>45840</v>
      </c>
      <c r="C280" t="s">
        <v>674</v>
      </c>
      <c r="D280" t="s">
        <v>789</v>
      </c>
      <c r="E280" t="s">
        <v>792</v>
      </c>
      <c r="F280" t="s">
        <v>799</v>
      </c>
      <c r="G280" t="s">
        <v>809</v>
      </c>
      <c r="H280">
        <v>4</v>
      </c>
      <c r="I280">
        <v>54.79</v>
      </c>
      <c r="J280">
        <v>0.2</v>
      </c>
      <c r="K280">
        <v>175.33</v>
      </c>
      <c r="L280" t="s">
        <v>815</v>
      </c>
      <c r="N280">
        <f t="shared" si="17"/>
        <v>175.33</v>
      </c>
      <c r="O280" s="5">
        <f t="shared" si="18"/>
        <v>175.328</v>
      </c>
      <c r="P280" t="str">
        <f t="shared" si="19"/>
        <v>Same</v>
      </c>
      <c r="S280" t="str">
        <f t="shared" si="16"/>
        <v>Okay</v>
      </c>
    </row>
    <row r="281" spans="1:19" x14ac:dyDescent="0.3">
      <c r="A281" t="s">
        <v>291</v>
      </c>
      <c r="B281" s="2">
        <v>45840</v>
      </c>
      <c r="C281" t="s">
        <v>716</v>
      </c>
      <c r="D281" t="s">
        <v>785</v>
      </c>
      <c r="E281" t="s">
        <v>792</v>
      </c>
      <c r="F281" t="s">
        <v>803</v>
      </c>
      <c r="G281" t="s">
        <v>810</v>
      </c>
      <c r="H281">
        <v>2</v>
      </c>
      <c r="I281">
        <v>131.54</v>
      </c>
      <c r="J281">
        <v>0.1</v>
      </c>
      <c r="K281">
        <v>236.77</v>
      </c>
      <c r="L281" t="s">
        <v>813</v>
      </c>
      <c r="N281">
        <f t="shared" si="17"/>
        <v>236.77</v>
      </c>
      <c r="O281" s="5">
        <f t="shared" si="18"/>
        <v>236.77199999999999</v>
      </c>
      <c r="P281" t="str">
        <f t="shared" si="19"/>
        <v>Same</v>
      </c>
      <c r="S281" t="str">
        <f t="shared" si="16"/>
        <v>Okay</v>
      </c>
    </row>
    <row r="282" spans="1:19" x14ac:dyDescent="0.3">
      <c r="A282" t="s">
        <v>292</v>
      </c>
      <c r="B282" s="2">
        <v>45840</v>
      </c>
      <c r="C282" t="s">
        <v>714</v>
      </c>
      <c r="D282" t="s">
        <v>789</v>
      </c>
      <c r="E282" t="s">
        <v>792</v>
      </c>
      <c r="F282" t="s">
        <v>798</v>
      </c>
      <c r="G282" t="s">
        <v>810</v>
      </c>
      <c r="H282">
        <v>8</v>
      </c>
      <c r="I282">
        <v>290.45</v>
      </c>
      <c r="J282">
        <v>0.25</v>
      </c>
      <c r="K282">
        <v>1742.7</v>
      </c>
      <c r="L282" t="s">
        <v>813</v>
      </c>
      <c r="N282">
        <f t="shared" si="17"/>
        <v>1742.7</v>
      </c>
      <c r="O282" s="5">
        <f t="shared" si="18"/>
        <v>1742.6999999999998</v>
      </c>
      <c r="P282" t="str">
        <f t="shared" si="19"/>
        <v>Same</v>
      </c>
      <c r="S282" t="str">
        <f t="shared" si="16"/>
        <v>Okay</v>
      </c>
    </row>
    <row r="283" spans="1:19" x14ac:dyDescent="0.3">
      <c r="A283" t="s">
        <v>293</v>
      </c>
      <c r="B283" s="2">
        <v>45842</v>
      </c>
      <c r="C283" t="s">
        <v>619</v>
      </c>
      <c r="D283" t="s">
        <v>788</v>
      </c>
      <c r="E283" t="s">
        <v>795</v>
      </c>
      <c r="F283" t="s">
        <v>798</v>
      </c>
      <c r="G283" t="s">
        <v>810</v>
      </c>
      <c r="H283">
        <v>3</v>
      </c>
      <c r="I283">
        <v>284.86</v>
      </c>
      <c r="J283">
        <v>0.05</v>
      </c>
      <c r="K283">
        <v>811.85</v>
      </c>
      <c r="L283" t="s">
        <v>813</v>
      </c>
      <c r="N283">
        <f t="shared" si="17"/>
        <v>811.85</v>
      </c>
      <c r="O283" s="5">
        <f t="shared" si="18"/>
        <v>811.851</v>
      </c>
      <c r="P283" t="str">
        <f t="shared" si="19"/>
        <v>Same</v>
      </c>
      <c r="S283" t="str">
        <f t="shared" si="16"/>
        <v>Okay</v>
      </c>
    </row>
    <row r="284" spans="1:19" x14ac:dyDescent="0.3">
      <c r="A284" t="s">
        <v>294</v>
      </c>
      <c r="B284" s="2">
        <v>45843</v>
      </c>
      <c r="C284" t="s">
        <v>742</v>
      </c>
      <c r="D284" t="s">
        <v>788</v>
      </c>
      <c r="E284" t="s">
        <v>795</v>
      </c>
      <c r="F284" t="s">
        <v>797</v>
      </c>
      <c r="G284" t="s">
        <v>809</v>
      </c>
      <c r="H284">
        <v>7</v>
      </c>
      <c r="I284">
        <v>232.06</v>
      </c>
      <c r="J284">
        <v>0.15</v>
      </c>
      <c r="K284">
        <v>1380.76</v>
      </c>
      <c r="L284" t="s">
        <v>815</v>
      </c>
      <c r="N284">
        <f t="shared" si="17"/>
        <v>1380.76</v>
      </c>
      <c r="O284" s="5">
        <f t="shared" si="18"/>
        <v>1380.7570000000001</v>
      </c>
      <c r="P284" t="str">
        <f t="shared" si="19"/>
        <v>Same</v>
      </c>
      <c r="S284" t="str">
        <f t="shared" si="16"/>
        <v>Okay</v>
      </c>
    </row>
    <row r="285" spans="1:19" x14ac:dyDescent="0.3">
      <c r="A285" t="s">
        <v>295</v>
      </c>
      <c r="B285" s="2">
        <v>45844</v>
      </c>
      <c r="C285" t="s">
        <v>639</v>
      </c>
      <c r="D285" t="s">
        <v>790</v>
      </c>
      <c r="E285" t="s">
        <v>796</v>
      </c>
      <c r="F285" t="s">
        <v>808</v>
      </c>
      <c r="G285" t="s">
        <v>812</v>
      </c>
      <c r="H285">
        <v>4</v>
      </c>
      <c r="I285">
        <v>82.05</v>
      </c>
      <c r="J285">
        <v>0.25</v>
      </c>
      <c r="K285">
        <v>246.15</v>
      </c>
      <c r="L285" t="s">
        <v>813</v>
      </c>
      <c r="N285">
        <f t="shared" si="17"/>
        <v>246.15</v>
      </c>
      <c r="O285" s="5">
        <f t="shared" si="18"/>
        <v>246.14999999999998</v>
      </c>
      <c r="P285" t="str">
        <f t="shared" si="19"/>
        <v>Same</v>
      </c>
      <c r="S285" t="str">
        <f t="shared" si="16"/>
        <v>Okay</v>
      </c>
    </row>
    <row r="286" spans="1:19" x14ac:dyDescent="0.3">
      <c r="A286" t="s">
        <v>296</v>
      </c>
      <c r="B286" s="2">
        <v>45845</v>
      </c>
      <c r="C286" t="s">
        <v>690</v>
      </c>
      <c r="D286" t="s">
        <v>787</v>
      </c>
      <c r="E286" t="s">
        <v>794</v>
      </c>
      <c r="F286" t="s">
        <v>808</v>
      </c>
      <c r="G286" t="s">
        <v>812</v>
      </c>
      <c r="H286">
        <v>4</v>
      </c>
      <c r="I286">
        <v>67.650000000000006</v>
      </c>
      <c r="J286">
        <v>0.1</v>
      </c>
      <c r="K286">
        <v>243.54</v>
      </c>
      <c r="L286" t="s">
        <v>816</v>
      </c>
      <c r="N286">
        <f t="shared" si="17"/>
        <v>243.54</v>
      </c>
      <c r="O286" s="5">
        <f t="shared" si="18"/>
        <v>243.54000000000002</v>
      </c>
      <c r="P286" t="str">
        <f t="shared" si="19"/>
        <v>Same</v>
      </c>
      <c r="S286" t="str">
        <f t="shared" si="16"/>
        <v>Okay</v>
      </c>
    </row>
    <row r="287" spans="1:19" x14ac:dyDescent="0.3">
      <c r="A287" t="s">
        <v>297</v>
      </c>
      <c r="B287" s="2">
        <v>45846</v>
      </c>
      <c r="C287" t="s">
        <v>720</v>
      </c>
      <c r="D287" t="s">
        <v>790</v>
      </c>
      <c r="E287" t="s">
        <v>796</v>
      </c>
      <c r="F287" t="s">
        <v>804</v>
      </c>
      <c r="G287" t="s">
        <v>809</v>
      </c>
      <c r="H287">
        <v>1</v>
      </c>
      <c r="I287">
        <v>343.66</v>
      </c>
      <c r="J287">
        <v>0.2</v>
      </c>
      <c r="K287">
        <v>274.93</v>
      </c>
      <c r="L287" t="s">
        <v>813</v>
      </c>
      <c r="N287">
        <f t="shared" si="17"/>
        <v>274.93</v>
      </c>
      <c r="O287" s="5">
        <f t="shared" si="18"/>
        <v>274.92800000000005</v>
      </c>
      <c r="P287" t="str">
        <f t="shared" si="19"/>
        <v>Same</v>
      </c>
      <c r="S287" t="str">
        <f t="shared" si="16"/>
        <v>Okay</v>
      </c>
    </row>
    <row r="288" spans="1:19" x14ac:dyDescent="0.3">
      <c r="A288" t="s">
        <v>298</v>
      </c>
      <c r="B288" s="2">
        <v>45847</v>
      </c>
      <c r="C288" t="s">
        <v>652</v>
      </c>
      <c r="D288" t="s">
        <v>790</v>
      </c>
      <c r="E288" t="s">
        <v>796</v>
      </c>
      <c r="F288" t="s">
        <v>801</v>
      </c>
      <c r="G288" t="s">
        <v>811</v>
      </c>
      <c r="H288">
        <v>4</v>
      </c>
      <c r="I288">
        <v>15.17</v>
      </c>
      <c r="J288">
        <v>0.2</v>
      </c>
      <c r="K288">
        <v>48.54</v>
      </c>
      <c r="L288" t="s">
        <v>813</v>
      </c>
      <c r="N288">
        <f t="shared" si="17"/>
        <v>48.54</v>
      </c>
      <c r="O288" s="5">
        <f t="shared" si="18"/>
        <v>48.544000000000004</v>
      </c>
      <c r="P288" t="str">
        <f t="shared" si="19"/>
        <v>Same</v>
      </c>
      <c r="S288" t="str">
        <f t="shared" si="16"/>
        <v>Okay</v>
      </c>
    </row>
    <row r="289" spans="1:19" x14ac:dyDescent="0.3">
      <c r="A289" t="s">
        <v>299</v>
      </c>
      <c r="B289" s="2">
        <v>45847</v>
      </c>
      <c r="C289" t="s">
        <v>743</v>
      </c>
      <c r="D289" t="s">
        <v>789</v>
      </c>
      <c r="E289" t="s">
        <v>792</v>
      </c>
      <c r="F289" t="s">
        <v>800</v>
      </c>
      <c r="G289" t="s">
        <v>810</v>
      </c>
      <c r="H289">
        <v>3</v>
      </c>
      <c r="I289">
        <v>616.08000000000004</v>
      </c>
      <c r="J289">
        <v>0.1</v>
      </c>
      <c r="K289">
        <v>1663.42</v>
      </c>
      <c r="L289" t="s">
        <v>813</v>
      </c>
      <c r="N289">
        <f t="shared" si="17"/>
        <v>1663.42</v>
      </c>
      <c r="O289" s="5">
        <f t="shared" si="18"/>
        <v>1663.4160000000002</v>
      </c>
      <c r="P289" t="str">
        <f t="shared" si="19"/>
        <v>Same</v>
      </c>
      <c r="S289" t="str">
        <f t="shared" si="16"/>
        <v>Okay</v>
      </c>
    </row>
    <row r="290" spans="1:19" x14ac:dyDescent="0.3">
      <c r="A290" t="s">
        <v>300</v>
      </c>
      <c r="B290" s="2">
        <v>45849</v>
      </c>
      <c r="C290" t="s">
        <v>722</v>
      </c>
      <c r="D290" t="s">
        <v>787</v>
      </c>
      <c r="E290" t="s">
        <v>794</v>
      </c>
      <c r="F290" t="s">
        <v>804</v>
      </c>
      <c r="G290" t="s">
        <v>809</v>
      </c>
      <c r="H290">
        <v>5</v>
      </c>
      <c r="I290">
        <v>359.76</v>
      </c>
      <c r="J290">
        <v>0.2</v>
      </c>
      <c r="K290">
        <v>1439.04</v>
      </c>
      <c r="L290" t="s">
        <v>816</v>
      </c>
      <c r="N290">
        <f t="shared" si="17"/>
        <v>1439.04</v>
      </c>
      <c r="O290" s="5">
        <f t="shared" si="18"/>
        <v>1439.04</v>
      </c>
      <c r="P290" t="str">
        <f t="shared" si="19"/>
        <v>Same</v>
      </c>
      <c r="S290" t="str">
        <f t="shared" si="16"/>
        <v>Okay</v>
      </c>
    </row>
    <row r="291" spans="1:19" x14ac:dyDescent="0.3">
      <c r="A291" t="s">
        <v>301</v>
      </c>
      <c r="B291" s="2">
        <v>45849</v>
      </c>
      <c r="C291" t="s">
        <v>744</v>
      </c>
      <c r="D291" t="s">
        <v>787</v>
      </c>
      <c r="E291" t="s">
        <v>794</v>
      </c>
      <c r="F291" t="s">
        <v>805</v>
      </c>
      <c r="G291" t="s">
        <v>810</v>
      </c>
      <c r="H291">
        <v>8</v>
      </c>
      <c r="I291">
        <v>48.91</v>
      </c>
      <c r="J291">
        <v>0.15</v>
      </c>
      <c r="K291">
        <v>332.59</v>
      </c>
      <c r="L291" t="s">
        <v>815</v>
      </c>
      <c r="N291">
        <f t="shared" si="17"/>
        <v>332.59</v>
      </c>
      <c r="O291" s="5">
        <f t="shared" si="18"/>
        <v>332.58799999999997</v>
      </c>
      <c r="P291" t="str">
        <f t="shared" si="19"/>
        <v>Same</v>
      </c>
      <c r="S291" t="str">
        <f t="shared" si="16"/>
        <v>Okay</v>
      </c>
    </row>
    <row r="292" spans="1:19" x14ac:dyDescent="0.3">
      <c r="A292" t="s">
        <v>302</v>
      </c>
      <c r="B292" s="2">
        <v>45849</v>
      </c>
      <c r="C292" t="s">
        <v>689</v>
      </c>
      <c r="D292" t="s">
        <v>785</v>
      </c>
      <c r="E292" t="s">
        <v>792</v>
      </c>
      <c r="F292" t="s">
        <v>804</v>
      </c>
      <c r="G292" t="s">
        <v>809</v>
      </c>
      <c r="H292">
        <v>8</v>
      </c>
      <c r="I292">
        <v>360.59</v>
      </c>
      <c r="J292">
        <v>0</v>
      </c>
      <c r="K292">
        <v>2884.72</v>
      </c>
      <c r="L292" t="s">
        <v>815</v>
      </c>
      <c r="N292">
        <f t="shared" si="17"/>
        <v>2884.72</v>
      </c>
      <c r="O292" s="5">
        <f t="shared" si="18"/>
        <v>2884.72</v>
      </c>
      <c r="P292" t="str">
        <f t="shared" si="19"/>
        <v>Same</v>
      </c>
      <c r="S292" t="str">
        <f t="shared" si="16"/>
        <v>Okay</v>
      </c>
    </row>
    <row r="293" spans="1:19" x14ac:dyDescent="0.3">
      <c r="A293" t="s">
        <v>303</v>
      </c>
      <c r="B293" s="2">
        <v>45849</v>
      </c>
      <c r="C293" t="s">
        <v>667</v>
      </c>
      <c r="D293" t="s">
        <v>785</v>
      </c>
      <c r="E293" t="s">
        <v>792</v>
      </c>
      <c r="F293" t="s">
        <v>806</v>
      </c>
      <c r="G293" t="s">
        <v>810</v>
      </c>
      <c r="H293">
        <v>8</v>
      </c>
      <c r="I293">
        <v>72.14</v>
      </c>
      <c r="J293">
        <v>0</v>
      </c>
      <c r="K293">
        <v>577.12</v>
      </c>
      <c r="L293" t="s">
        <v>814</v>
      </c>
      <c r="N293">
        <f t="shared" si="17"/>
        <v>577.12</v>
      </c>
      <c r="O293" s="5">
        <f t="shared" si="18"/>
        <v>577.12</v>
      </c>
      <c r="P293" t="str">
        <f t="shared" si="19"/>
        <v>Same</v>
      </c>
      <c r="S293" t="str">
        <f t="shared" si="16"/>
        <v>Okay</v>
      </c>
    </row>
    <row r="294" spans="1:19" x14ac:dyDescent="0.3">
      <c r="A294" t="s">
        <v>304</v>
      </c>
      <c r="B294" s="2">
        <v>45849</v>
      </c>
      <c r="C294" t="s">
        <v>612</v>
      </c>
      <c r="D294" t="s">
        <v>786</v>
      </c>
      <c r="E294" t="s">
        <v>793</v>
      </c>
      <c r="F294" t="s">
        <v>798</v>
      </c>
      <c r="G294" t="s">
        <v>810</v>
      </c>
      <c r="H294">
        <v>8</v>
      </c>
      <c r="I294">
        <v>301.08</v>
      </c>
      <c r="J294">
        <v>0</v>
      </c>
      <c r="K294">
        <v>2408.64</v>
      </c>
      <c r="L294" t="s">
        <v>815</v>
      </c>
      <c r="N294">
        <f t="shared" si="17"/>
        <v>2408.64</v>
      </c>
      <c r="O294" s="5">
        <f t="shared" si="18"/>
        <v>2408.64</v>
      </c>
      <c r="P294" t="str">
        <f t="shared" si="19"/>
        <v>Same</v>
      </c>
      <c r="S294" t="str">
        <f t="shared" si="16"/>
        <v>Okay</v>
      </c>
    </row>
    <row r="295" spans="1:19" x14ac:dyDescent="0.3">
      <c r="A295" t="s">
        <v>305</v>
      </c>
      <c r="B295" s="2">
        <v>45849</v>
      </c>
      <c r="C295" t="s">
        <v>655</v>
      </c>
      <c r="D295" t="s">
        <v>786</v>
      </c>
      <c r="E295" t="s">
        <v>793</v>
      </c>
      <c r="F295" t="s">
        <v>804</v>
      </c>
      <c r="G295" t="s">
        <v>809</v>
      </c>
      <c r="H295">
        <v>3</v>
      </c>
      <c r="I295">
        <v>376.59</v>
      </c>
      <c r="J295">
        <v>0.1</v>
      </c>
      <c r="K295">
        <v>1016.79</v>
      </c>
      <c r="L295" t="s">
        <v>814</v>
      </c>
      <c r="N295">
        <f t="shared" si="17"/>
        <v>1016.79</v>
      </c>
      <c r="O295" s="5">
        <f t="shared" si="18"/>
        <v>1016.793</v>
      </c>
      <c r="P295" t="str">
        <f t="shared" si="19"/>
        <v>Same</v>
      </c>
      <c r="S295" t="str">
        <f t="shared" si="16"/>
        <v>Okay</v>
      </c>
    </row>
    <row r="296" spans="1:19" x14ac:dyDescent="0.3">
      <c r="A296" t="s">
        <v>306</v>
      </c>
      <c r="B296" s="2">
        <v>45850</v>
      </c>
      <c r="C296" t="s">
        <v>681</v>
      </c>
      <c r="D296" t="s">
        <v>785</v>
      </c>
      <c r="E296" t="s">
        <v>792</v>
      </c>
      <c r="F296" t="s">
        <v>806</v>
      </c>
      <c r="G296" t="s">
        <v>810</v>
      </c>
      <c r="H296">
        <v>6</v>
      </c>
      <c r="I296">
        <v>85.65</v>
      </c>
      <c r="J296">
        <v>0.15</v>
      </c>
      <c r="K296">
        <v>436.82</v>
      </c>
      <c r="L296" t="s">
        <v>815</v>
      </c>
      <c r="N296">
        <f t="shared" si="17"/>
        <v>436.82</v>
      </c>
      <c r="O296" s="5">
        <f t="shared" si="18"/>
        <v>436.81500000000005</v>
      </c>
      <c r="P296" t="str">
        <f t="shared" si="19"/>
        <v>Same</v>
      </c>
      <c r="S296" t="str">
        <f t="shared" si="16"/>
        <v>Okay</v>
      </c>
    </row>
    <row r="297" spans="1:19" x14ac:dyDescent="0.3">
      <c r="A297" t="s">
        <v>307</v>
      </c>
      <c r="B297" s="2">
        <v>45851</v>
      </c>
      <c r="C297" t="s">
        <v>633</v>
      </c>
      <c r="D297" t="s">
        <v>789</v>
      </c>
      <c r="E297" t="s">
        <v>792</v>
      </c>
      <c r="F297" t="s">
        <v>806</v>
      </c>
      <c r="G297" t="s">
        <v>810</v>
      </c>
      <c r="H297">
        <v>3</v>
      </c>
      <c r="I297">
        <v>73.05</v>
      </c>
      <c r="J297">
        <v>0.15</v>
      </c>
      <c r="K297">
        <v>186.28</v>
      </c>
      <c r="L297" t="s">
        <v>815</v>
      </c>
      <c r="N297">
        <f t="shared" si="17"/>
        <v>186.28</v>
      </c>
      <c r="O297" s="5">
        <f t="shared" si="18"/>
        <v>186.27749999999997</v>
      </c>
      <c r="P297" t="str">
        <f t="shared" si="19"/>
        <v>Same</v>
      </c>
      <c r="S297" t="str">
        <f t="shared" si="16"/>
        <v>Okay</v>
      </c>
    </row>
    <row r="298" spans="1:19" x14ac:dyDescent="0.3">
      <c r="A298" t="s">
        <v>308</v>
      </c>
      <c r="B298" s="2">
        <v>45851</v>
      </c>
      <c r="C298" t="s">
        <v>699</v>
      </c>
      <c r="D298" t="s">
        <v>788</v>
      </c>
      <c r="E298" t="s">
        <v>795</v>
      </c>
      <c r="F298" t="s">
        <v>799</v>
      </c>
      <c r="G298" t="s">
        <v>809</v>
      </c>
      <c r="H298">
        <v>4</v>
      </c>
      <c r="I298">
        <v>52.08</v>
      </c>
      <c r="J298">
        <v>0.2</v>
      </c>
      <c r="K298">
        <v>166.66</v>
      </c>
      <c r="L298" t="s">
        <v>816</v>
      </c>
      <c r="N298">
        <f t="shared" si="17"/>
        <v>166.66</v>
      </c>
      <c r="O298" s="5">
        <f t="shared" si="18"/>
        <v>166.65600000000001</v>
      </c>
      <c r="P298" t="str">
        <f t="shared" si="19"/>
        <v>Same</v>
      </c>
      <c r="S298" t="str">
        <f t="shared" si="16"/>
        <v>Okay</v>
      </c>
    </row>
    <row r="299" spans="1:19" x14ac:dyDescent="0.3">
      <c r="A299" t="s">
        <v>309</v>
      </c>
      <c r="B299" s="2">
        <v>45852</v>
      </c>
      <c r="C299" t="s">
        <v>745</v>
      </c>
      <c r="D299" t="s">
        <v>790</v>
      </c>
      <c r="E299" t="s">
        <v>796</v>
      </c>
      <c r="F299" t="s">
        <v>801</v>
      </c>
      <c r="G299" t="s">
        <v>811</v>
      </c>
      <c r="H299">
        <v>1</v>
      </c>
      <c r="I299">
        <v>14.67</v>
      </c>
      <c r="J299">
        <v>0.05</v>
      </c>
      <c r="K299">
        <v>13.94</v>
      </c>
      <c r="L299" t="s">
        <v>815</v>
      </c>
      <c r="N299">
        <f t="shared" si="17"/>
        <v>13.94</v>
      </c>
      <c r="O299" s="5">
        <f t="shared" si="18"/>
        <v>13.936499999999999</v>
      </c>
      <c r="P299" t="str">
        <f t="shared" si="19"/>
        <v>Same</v>
      </c>
      <c r="S299" t="str">
        <f t="shared" si="16"/>
        <v>Okay</v>
      </c>
    </row>
    <row r="300" spans="1:19" x14ac:dyDescent="0.3">
      <c r="A300" t="s">
        <v>310</v>
      </c>
      <c r="B300" s="2">
        <v>45852</v>
      </c>
      <c r="C300" t="s">
        <v>746</v>
      </c>
      <c r="D300" t="s">
        <v>787</v>
      </c>
      <c r="E300" t="s">
        <v>794</v>
      </c>
      <c r="F300" t="s">
        <v>800</v>
      </c>
      <c r="G300" t="s">
        <v>810</v>
      </c>
      <c r="H300">
        <v>1</v>
      </c>
      <c r="I300">
        <v>691.27</v>
      </c>
      <c r="J300">
        <v>0.05</v>
      </c>
      <c r="K300">
        <v>656.71</v>
      </c>
      <c r="L300" t="s">
        <v>814</v>
      </c>
      <c r="N300">
        <f t="shared" si="17"/>
        <v>656.71</v>
      </c>
      <c r="O300" s="5">
        <f t="shared" si="18"/>
        <v>656.70650000000001</v>
      </c>
      <c r="P300" t="str">
        <f t="shared" si="19"/>
        <v>Same</v>
      </c>
      <c r="S300" t="str">
        <f t="shared" si="16"/>
        <v>Okay</v>
      </c>
    </row>
    <row r="301" spans="1:19" x14ac:dyDescent="0.3">
      <c r="A301" t="s">
        <v>311</v>
      </c>
      <c r="B301" s="2">
        <v>45854</v>
      </c>
      <c r="C301" t="s">
        <v>709</v>
      </c>
      <c r="D301" t="s">
        <v>789</v>
      </c>
      <c r="E301" t="s">
        <v>792</v>
      </c>
      <c r="F301" t="s">
        <v>803</v>
      </c>
      <c r="G301" t="s">
        <v>810</v>
      </c>
      <c r="H301">
        <v>6</v>
      </c>
      <c r="I301">
        <v>116.93</v>
      </c>
      <c r="J301">
        <v>0.1</v>
      </c>
      <c r="K301">
        <v>631.41999999999996</v>
      </c>
      <c r="L301" t="s">
        <v>814</v>
      </c>
      <c r="N301">
        <f t="shared" si="17"/>
        <v>631.41999999999996</v>
      </c>
      <c r="O301" s="5">
        <f t="shared" si="18"/>
        <v>631.42200000000003</v>
      </c>
      <c r="P301" t="str">
        <f t="shared" si="19"/>
        <v>Same</v>
      </c>
      <c r="S301" t="str">
        <f t="shared" si="16"/>
        <v>Okay</v>
      </c>
    </row>
    <row r="302" spans="1:19" x14ac:dyDescent="0.3">
      <c r="A302" t="s">
        <v>312</v>
      </c>
      <c r="B302" s="2">
        <v>45855</v>
      </c>
      <c r="C302" t="s">
        <v>747</v>
      </c>
      <c r="D302" t="s">
        <v>785</v>
      </c>
      <c r="E302" t="s">
        <v>792</v>
      </c>
      <c r="F302" t="s">
        <v>805</v>
      </c>
      <c r="G302" t="s">
        <v>810</v>
      </c>
      <c r="H302">
        <v>8</v>
      </c>
      <c r="I302">
        <v>41.62</v>
      </c>
      <c r="J302">
        <v>0.25</v>
      </c>
      <c r="K302">
        <v>249.72</v>
      </c>
      <c r="L302" t="s">
        <v>813</v>
      </c>
      <c r="N302">
        <f t="shared" si="17"/>
        <v>249.72</v>
      </c>
      <c r="O302" s="5">
        <f t="shared" si="18"/>
        <v>249.71999999999997</v>
      </c>
      <c r="P302" t="str">
        <f t="shared" si="19"/>
        <v>Same</v>
      </c>
      <c r="S302" t="str">
        <f t="shared" si="16"/>
        <v>Okay</v>
      </c>
    </row>
    <row r="303" spans="1:19" x14ac:dyDescent="0.3">
      <c r="A303" t="s">
        <v>313</v>
      </c>
      <c r="B303" s="2">
        <v>45857</v>
      </c>
      <c r="C303" t="s">
        <v>638</v>
      </c>
      <c r="D303" t="s">
        <v>789</v>
      </c>
      <c r="E303" t="s">
        <v>792</v>
      </c>
      <c r="F303" t="s">
        <v>804</v>
      </c>
      <c r="G303" t="s">
        <v>809</v>
      </c>
      <c r="H303">
        <v>4</v>
      </c>
      <c r="I303">
        <v>327.71</v>
      </c>
      <c r="J303">
        <v>0.25</v>
      </c>
      <c r="K303">
        <v>983.13</v>
      </c>
      <c r="L303" t="s">
        <v>815</v>
      </c>
      <c r="N303">
        <f t="shared" si="17"/>
        <v>983.13</v>
      </c>
      <c r="O303" s="5">
        <f t="shared" si="18"/>
        <v>983.12999999999988</v>
      </c>
      <c r="P303" t="str">
        <f t="shared" si="19"/>
        <v>Same</v>
      </c>
      <c r="S303" t="str">
        <f t="shared" si="16"/>
        <v>Okay</v>
      </c>
    </row>
    <row r="304" spans="1:19" x14ac:dyDescent="0.3">
      <c r="A304" t="s">
        <v>314</v>
      </c>
      <c r="B304" s="2">
        <v>45857</v>
      </c>
      <c r="C304" t="s">
        <v>727</v>
      </c>
      <c r="D304" t="s">
        <v>790</v>
      </c>
      <c r="E304" t="s">
        <v>796</v>
      </c>
      <c r="F304" t="s">
        <v>804</v>
      </c>
      <c r="G304" t="s">
        <v>809</v>
      </c>
      <c r="H304">
        <v>8</v>
      </c>
      <c r="I304">
        <v>384.18</v>
      </c>
      <c r="J304">
        <v>0.1</v>
      </c>
      <c r="K304">
        <v>2766.1</v>
      </c>
      <c r="L304" t="s">
        <v>814</v>
      </c>
      <c r="N304">
        <f t="shared" si="17"/>
        <v>2766.1</v>
      </c>
      <c r="O304" s="5">
        <f t="shared" si="18"/>
        <v>2766.096</v>
      </c>
      <c r="P304" t="str">
        <f t="shared" si="19"/>
        <v>Same</v>
      </c>
      <c r="S304" t="str">
        <f t="shared" si="16"/>
        <v>Okay</v>
      </c>
    </row>
    <row r="305" spans="1:19" x14ac:dyDescent="0.3">
      <c r="A305" t="s">
        <v>315</v>
      </c>
      <c r="B305" s="2">
        <v>45858</v>
      </c>
      <c r="C305" t="s">
        <v>636</v>
      </c>
      <c r="D305" t="s">
        <v>786</v>
      </c>
      <c r="E305" t="s">
        <v>793</v>
      </c>
      <c r="F305" t="s">
        <v>806</v>
      </c>
      <c r="G305" t="s">
        <v>810</v>
      </c>
      <c r="H305">
        <v>4</v>
      </c>
      <c r="I305">
        <v>72.25</v>
      </c>
      <c r="J305">
        <v>0.1</v>
      </c>
      <c r="K305">
        <v>260.10000000000002</v>
      </c>
      <c r="L305" t="s">
        <v>815</v>
      </c>
      <c r="N305">
        <f t="shared" si="17"/>
        <v>260.10000000000002</v>
      </c>
      <c r="O305" s="5">
        <f t="shared" si="18"/>
        <v>260.10000000000002</v>
      </c>
      <c r="P305" t="str">
        <f t="shared" si="19"/>
        <v>Same</v>
      </c>
      <c r="S305" t="str">
        <f t="shared" si="16"/>
        <v>Okay</v>
      </c>
    </row>
    <row r="306" spans="1:19" x14ac:dyDescent="0.3">
      <c r="A306" t="s">
        <v>316</v>
      </c>
      <c r="B306" s="2">
        <v>45859</v>
      </c>
      <c r="C306" t="s">
        <v>710</v>
      </c>
      <c r="D306" t="s">
        <v>788</v>
      </c>
      <c r="E306" t="s">
        <v>795</v>
      </c>
      <c r="F306" t="s">
        <v>804</v>
      </c>
      <c r="G306" t="s">
        <v>809</v>
      </c>
      <c r="H306">
        <v>8</v>
      </c>
      <c r="I306">
        <v>368.33</v>
      </c>
      <c r="J306">
        <v>0.25</v>
      </c>
      <c r="K306">
        <v>2209.98</v>
      </c>
      <c r="L306" t="s">
        <v>814</v>
      </c>
      <c r="N306">
        <f t="shared" si="17"/>
        <v>2209.98</v>
      </c>
      <c r="O306" s="5">
        <f t="shared" si="18"/>
        <v>2209.98</v>
      </c>
      <c r="P306" t="str">
        <f t="shared" si="19"/>
        <v>Same</v>
      </c>
      <c r="S306" t="str">
        <f t="shared" si="16"/>
        <v>Okay</v>
      </c>
    </row>
    <row r="307" spans="1:19" x14ac:dyDescent="0.3">
      <c r="A307" t="s">
        <v>317</v>
      </c>
      <c r="B307" s="2">
        <v>45859</v>
      </c>
      <c r="C307" t="s">
        <v>688</v>
      </c>
      <c r="D307" t="s">
        <v>788</v>
      </c>
      <c r="E307" t="s">
        <v>795</v>
      </c>
      <c r="F307" t="s">
        <v>804</v>
      </c>
      <c r="G307" t="s">
        <v>809</v>
      </c>
      <c r="H307">
        <v>6</v>
      </c>
      <c r="I307">
        <v>334.23</v>
      </c>
      <c r="J307">
        <v>0.2</v>
      </c>
      <c r="K307">
        <v>1604.3</v>
      </c>
      <c r="L307" t="s">
        <v>815</v>
      </c>
      <c r="N307">
        <f t="shared" si="17"/>
        <v>1604.3</v>
      </c>
      <c r="O307" s="5">
        <f t="shared" si="18"/>
        <v>1604.3040000000001</v>
      </c>
      <c r="P307" t="str">
        <f t="shared" si="19"/>
        <v>Same</v>
      </c>
      <c r="S307" t="str">
        <f t="shared" si="16"/>
        <v>Okay</v>
      </c>
    </row>
    <row r="308" spans="1:19" x14ac:dyDescent="0.3">
      <c r="A308" t="s">
        <v>318</v>
      </c>
      <c r="B308" s="2">
        <v>45860</v>
      </c>
      <c r="C308" t="s">
        <v>748</v>
      </c>
      <c r="D308" t="s">
        <v>788</v>
      </c>
      <c r="E308" t="s">
        <v>795</v>
      </c>
      <c r="F308" t="s">
        <v>806</v>
      </c>
      <c r="G308" t="s">
        <v>810</v>
      </c>
      <c r="H308">
        <v>2</v>
      </c>
      <c r="I308">
        <v>80.97</v>
      </c>
      <c r="J308">
        <v>0.25</v>
      </c>
      <c r="K308">
        <v>121.46</v>
      </c>
      <c r="L308" t="s">
        <v>814</v>
      </c>
      <c r="N308">
        <f t="shared" si="17"/>
        <v>121.46</v>
      </c>
      <c r="O308" s="5">
        <f t="shared" si="18"/>
        <v>121.455</v>
      </c>
      <c r="P308" t="str">
        <f t="shared" si="19"/>
        <v>Same</v>
      </c>
      <c r="S308" t="str">
        <f t="shared" si="16"/>
        <v>Okay</v>
      </c>
    </row>
    <row r="309" spans="1:19" x14ac:dyDescent="0.3">
      <c r="A309" t="s">
        <v>319</v>
      </c>
      <c r="B309" s="2">
        <v>45861</v>
      </c>
      <c r="C309" t="s">
        <v>749</v>
      </c>
      <c r="D309" t="s">
        <v>785</v>
      </c>
      <c r="E309" t="s">
        <v>792</v>
      </c>
      <c r="F309" t="s">
        <v>804</v>
      </c>
      <c r="G309" t="s">
        <v>809</v>
      </c>
      <c r="H309">
        <v>7</v>
      </c>
      <c r="I309">
        <v>317.85000000000002</v>
      </c>
      <c r="J309">
        <v>0.2</v>
      </c>
      <c r="K309">
        <v>1779.96</v>
      </c>
      <c r="L309" t="s">
        <v>813</v>
      </c>
      <c r="N309">
        <f t="shared" si="17"/>
        <v>1779.96</v>
      </c>
      <c r="O309" s="5">
        <f t="shared" si="18"/>
        <v>1779.9600000000003</v>
      </c>
      <c r="P309" t="str">
        <f t="shared" si="19"/>
        <v>Same</v>
      </c>
      <c r="S309" t="str">
        <f t="shared" si="16"/>
        <v>Okay</v>
      </c>
    </row>
    <row r="310" spans="1:19" x14ac:dyDescent="0.3">
      <c r="A310" t="s">
        <v>320</v>
      </c>
      <c r="B310" s="2">
        <v>45861</v>
      </c>
      <c r="C310" t="s">
        <v>735</v>
      </c>
      <c r="D310" t="s">
        <v>789</v>
      </c>
      <c r="E310" t="s">
        <v>792</v>
      </c>
      <c r="F310" t="s">
        <v>808</v>
      </c>
      <c r="G310" t="s">
        <v>812</v>
      </c>
      <c r="H310">
        <v>4</v>
      </c>
      <c r="I310">
        <v>73.19</v>
      </c>
      <c r="J310">
        <v>0.15</v>
      </c>
      <c r="K310">
        <v>248.85</v>
      </c>
      <c r="L310" t="s">
        <v>814</v>
      </c>
      <c r="N310">
        <f t="shared" si="17"/>
        <v>248.85</v>
      </c>
      <c r="O310" s="5">
        <f t="shared" si="18"/>
        <v>248.84599999999998</v>
      </c>
      <c r="P310" t="str">
        <f t="shared" si="19"/>
        <v>Same</v>
      </c>
      <c r="S310" t="str">
        <f t="shared" si="16"/>
        <v>Okay</v>
      </c>
    </row>
    <row r="311" spans="1:19" x14ac:dyDescent="0.3">
      <c r="A311" t="s">
        <v>321</v>
      </c>
      <c r="B311" s="2">
        <v>45862</v>
      </c>
      <c r="C311" t="s">
        <v>671</v>
      </c>
      <c r="D311" t="s">
        <v>788</v>
      </c>
      <c r="E311" t="s">
        <v>795</v>
      </c>
      <c r="F311" t="s">
        <v>797</v>
      </c>
      <c r="G311" t="s">
        <v>809</v>
      </c>
      <c r="H311">
        <v>5</v>
      </c>
      <c r="I311">
        <v>233.37</v>
      </c>
      <c r="J311">
        <v>0.1</v>
      </c>
      <c r="K311">
        <v>1050.1600000000001</v>
      </c>
      <c r="L311" t="s">
        <v>815</v>
      </c>
      <c r="N311">
        <f t="shared" si="17"/>
        <v>1050.17</v>
      </c>
      <c r="O311" s="5">
        <f t="shared" si="18"/>
        <v>1050.165</v>
      </c>
      <c r="P311" t="str">
        <f t="shared" si="19"/>
        <v>Different</v>
      </c>
      <c r="S311" t="str">
        <f t="shared" si="16"/>
        <v>Okay</v>
      </c>
    </row>
    <row r="312" spans="1:19" x14ac:dyDescent="0.3">
      <c r="A312" t="s">
        <v>322</v>
      </c>
      <c r="B312" s="2">
        <v>45862</v>
      </c>
      <c r="C312" t="s">
        <v>620</v>
      </c>
      <c r="D312" t="s">
        <v>789</v>
      </c>
      <c r="E312" t="s">
        <v>792</v>
      </c>
      <c r="F312" t="s">
        <v>797</v>
      </c>
      <c r="G312" t="s">
        <v>809</v>
      </c>
      <c r="H312">
        <v>8</v>
      </c>
      <c r="I312">
        <v>200.89</v>
      </c>
      <c r="J312">
        <v>0.05</v>
      </c>
      <c r="K312">
        <v>1526.76</v>
      </c>
      <c r="L312" t="s">
        <v>814</v>
      </c>
      <c r="N312">
        <f t="shared" si="17"/>
        <v>1526.76</v>
      </c>
      <c r="O312" s="5">
        <f t="shared" si="18"/>
        <v>1526.7639999999999</v>
      </c>
      <c r="P312" t="str">
        <f t="shared" si="19"/>
        <v>Same</v>
      </c>
      <c r="S312" t="str">
        <f t="shared" si="16"/>
        <v>Okay</v>
      </c>
    </row>
    <row r="313" spans="1:19" x14ac:dyDescent="0.3">
      <c r="A313" t="s">
        <v>323</v>
      </c>
      <c r="B313" s="2">
        <v>45862</v>
      </c>
      <c r="C313" t="s">
        <v>750</v>
      </c>
      <c r="D313" t="s">
        <v>787</v>
      </c>
      <c r="E313" t="s">
        <v>794</v>
      </c>
      <c r="F313" t="s">
        <v>799</v>
      </c>
      <c r="G313" t="s">
        <v>809</v>
      </c>
      <c r="H313">
        <v>4</v>
      </c>
      <c r="I313">
        <v>54.55</v>
      </c>
      <c r="J313">
        <v>0.3</v>
      </c>
      <c r="K313">
        <v>152.74</v>
      </c>
      <c r="L313" t="s">
        <v>815</v>
      </c>
      <c r="N313">
        <f t="shared" si="17"/>
        <v>152.74</v>
      </c>
      <c r="O313" s="5">
        <f t="shared" si="18"/>
        <v>152.73999999999998</v>
      </c>
      <c r="P313" t="str">
        <f t="shared" si="19"/>
        <v>Same</v>
      </c>
      <c r="S313" t="str">
        <f t="shared" si="16"/>
        <v>Okay</v>
      </c>
    </row>
    <row r="314" spans="1:19" x14ac:dyDescent="0.3">
      <c r="A314" t="s">
        <v>324</v>
      </c>
      <c r="B314" s="2">
        <v>45863</v>
      </c>
      <c r="C314" t="s">
        <v>750</v>
      </c>
      <c r="D314" t="s">
        <v>786</v>
      </c>
      <c r="E314" t="s">
        <v>793</v>
      </c>
      <c r="F314" t="s">
        <v>798</v>
      </c>
      <c r="G314" t="s">
        <v>810</v>
      </c>
      <c r="H314">
        <v>2</v>
      </c>
      <c r="I314">
        <v>288.18</v>
      </c>
      <c r="J314">
        <v>0.05</v>
      </c>
      <c r="K314">
        <v>547.54</v>
      </c>
      <c r="L314" t="s">
        <v>813</v>
      </c>
      <c r="N314">
        <f t="shared" si="17"/>
        <v>547.54</v>
      </c>
      <c r="O314" s="5">
        <f t="shared" si="18"/>
        <v>547.54200000000003</v>
      </c>
      <c r="P314" t="str">
        <f t="shared" si="19"/>
        <v>Same</v>
      </c>
      <c r="S314" t="str">
        <f t="shared" si="16"/>
        <v>Okay</v>
      </c>
    </row>
    <row r="315" spans="1:19" x14ac:dyDescent="0.3">
      <c r="A315" t="s">
        <v>325</v>
      </c>
      <c r="B315" s="2">
        <v>45864</v>
      </c>
      <c r="C315" t="s">
        <v>634</v>
      </c>
      <c r="D315" t="s">
        <v>786</v>
      </c>
      <c r="E315" t="s">
        <v>793</v>
      </c>
      <c r="F315" t="s">
        <v>797</v>
      </c>
      <c r="G315" t="s">
        <v>809</v>
      </c>
      <c r="H315">
        <v>4</v>
      </c>
      <c r="I315">
        <v>208.24</v>
      </c>
      <c r="J315">
        <v>0.2</v>
      </c>
      <c r="K315">
        <v>666.37</v>
      </c>
      <c r="L315" t="s">
        <v>814</v>
      </c>
      <c r="N315">
        <f t="shared" si="17"/>
        <v>666.37</v>
      </c>
      <c r="O315" s="5">
        <f t="shared" si="18"/>
        <v>666.36800000000005</v>
      </c>
      <c r="P315" t="str">
        <f t="shared" si="19"/>
        <v>Same</v>
      </c>
      <c r="S315" t="str">
        <f t="shared" si="16"/>
        <v>Okay</v>
      </c>
    </row>
    <row r="316" spans="1:19" x14ac:dyDescent="0.3">
      <c r="A316" t="s">
        <v>326</v>
      </c>
      <c r="B316" s="2">
        <v>45865</v>
      </c>
      <c r="C316" t="s">
        <v>618</v>
      </c>
      <c r="D316" t="s">
        <v>788</v>
      </c>
      <c r="E316" t="s">
        <v>795</v>
      </c>
      <c r="F316" t="s">
        <v>797</v>
      </c>
      <c r="G316" t="s">
        <v>809</v>
      </c>
      <c r="H316">
        <v>6</v>
      </c>
      <c r="I316">
        <v>224.94</v>
      </c>
      <c r="J316">
        <v>0.1</v>
      </c>
      <c r="K316">
        <v>1214.68</v>
      </c>
      <c r="L316" t="s">
        <v>815</v>
      </c>
      <c r="N316">
        <f t="shared" si="17"/>
        <v>1214.68</v>
      </c>
      <c r="O316" s="5">
        <f t="shared" si="18"/>
        <v>1214.6759999999999</v>
      </c>
      <c r="P316" t="str">
        <f t="shared" si="19"/>
        <v>Same</v>
      </c>
      <c r="S316" t="str">
        <f t="shared" si="16"/>
        <v>Okay</v>
      </c>
    </row>
    <row r="317" spans="1:19" x14ac:dyDescent="0.3">
      <c r="A317" t="s">
        <v>327</v>
      </c>
      <c r="B317" s="2">
        <v>45865</v>
      </c>
      <c r="C317" t="s">
        <v>749</v>
      </c>
      <c r="D317" t="s">
        <v>787</v>
      </c>
      <c r="E317" t="s">
        <v>794</v>
      </c>
      <c r="F317" t="s">
        <v>804</v>
      </c>
      <c r="G317" t="s">
        <v>809</v>
      </c>
      <c r="H317">
        <v>8</v>
      </c>
      <c r="I317">
        <v>330.19</v>
      </c>
      <c r="J317">
        <v>0.05</v>
      </c>
      <c r="K317">
        <v>2509.44</v>
      </c>
      <c r="L317" t="s">
        <v>815</v>
      </c>
      <c r="N317">
        <f t="shared" si="17"/>
        <v>2509.44</v>
      </c>
      <c r="O317" s="5">
        <f t="shared" si="18"/>
        <v>2509.444</v>
      </c>
      <c r="P317" t="str">
        <f t="shared" si="19"/>
        <v>Same</v>
      </c>
      <c r="S317" t="str">
        <f t="shared" si="16"/>
        <v>Okay</v>
      </c>
    </row>
    <row r="318" spans="1:19" x14ac:dyDescent="0.3">
      <c r="A318" t="s">
        <v>328</v>
      </c>
      <c r="B318" s="2">
        <v>45865</v>
      </c>
      <c r="C318" t="s">
        <v>658</v>
      </c>
      <c r="D318" t="s">
        <v>790</v>
      </c>
      <c r="E318" t="s">
        <v>796</v>
      </c>
      <c r="F318" t="s">
        <v>804</v>
      </c>
      <c r="G318" t="s">
        <v>809</v>
      </c>
      <c r="H318">
        <v>6</v>
      </c>
      <c r="I318">
        <v>374.8</v>
      </c>
      <c r="J318">
        <v>0.1</v>
      </c>
      <c r="K318">
        <v>2023.92</v>
      </c>
      <c r="L318" t="s">
        <v>814</v>
      </c>
      <c r="N318">
        <f t="shared" si="17"/>
        <v>2023.92</v>
      </c>
      <c r="O318" s="5">
        <f t="shared" si="18"/>
        <v>2023.9200000000003</v>
      </c>
      <c r="P318" t="str">
        <f t="shared" si="19"/>
        <v>Same</v>
      </c>
      <c r="S318" t="str">
        <f t="shared" si="16"/>
        <v>Okay</v>
      </c>
    </row>
    <row r="319" spans="1:19" x14ac:dyDescent="0.3">
      <c r="A319" t="s">
        <v>329</v>
      </c>
      <c r="B319" s="2">
        <v>45867</v>
      </c>
      <c r="C319" t="s">
        <v>664</v>
      </c>
      <c r="D319" t="s">
        <v>787</v>
      </c>
      <c r="E319" t="s">
        <v>794</v>
      </c>
      <c r="F319" t="s">
        <v>807</v>
      </c>
      <c r="G319" t="s">
        <v>810</v>
      </c>
      <c r="H319">
        <v>4</v>
      </c>
      <c r="I319">
        <v>946.9</v>
      </c>
      <c r="J319">
        <v>0</v>
      </c>
      <c r="K319">
        <v>3787.6</v>
      </c>
      <c r="L319" t="s">
        <v>815</v>
      </c>
      <c r="N319">
        <f t="shared" si="17"/>
        <v>3787.6</v>
      </c>
      <c r="O319" s="5">
        <f t="shared" si="18"/>
        <v>3787.6</v>
      </c>
      <c r="P319" t="str">
        <f t="shared" si="19"/>
        <v>Same</v>
      </c>
      <c r="S319" t="str">
        <f t="shared" si="16"/>
        <v>Okay</v>
      </c>
    </row>
    <row r="320" spans="1:19" x14ac:dyDescent="0.3">
      <c r="A320" t="s">
        <v>330</v>
      </c>
      <c r="B320" s="2">
        <v>45867</v>
      </c>
      <c r="C320" t="s">
        <v>751</v>
      </c>
      <c r="D320" t="s">
        <v>786</v>
      </c>
      <c r="E320" t="s">
        <v>793</v>
      </c>
      <c r="F320" t="s">
        <v>807</v>
      </c>
      <c r="G320" t="s">
        <v>810</v>
      </c>
      <c r="H320">
        <v>2</v>
      </c>
      <c r="I320">
        <v>895.24</v>
      </c>
      <c r="J320">
        <v>0</v>
      </c>
      <c r="K320">
        <v>1790.48</v>
      </c>
      <c r="L320" t="s">
        <v>814</v>
      </c>
      <c r="N320">
        <f t="shared" si="17"/>
        <v>1790.48</v>
      </c>
      <c r="O320" s="5">
        <f t="shared" si="18"/>
        <v>1790.48</v>
      </c>
      <c r="P320" t="str">
        <f t="shared" si="19"/>
        <v>Same</v>
      </c>
      <c r="S320" t="str">
        <f t="shared" si="16"/>
        <v>Okay</v>
      </c>
    </row>
    <row r="321" spans="1:19" x14ac:dyDescent="0.3">
      <c r="A321" t="s">
        <v>331</v>
      </c>
      <c r="B321" s="2">
        <v>45867</v>
      </c>
      <c r="C321" t="s">
        <v>752</v>
      </c>
      <c r="D321" t="s">
        <v>789</v>
      </c>
      <c r="E321" t="s">
        <v>792</v>
      </c>
      <c r="F321" t="s">
        <v>803</v>
      </c>
      <c r="G321" t="s">
        <v>810</v>
      </c>
      <c r="H321">
        <v>6</v>
      </c>
      <c r="J321">
        <v>0.1</v>
      </c>
      <c r="K321">
        <v>593.41</v>
      </c>
      <c r="L321" t="s">
        <v>814</v>
      </c>
      <c r="N321">
        <f t="shared" si="17"/>
        <v>0</v>
      </c>
      <c r="O321" s="5">
        <f t="shared" si="18"/>
        <v>0</v>
      </c>
      <c r="P321" t="str">
        <f t="shared" si="19"/>
        <v>Different</v>
      </c>
      <c r="S321" t="str">
        <f t="shared" si="16"/>
        <v>Okay</v>
      </c>
    </row>
    <row r="322" spans="1:19" x14ac:dyDescent="0.3">
      <c r="A322" t="s">
        <v>332</v>
      </c>
      <c r="B322" s="2">
        <v>45867</v>
      </c>
      <c r="C322" t="s">
        <v>664</v>
      </c>
      <c r="D322" t="s">
        <v>787</v>
      </c>
      <c r="E322" t="s">
        <v>794</v>
      </c>
      <c r="F322" t="s">
        <v>805</v>
      </c>
      <c r="G322" t="s">
        <v>810</v>
      </c>
      <c r="H322">
        <v>1</v>
      </c>
      <c r="I322">
        <v>42.92</v>
      </c>
      <c r="J322">
        <v>0.1</v>
      </c>
      <c r="K322">
        <v>38.630000000000003</v>
      </c>
      <c r="L322" t="s">
        <v>813</v>
      </c>
      <c r="N322">
        <f t="shared" si="17"/>
        <v>38.630000000000003</v>
      </c>
      <c r="O322" s="5">
        <f t="shared" si="18"/>
        <v>38.628</v>
      </c>
      <c r="P322" t="str">
        <f t="shared" si="19"/>
        <v>Same</v>
      </c>
      <c r="S322" t="str">
        <f t="shared" ref="S322:S385" si="20">IF(OR(B322&lt;DATE(2025,1,1),B322&gt;DATE(2025,12,31)),"Strange", "Okay")</f>
        <v>Okay</v>
      </c>
    </row>
    <row r="323" spans="1:19" x14ac:dyDescent="0.3">
      <c r="A323" t="s">
        <v>333</v>
      </c>
      <c r="B323" s="2">
        <v>45868</v>
      </c>
      <c r="C323" t="s">
        <v>672</v>
      </c>
      <c r="D323" t="s">
        <v>789</v>
      </c>
      <c r="E323" t="s">
        <v>792</v>
      </c>
      <c r="F323" t="s">
        <v>808</v>
      </c>
      <c r="G323" t="s">
        <v>812</v>
      </c>
      <c r="H323">
        <v>2</v>
      </c>
      <c r="I323">
        <v>81.069999999999993</v>
      </c>
      <c r="J323">
        <v>0.15</v>
      </c>
      <c r="K323">
        <v>137.82</v>
      </c>
      <c r="L323" t="s">
        <v>814</v>
      </c>
      <c r="N323">
        <f t="shared" ref="N323:N386" si="21">ROUND(H323*I323*(1-J323),2)</f>
        <v>137.82</v>
      </c>
      <c r="O323" s="5">
        <f t="shared" ref="O323:O386" si="22">H323*I323*(1-J323)</f>
        <v>137.81899999999999</v>
      </c>
      <c r="P323" t="str">
        <f t="shared" ref="P323:P386" si="23">IF(ROUND(O323,2)=ROUND(K323,2),"Same","Different")</f>
        <v>Same</v>
      </c>
      <c r="S323" t="str">
        <f t="shared" si="20"/>
        <v>Okay</v>
      </c>
    </row>
    <row r="324" spans="1:19" x14ac:dyDescent="0.3">
      <c r="A324" t="s">
        <v>334</v>
      </c>
      <c r="B324" s="2">
        <v>45868</v>
      </c>
      <c r="C324" t="s">
        <v>658</v>
      </c>
      <c r="D324" t="s">
        <v>790</v>
      </c>
      <c r="E324" t="s">
        <v>796</v>
      </c>
      <c r="F324" t="s">
        <v>804</v>
      </c>
      <c r="G324" t="s">
        <v>809</v>
      </c>
      <c r="H324">
        <v>7</v>
      </c>
      <c r="I324">
        <v>318.06</v>
      </c>
      <c r="J324">
        <v>0</v>
      </c>
      <c r="K324">
        <v>2226.42</v>
      </c>
      <c r="L324" t="s">
        <v>814</v>
      </c>
      <c r="N324">
        <f t="shared" si="21"/>
        <v>2226.42</v>
      </c>
      <c r="O324" s="5">
        <f t="shared" si="22"/>
        <v>2226.42</v>
      </c>
      <c r="P324" t="str">
        <f t="shared" si="23"/>
        <v>Same</v>
      </c>
      <c r="S324" t="str">
        <f t="shared" si="20"/>
        <v>Okay</v>
      </c>
    </row>
    <row r="325" spans="1:19" x14ac:dyDescent="0.3">
      <c r="A325" t="s">
        <v>335</v>
      </c>
      <c r="B325" s="2">
        <v>45869</v>
      </c>
      <c r="C325" t="s">
        <v>753</v>
      </c>
      <c r="D325" t="s">
        <v>785</v>
      </c>
      <c r="E325" t="s">
        <v>792</v>
      </c>
      <c r="F325" t="s">
        <v>805</v>
      </c>
      <c r="G325" t="s">
        <v>810</v>
      </c>
      <c r="H325">
        <v>4</v>
      </c>
      <c r="I325">
        <v>49.38</v>
      </c>
      <c r="J325">
        <v>0.15</v>
      </c>
      <c r="K325">
        <v>167.89</v>
      </c>
      <c r="L325" t="s">
        <v>815</v>
      </c>
      <c r="N325">
        <f t="shared" si="21"/>
        <v>167.89</v>
      </c>
      <c r="O325" s="5">
        <f t="shared" si="22"/>
        <v>167.892</v>
      </c>
      <c r="P325" t="str">
        <f t="shared" si="23"/>
        <v>Same</v>
      </c>
      <c r="S325" t="str">
        <f t="shared" si="20"/>
        <v>Okay</v>
      </c>
    </row>
    <row r="326" spans="1:19" x14ac:dyDescent="0.3">
      <c r="A326" t="s">
        <v>336</v>
      </c>
      <c r="B326" s="2">
        <v>45869</v>
      </c>
      <c r="C326" t="s">
        <v>754</v>
      </c>
      <c r="D326" t="s">
        <v>785</v>
      </c>
      <c r="E326" t="s">
        <v>792</v>
      </c>
      <c r="F326" t="s">
        <v>806</v>
      </c>
      <c r="G326" t="s">
        <v>810</v>
      </c>
      <c r="H326">
        <v>4</v>
      </c>
      <c r="I326">
        <v>81.81</v>
      </c>
      <c r="J326">
        <v>0.15</v>
      </c>
      <c r="K326">
        <v>278.14999999999998</v>
      </c>
      <c r="L326" t="s">
        <v>814</v>
      </c>
      <c r="N326">
        <f t="shared" si="21"/>
        <v>278.14999999999998</v>
      </c>
      <c r="O326" s="5">
        <f t="shared" si="22"/>
        <v>278.154</v>
      </c>
      <c r="P326" t="str">
        <f t="shared" si="23"/>
        <v>Same</v>
      </c>
      <c r="S326" t="str">
        <f t="shared" si="20"/>
        <v>Okay</v>
      </c>
    </row>
    <row r="327" spans="1:19" x14ac:dyDescent="0.3">
      <c r="A327" t="s">
        <v>337</v>
      </c>
      <c r="B327" s="2">
        <v>45869</v>
      </c>
      <c r="C327" t="s">
        <v>648</v>
      </c>
      <c r="D327" t="s">
        <v>789</v>
      </c>
      <c r="E327" t="s">
        <v>792</v>
      </c>
      <c r="F327" t="s">
        <v>805</v>
      </c>
      <c r="G327" t="s">
        <v>810</v>
      </c>
      <c r="H327">
        <v>2</v>
      </c>
      <c r="I327">
        <v>42.31</v>
      </c>
      <c r="J327">
        <v>0.05</v>
      </c>
      <c r="K327">
        <v>80.39</v>
      </c>
      <c r="L327" t="s">
        <v>814</v>
      </c>
      <c r="N327">
        <f t="shared" si="21"/>
        <v>80.39</v>
      </c>
      <c r="O327" s="5">
        <f t="shared" si="22"/>
        <v>80.388999999999996</v>
      </c>
      <c r="P327" t="str">
        <f t="shared" si="23"/>
        <v>Same</v>
      </c>
      <c r="S327" t="str">
        <f t="shared" si="20"/>
        <v>Okay</v>
      </c>
    </row>
    <row r="328" spans="1:19" x14ac:dyDescent="0.3">
      <c r="A328" t="s">
        <v>338</v>
      </c>
      <c r="B328" s="2">
        <v>45871</v>
      </c>
      <c r="C328" t="s">
        <v>683</v>
      </c>
      <c r="D328" t="s">
        <v>785</v>
      </c>
      <c r="E328" t="s">
        <v>792</v>
      </c>
      <c r="F328" t="s">
        <v>799</v>
      </c>
      <c r="G328" t="s">
        <v>809</v>
      </c>
      <c r="H328">
        <v>2</v>
      </c>
      <c r="I328">
        <v>56.32</v>
      </c>
      <c r="J328">
        <v>0.1</v>
      </c>
      <c r="K328">
        <v>101.38</v>
      </c>
      <c r="L328" t="s">
        <v>815</v>
      </c>
      <c r="N328">
        <f t="shared" si="21"/>
        <v>101.38</v>
      </c>
      <c r="O328" s="5">
        <f t="shared" si="22"/>
        <v>101.376</v>
      </c>
      <c r="P328" t="str">
        <f t="shared" si="23"/>
        <v>Same</v>
      </c>
      <c r="S328" t="str">
        <f t="shared" si="20"/>
        <v>Okay</v>
      </c>
    </row>
    <row r="329" spans="1:19" x14ac:dyDescent="0.3">
      <c r="A329" t="s">
        <v>339</v>
      </c>
      <c r="B329" s="2">
        <v>45871</v>
      </c>
      <c r="C329" t="s">
        <v>613</v>
      </c>
      <c r="D329" t="s">
        <v>785</v>
      </c>
      <c r="E329" t="s">
        <v>792</v>
      </c>
      <c r="F329" t="s">
        <v>798</v>
      </c>
      <c r="G329" t="s">
        <v>810</v>
      </c>
      <c r="H329">
        <v>5</v>
      </c>
      <c r="I329">
        <v>279.88</v>
      </c>
      <c r="J329">
        <v>0.05</v>
      </c>
      <c r="K329">
        <v>1329.43</v>
      </c>
      <c r="L329" t="s">
        <v>813</v>
      </c>
      <c r="N329">
        <f t="shared" si="21"/>
        <v>1329.43</v>
      </c>
      <c r="O329" s="5">
        <f t="shared" si="22"/>
        <v>1329.43</v>
      </c>
      <c r="P329" t="str">
        <f t="shared" si="23"/>
        <v>Same</v>
      </c>
      <c r="S329" t="str">
        <f t="shared" si="20"/>
        <v>Okay</v>
      </c>
    </row>
    <row r="330" spans="1:19" x14ac:dyDescent="0.3">
      <c r="A330" t="s">
        <v>340</v>
      </c>
      <c r="B330" s="2">
        <v>45872</v>
      </c>
      <c r="C330" t="s">
        <v>627</v>
      </c>
      <c r="D330" t="s">
        <v>790</v>
      </c>
      <c r="E330" t="s">
        <v>796</v>
      </c>
      <c r="F330" t="s">
        <v>804</v>
      </c>
      <c r="G330" t="s">
        <v>809</v>
      </c>
      <c r="H330">
        <v>7</v>
      </c>
      <c r="I330">
        <v>335.81</v>
      </c>
      <c r="J330">
        <v>0.25</v>
      </c>
      <c r="K330">
        <v>1763</v>
      </c>
      <c r="L330" t="s">
        <v>816</v>
      </c>
      <c r="N330">
        <f t="shared" si="21"/>
        <v>1763</v>
      </c>
      <c r="O330" s="5">
        <f t="shared" si="22"/>
        <v>1763.0025000000001</v>
      </c>
      <c r="P330" t="str">
        <f t="shared" si="23"/>
        <v>Same</v>
      </c>
      <c r="S330" t="str">
        <f t="shared" si="20"/>
        <v>Okay</v>
      </c>
    </row>
    <row r="331" spans="1:19" x14ac:dyDescent="0.3">
      <c r="A331" t="s">
        <v>341</v>
      </c>
      <c r="B331" s="2">
        <v>45872</v>
      </c>
      <c r="C331" t="s">
        <v>755</v>
      </c>
      <c r="D331" t="s">
        <v>786</v>
      </c>
      <c r="E331" t="s">
        <v>793</v>
      </c>
      <c r="F331" t="s">
        <v>798</v>
      </c>
      <c r="G331" t="s">
        <v>810</v>
      </c>
      <c r="H331">
        <v>4</v>
      </c>
      <c r="I331">
        <v>281.7</v>
      </c>
      <c r="J331">
        <v>0.2</v>
      </c>
      <c r="K331">
        <v>901.44</v>
      </c>
      <c r="L331" t="s">
        <v>813</v>
      </c>
      <c r="N331">
        <f t="shared" si="21"/>
        <v>901.44</v>
      </c>
      <c r="O331" s="5">
        <f t="shared" si="22"/>
        <v>901.44</v>
      </c>
      <c r="P331" t="str">
        <f t="shared" si="23"/>
        <v>Same</v>
      </c>
      <c r="S331" t="str">
        <f t="shared" si="20"/>
        <v>Okay</v>
      </c>
    </row>
    <row r="332" spans="1:19" x14ac:dyDescent="0.3">
      <c r="A332" t="s">
        <v>342</v>
      </c>
      <c r="B332" s="2">
        <v>45872</v>
      </c>
      <c r="C332" t="s">
        <v>741</v>
      </c>
      <c r="D332" t="s">
        <v>785</v>
      </c>
      <c r="E332" t="s">
        <v>792</v>
      </c>
      <c r="F332" t="s">
        <v>806</v>
      </c>
      <c r="G332" t="s">
        <v>810</v>
      </c>
      <c r="H332">
        <v>7</v>
      </c>
      <c r="I332">
        <v>75.38</v>
      </c>
      <c r="J332">
        <v>0.2</v>
      </c>
      <c r="K332">
        <v>422.13</v>
      </c>
      <c r="L332" t="s">
        <v>814</v>
      </c>
      <c r="N332">
        <f t="shared" si="21"/>
        <v>422.13</v>
      </c>
      <c r="O332" s="5">
        <f t="shared" si="22"/>
        <v>422.12799999999999</v>
      </c>
      <c r="P332" t="str">
        <f t="shared" si="23"/>
        <v>Same</v>
      </c>
      <c r="S332" t="str">
        <f t="shared" si="20"/>
        <v>Okay</v>
      </c>
    </row>
    <row r="333" spans="1:19" x14ac:dyDescent="0.3">
      <c r="A333" t="s">
        <v>343</v>
      </c>
      <c r="B333" s="2">
        <v>45873</v>
      </c>
      <c r="C333" t="s">
        <v>684</v>
      </c>
      <c r="D333" t="s">
        <v>789</v>
      </c>
      <c r="E333" t="s">
        <v>792</v>
      </c>
      <c r="F333" t="s">
        <v>799</v>
      </c>
      <c r="G333" t="s">
        <v>809</v>
      </c>
      <c r="H333">
        <v>3</v>
      </c>
      <c r="I333">
        <v>52.36</v>
      </c>
      <c r="J333">
        <v>0.05</v>
      </c>
      <c r="K333">
        <v>149.22999999999999</v>
      </c>
      <c r="L333" t="s">
        <v>816</v>
      </c>
      <c r="N333">
        <f t="shared" si="21"/>
        <v>149.22999999999999</v>
      </c>
      <c r="O333" s="5">
        <f t="shared" si="22"/>
        <v>149.22599999999997</v>
      </c>
      <c r="P333" t="str">
        <f t="shared" si="23"/>
        <v>Same</v>
      </c>
      <c r="S333" t="str">
        <f t="shared" si="20"/>
        <v>Okay</v>
      </c>
    </row>
    <row r="334" spans="1:19" x14ac:dyDescent="0.3">
      <c r="A334" t="s">
        <v>344</v>
      </c>
      <c r="B334" s="2">
        <v>45874</v>
      </c>
      <c r="C334" t="s">
        <v>615</v>
      </c>
      <c r="D334" t="s">
        <v>786</v>
      </c>
      <c r="E334" t="s">
        <v>793</v>
      </c>
      <c r="F334" t="s">
        <v>803</v>
      </c>
      <c r="G334" t="s">
        <v>810</v>
      </c>
      <c r="H334">
        <v>1</v>
      </c>
      <c r="I334">
        <v>117.07</v>
      </c>
      <c r="J334">
        <v>0.1</v>
      </c>
      <c r="K334">
        <v>105.36</v>
      </c>
      <c r="L334" t="s">
        <v>815</v>
      </c>
      <c r="N334">
        <f t="shared" si="21"/>
        <v>105.36</v>
      </c>
      <c r="O334" s="5">
        <f t="shared" si="22"/>
        <v>105.363</v>
      </c>
      <c r="P334" t="str">
        <f t="shared" si="23"/>
        <v>Same</v>
      </c>
      <c r="S334" t="str">
        <f t="shared" si="20"/>
        <v>Okay</v>
      </c>
    </row>
    <row r="335" spans="1:19" x14ac:dyDescent="0.3">
      <c r="A335" t="s">
        <v>345</v>
      </c>
      <c r="B335" s="2">
        <v>45874</v>
      </c>
      <c r="C335" t="s">
        <v>700</v>
      </c>
      <c r="D335" t="s">
        <v>789</v>
      </c>
      <c r="E335" t="s">
        <v>792</v>
      </c>
      <c r="F335" t="s">
        <v>798</v>
      </c>
      <c r="G335" t="s">
        <v>810</v>
      </c>
      <c r="H335">
        <v>4</v>
      </c>
      <c r="I335">
        <v>311.57</v>
      </c>
      <c r="J335">
        <v>0.05</v>
      </c>
      <c r="K335">
        <v>1183.97</v>
      </c>
      <c r="L335" t="s">
        <v>816</v>
      </c>
      <c r="N335">
        <f t="shared" si="21"/>
        <v>1183.97</v>
      </c>
      <c r="O335" s="5">
        <f t="shared" si="22"/>
        <v>1183.9659999999999</v>
      </c>
      <c r="P335" t="str">
        <f t="shared" si="23"/>
        <v>Same</v>
      </c>
      <c r="S335" t="str">
        <f t="shared" si="20"/>
        <v>Okay</v>
      </c>
    </row>
    <row r="336" spans="1:19" x14ac:dyDescent="0.3">
      <c r="A336" t="s">
        <v>346</v>
      </c>
      <c r="B336" s="2">
        <v>45876</v>
      </c>
      <c r="C336" t="s">
        <v>683</v>
      </c>
      <c r="D336" t="s">
        <v>785</v>
      </c>
      <c r="E336" t="s">
        <v>792</v>
      </c>
      <c r="F336" t="s">
        <v>802</v>
      </c>
      <c r="G336" t="s">
        <v>811</v>
      </c>
      <c r="H336">
        <v>5</v>
      </c>
      <c r="I336">
        <v>273.95</v>
      </c>
      <c r="J336">
        <v>0.1</v>
      </c>
      <c r="K336">
        <v>1232.78</v>
      </c>
      <c r="L336" t="s">
        <v>814</v>
      </c>
      <c r="N336">
        <f t="shared" si="21"/>
        <v>1232.78</v>
      </c>
      <c r="O336" s="5">
        <f t="shared" si="22"/>
        <v>1232.7750000000001</v>
      </c>
      <c r="P336" t="str">
        <f t="shared" si="23"/>
        <v>Same</v>
      </c>
      <c r="S336" t="str">
        <f t="shared" si="20"/>
        <v>Okay</v>
      </c>
    </row>
    <row r="337" spans="1:19" x14ac:dyDescent="0.3">
      <c r="A337" t="s">
        <v>347</v>
      </c>
      <c r="B337" s="2">
        <v>45877</v>
      </c>
      <c r="C337" t="s">
        <v>679</v>
      </c>
      <c r="D337" t="s">
        <v>785</v>
      </c>
      <c r="E337" t="s">
        <v>792</v>
      </c>
      <c r="F337" t="s">
        <v>802</v>
      </c>
      <c r="G337" t="s">
        <v>811</v>
      </c>
      <c r="H337">
        <v>5</v>
      </c>
      <c r="I337">
        <v>253.4</v>
      </c>
      <c r="J337">
        <v>0.05</v>
      </c>
      <c r="K337">
        <v>1203.6500000000001</v>
      </c>
      <c r="L337" t="s">
        <v>816</v>
      </c>
      <c r="N337">
        <f t="shared" si="21"/>
        <v>1203.6500000000001</v>
      </c>
      <c r="O337" s="5">
        <f t="shared" si="22"/>
        <v>1203.6499999999999</v>
      </c>
      <c r="P337" t="str">
        <f t="shared" si="23"/>
        <v>Same</v>
      </c>
      <c r="S337" t="str">
        <f t="shared" si="20"/>
        <v>Okay</v>
      </c>
    </row>
    <row r="338" spans="1:19" x14ac:dyDescent="0.3">
      <c r="A338" t="s">
        <v>348</v>
      </c>
      <c r="B338" s="2">
        <v>45877</v>
      </c>
      <c r="C338" t="s">
        <v>626</v>
      </c>
      <c r="D338" t="s">
        <v>787</v>
      </c>
      <c r="E338" t="s">
        <v>794</v>
      </c>
      <c r="F338" t="s">
        <v>808</v>
      </c>
      <c r="G338" t="s">
        <v>812</v>
      </c>
      <c r="H338">
        <v>8</v>
      </c>
      <c r="I338">
        <v>68.53</v>
      </c>
      <c r="J338">
        <v>0.1</v>
      </c>
      <c r="K338">
        <v>493.42</v>
      </c>
      <c r="L338" t="s">
        <v>814</v>
      </c>
      <c r="N338">
        <f t="shared" si="21"/>
        <v>493.42</v>
      </c>
      <c r="O338" s="5">
        <f t="shared" si="22"/>
        <v>493.416</v>
      </c>
      <c r="P338" t="str">
        <f t="shared" si="23"/>
        <v>Same</v>
      </c>
      <c r="S338" t="str">
        <f t="shared" si="20"/>
        <v>Okay</v>
      </c>
    </row>
    <row r="339" spans="1:19" x14ac:dyDescent="0.3">
      <c r="A339" t="s">
        <v>349</v>
      </c>
      <c r="B339" s="2">
        <v>45877</v>
      </c>
      <c r="C339" t="s">
        <v>649</v>
      </c>
      <c r="D339" t="s">
        <v>788</v>
      </c>
      <c r="E339" t="s">
        <v>795</v>
      </c>
      <c r="F339" t="s">
        <v>797</v>
      </c>
      <c r="G339" t="s">
        <v>809</v>
      </c>
      <c r="H339">
        <v>5</v>
      </c>
      <c r="I339">
        <v>201.03</v>
      </c>
      <c r="J339">
        <v>0</v>
      </c>
      <c r="K339">
        <v>1005.15</v>
      </c>
      <c r="L339" t="s">
        <v>814</v>
      </c>
      <c r="N339">
        <f t="shared" si="21"/>
        <v>1005.15</v>
      </c>
      <c r="O339" s="5">
        <f t="shared" si="22"/>
        <v>1005.15</v>
      </c>
      <c r="P339" t="str">
        <f t="shared" si="23"/>
        <v>Same</v>
      </c>
      <c r="S339" t="str">
        <f t="shared" si="20"/>
        <v>Okay</v>
      </c>
    </row>
    <row r="340" spans="1:19" x14ac:dyDescent="0.3">
      <c r="A340" t="s">
        <v>350</v>
      </c>
      <c r="B340" s="2">
        <v>45878</v>
      </c>
      <c r="C340" t="s">
        <v>635</v>
      </c>
      <c r="D340" t="s">
        <v>785</v>
      </c>
      <c r="E340" t="s">
        <v>792</v>
      </c>
      <c r="F340" t="s">
        <v>802</v>
      </c>
      <c r="G340" t="s">
        <v>811</v>
      </c>
      <c r="H340">
        <v>1</v>
      </c>
      <c r="I340">
        <v>233.76</v>
      </c>
      <c r="J340">
        <v>0.2</v>
      </c>
      <c r="K340">
        <v>187.01</v>
      </c>
      <c r="L340" t="s">
        <v>814</v>
      </c>
      <c r="N340">
        <f t="shared" si="21"/>
        <v>187.01</v>
      </c>
      <c r="O340" s="5">
        <f t="shared" si="22"/>
        <v>187.00800000000001</v>
      </c>
      <c r="P340" t="str">
        <f t="shared" si="23"/>
        <v>Same</v>
      </c>
      <c r="S340" t="str">
        <f t="shared" si="20"/>
        <v>Okay</v>
      </c>
    </row>
    <row r="341" spans="1:19" x14ac:dyDescent="0.3">
      <c r="A341" t="s">
        <v>351</v>
      </c>
      <c r="B341" s="2">
        <v>45878</v>
      </c>
      <c r="C341" t="s">
        <v>659</v>
      </c>
      <c r="D341" t="s">
        <v>788</v>
      </c>
      <c r="E341" t="s">
        <v>795</v>
      </c>
      <c r="F341" t="s">
        <v>803</v>
      </c>
      <c r="G341" t="s">
        <v>810</v>
      </c>
      <c r="H341">
        <v>6</v>
      </c>
      <c r="I341">
        <v>126.06</v>
      </c>
      <c r="J341">
        <v>0.1</v>
      </c>
      <c r="K341">
        <v>680.72</v>
      </c>
      <c r="L341" t="s">
        <v>815</v>
      </c>
      <c r="N341">
        <f t="shared" si="21"/>
        <v>680.72</v>
      </c>
      <c r="O341" s="5">
        <f t="shared" si="22"/>
        <v>680.72400000000005</v>
      </c>
      <c r="P341" t="str">
        <f t="shared" si="23"/>
        <v>Same</v>
      </c>
      <c r="S341" t="str">
        <f t="shared" si="20"/>
        <v>Okay</v>
      </c>
    </row>
    <row r="342" spans="1:19" x14ac:dyDescent="0.3">
      <c r="A342" t="s">
        <v>352</v>
      </c>
      <c r="B342" s="2">
        <v>45879</v>
      </c>
      <c r="C342" t="s">
        <v>743</v>
      </c>
      <c r="D342" t="s">
        <v>787</v>
      </c>
      <c r="E342" t="s">
        <v>794</v>
      </c>
      <c r="F342" t="s">
        <v>803</v>
      </c>
      <c r="G342" t="s">
        <v>810</v>
      </c>
      <c r="H342">
        <v>7</v>
      </c>
      <c r="I342">
        <v>129.5</v>
      </c>
      <c r="J342">
        <v>0.1</v>
      </c>
      <c r="K342">
        <v>815.85</v>
      </c>
      <c r="L342" t="s">
        <v>815</v>
      </c>
      <c r="N342">
        <f t="shared" si="21"/>
        <v>815.85</v>
      </c>
      <c r="O342" s="5">
        <f t="shared" si="22"/>
        <v>815.85</v>
      </c>
      <c r="P342" t="str">
        <f t="shared" si="23"/>
        <v>Same</v>
      </c>
      <c r="S342" t="str">
        <f t="shared" si="20"/>
        <v>Okay</v>
      </c>
    </row>
    <row r="343" spans="1:19" x14ac:dyDescent="0.3">
      <c r="A343" t="s">
        <v>353</v>
      </c>
      <c r="B343" s="2">
        <v>45880</v>
      </c>
      <c r="C343" t="s">
        <v>756</v>
      </c>
      <c r="D343" t="s">
        <v>790</v>
      </c>
      <c r="E343" t="s">
        <v>796</v>
      </c>
      <c r="F343" t="s">
        <v>806</v>
      </c>
      <c r="G343" t="s">
        <v>810</v>
      </c>
      <c r="H343">
        <v>6</v>
      </c>
      <c r="I343">
        <v>85.28</v>
      </c>
      <c r="J343">
        <v>0.1</v>
      </c>
      <c r="K343">
        <v>460.51</v>
      </c>
      <c r="L343" t="s">
        <v>815</v>
      </c>
      <c r="N343">
        <f t="shared" si="21"/>
        <v>460.51</v>
      </c>
      <c r="O343" s="5">
        <f t="shared" si="22"/>
        <v>460.512</v>
      </c>
      <c r="P343" t="str">
        <f t="shared" si="23"/>
        <v>Same</v>
      </c>
      <c r="S343" t="str">
        <f t="shared" si="20"/>
        <v>Okay</v>
      </c>
    </row>
    <row r="344" spans="1:19" x14ac:dyDescent="0.3">
      <c r="A344" t="s">
        <v>354</v>
      </c>
      <c r="B344" s="2">
        <v>45881</v>
      </c>
      <c r="C344" t="s">
        <v>757</v>
      </c>
      <c r="D344" t="s">
        <v>790</v>
      </c>
      <c r="E344" t="s">
        <v>796</v>
      </c>
      <c r="F344" t="s">
        <v>801</v>
      </c>
      <c r="G344" t="s">
        <v>811</v>
      </c>
      <c r="H344">
        <v>1</v>
      </c>
      <c r="I344">
        <v>16.43</v>
      </c>
      <c r="J344">
        <v>0.1</v>
      </c>
      <c r="K344">
        <v>14.79</v>
      </c>
      <c r="L344" t="s">
        <v>814</v>
      </c>
      <c r="N344">
        <f t="shared" si="21"/>
        <v>14.79</v>
      </c>
      <c r="O344" s="5">
        <f t="shared" si="22"/>
        <v>14.787000000000001</v>
      </c>
      <c r="P344" t="str">
        <f t="shared" si="23"/>
        <v>Same</v>
      </c>
      <c r="S344" t="str">
        <f t="shared" si="20"/>
        <v>Okay</v>
      </c>
    </row>
    <row r="345" spans="1:19" x14ac:dyDescent="0.3">
      <c r="A345" t="s">
        <v>355</v>
      </c>
      <c r="B345" s="2">
        <v>45881</v>
      </c>
      <c r="C345" t="s">
        <v>645</v>
      </c>
      <c r="D345" t="s">
        <v>787</v>
      </c>
      <c r="E345" t="s">
        <v>794</v>
      </c>
      <c r="F345" t="s">
        <v>808</v>
      </c>
      <c r="G345" t="s">
        <v>812</v>
      </c>
      <c r="H345">
        <v>4</v>
      </c>
      <c r="I345">
        <v>75.53</v>
      </c>
      <c r="J345">
        <v>0</v>
      </c>
      <c r="K345">
        <v>302.12</v>
      </c>
      <c r="L345" t="s">
        <v>814</v>
      </c>
      <c r="N345">
        <f t="shared" si="21"/>
        <v>302.12</v>
      </c>
      <c r="O345" s="5">
        <f t="shared" si="22"/>
        <v>302.12</v>
      </c>
      <c r="P345" t="str">
        <f t="shared" si="23"/>
        <v>Same</v>
      </c>
      <c r="S345" t="str">
        <f t="shared" si="20"/>
        <v>Okay</v>
      </c>
    </row>
    <row r="346" spans="1:19" x14ac:dyDescent="0.3">
      <c r="A346" t="s">
        <v>356</v>
      </c>
      <c r="B346" s="2">
        <v>45881</v>
      </c>
      <c r="C346" t="s">
        <v>758</v>
      </c>
      <c r="D346" t="s">
        <v>786</v>
      </c>
      <c r="E346" t="s">
        <v>793</v>
      </c>
      <c r="F346" t="s">
        <v>807</v>
      </c>
      <c r="G346" t="s">
        <v>810</v>
      </c>
      <c r="H346">
        <v>2</v>
      </c>
      <c r="I346">
        <v>911.84</v>
      </c>
      <c r="J346">
        <v>0.3</v>
      </c>
      <c r="K346">
        <v>1276.58</v>
      </c>
      <c r="L346" t="s">
        <v>815</v>
      </c>
      <c r="N346">
        <f t="shared" si="21"/>
        <v>1276.58</v>
      </c>
      <c r="O346" s="5">
        <f t="shared" si="22"/>
        <v>1276.576</v>
      </c>
      <c r="P346" t="str">
        <f t="shared" si="23"/>
        <v>Same</v>
      </c>
      <c r="S346" t="str">
        <f t="shared" si="20"/>
        <v>Okay</v>
      </c>
    </row>
    <row r="347" spans="1:19" x14ac:dyDescent="0.3">
      <c r="A347" t="s">
        <v>357</v>
      </c>
      <c r="B347" s="2">
        <v>45881</v>
      </c>
      <c r="C347" t="s">
        <v>745</v>
      </c>
      <c r="D347" t="s">
        <v>788</v>
      </c>
      <c r="E347" t="s">
        <v>795</v>
      </c>
      <c r="F347" t="s">
        <v>802</v>
      </c>
      <c r="G347" t="s">
        <v>811</v>
      </c>
      <c r="H347">
        <v>3</v>
      </c>
      <c r="I347">
        <v>244.13</v>
      </c>
      <c r="J347">
        <v>0.05</v>
      </c>
      <c r="K347">
        <v>695.77</v>
      </c>
      <c r="L347" t="s">
        <v>814</v>
      </c>
      <c r="N347">
        <f t="shared" si="21"/>
        <v>695.77</v>
      </c>
      <c r="O347" s="5">
        <f t="shared" si="22"/>
        <v>695.77049999999997</v>
      </c>
      <c r="P347" t="str">
        <f t="shared" si="23"/>
        <v>Same</v>
      </c>
      <c r="S347" t="str">
        <f t="shared" si="20"/>
        <v>Okay</v>
      </c>
    </row>
    <row r="348" spans="1:19" x14ac:dyDescent="0.3">
      <c r="A348" t="s">
        <v>358</v>
      </c>
      <c r="B348" s="2">
        <v>45882</v>
      </c>
      <c r="C348" t="s">
        <v>759</v>
      </c>
      <c r="D348" t="s">
        <v>790</v>
      </c>
      <c r="E348" t="s">
        <v>796</v>
      </c>
      <c r="F348" t="s">
        <v>808</v>
      </c>
      <c r="G348" t="s">
        <v>812</v>
      </c>
      <c r="H348">
        <v>1</v>
      </c>
      <c r="I348">
        <v>78.709999999999994</v>
      </c>
      <c r="J348">
        <v>0.1</v>
      </c>
      <c r="K348">
        <v>70.84</v>
      </c>
      <c r="L348" t="s">
        <v>814</v>
      </c>
      <c r="N348">
        <f t="shared" si="21"/>
        <v>70.84</v>
      </c>
      <c r="O348" s="5">
        <f t="shared" si="22"/>
        <v>70.838999999999999</v>
      </c>
      <c r="P348" t="str">
        <f t="shared" si="23"/>
        <v>Same</v>
      </c>
      <c r="S348" t="str">
        <f t="shared" si="20"/>
        <v>Okay</v>
      </c>
    </row>
    <row r="349" spans="1:19" x14ac:dyDescent="0.3">
      <c r="A349" t="s">
        <v>359</v>
      </c>
      <c r="B349" s="2">
        <v>45882</v>
      </c>
      <c r="C349" t="s">
        <v>628</v>
      </c>
      <c r="D349" t="s">
        <v>788</v>
      </c>
      <c r="E349" t="s">
        <v>795</v>
      </c>
      <c r="F349" t="s">
        <v>798</v>
      </c>
      <c r="G349" t="s">
        <v>810</v>
      </c>
      <c r="H349">
        <v>4</v>
      </c>
      <c r="I349">
        <v>320.82</v>
      </c>
      <c r="J349">
        <v>0</v>
      </c>
      <c r="K349">
        <v>1283.28</v>
      </c>
      <c r="L349" t="s">
        <v>813</v>
      </c>
      <c r="N349">
        <f t="shared" si="21"/>
        <v>1283.28</v>
      </c>
      <c r="O349" s="5">
        <f t="shared" si="22"/>
        <v>1283.28</v>
      </c>
      <c r="P349" t="str">
        <f t="shared" si="23"/>
        <v>Same</v>
      </c>
      <c r="S349" t="str">
        <f t="shared" si="20"/>
        <v>Okay</v>
      </c>
    </row>
    <row r="350" spans="1:19" x14ac:dyDescent="0.3">
      <c r="A350" t="s">
        <v>360</v>
      </c>
      <c r="B350" s="2">
        <v>45882</v>
      </c>
      <c r="C350" t="s">
        <v>692</v>
      </c>
      <c r="D350" t="s">
        <v>788</v>
      </c>
      <c r="E350" t="s">
        <v>795</v>
      </c>
      <c r="F350" t="s">
        <v>804</v>
      </c>
      <c r="G350" t="s">
        <v>809</v>
      </c>
      <c r="H350">
        <v>7</v>
      </c>
      <c r="I350">
        <v>318.5</v>
      </c>
      <c r="J350">
        <v>0.25</v>
      </c>
      <c r="K350">
        <v>1672.12</v>
      </c>
      <c r="L350" t="s">
        <v>814</v>
      </c>
      <c r="N350">
        <f t="shared" si="21"/>
        <v>1672.13</v>
      </c>
      <c r="O350" s="5">
        <f t="shared" si="22"/>
        <v>1672.125</v>
      </c>
      <c r="P350" t="str">
        <f t="shared" si="23"/>
        <v>Different</v>
      </c>
      <c r="S350" t="str">
        <f t="shared" si="20"/>
        <v>Okay</v>
      </c>
    </row>
    <row r="351" spans="1:19" x14ac:dyDescent="0.3">
      <c r="A351" t="s">
        <v>361</v>
      </c>
      <c r="B351" s="2">
        <v>45883</v>
      </c>
      <c r="C351" t="s">
        <v>691</v>
      </c>
      <c r="D351" t="s">
        <v>790</v>
      </c>
      <c r="E351" t="s">
        <v>796</v>
      </c>
      <c r="F351" t="s">
        <v>802</v>
      </c>
      <c r="G351" t="s">
        <v>811</v>
      </c>
      <c r="H351">
        <v>1</v>
      </c>
      <c r="I351">
        <v>241.45</v>
      </c>
      <c r="J351">
        <v>0.25</v>
      </c>
      <c r="K351">
        <v>181.09</v>
      </c>
      <c r="L351" t="s">
        <v>813</v>
      </c>
      <c r="N351">
        <f t="shared" si="21"/>
        <v>181.09</v>
      </c>
      <c r="O351" s="5">
        <f t="shared" si="22"/>
        <v>181.08749999999998</v>
      </c>
      <c r="P351" t="str">
        <f t="shared" si="23"/>
        <v>Same</v>
      </c>
      <c r="S351" t="str">
        <f t="shared" si="20"/>
        <v>Okay</v>
      </c>
    </row>
    <row r="352" spans="1:19" x14ac:dyDescent="0.3">
      <c r="A352" t="s">
        <v>362</v>
      </c>
      <c r="B352" s="2">
        <v>45884</v>
      </c>
      <c r="C352" t="s">
        <v>626</v>
      </c>
      <c r="D352" t="s">
        <v>790</v>
      </c>
      <c r="E352" t="s">
        <v>796</v>
      </c>
      <c r="F352" t="s">
        <v>804</v>
      </c>
      <c r="G352" t="s">
        <v>809</v>
      </c>
      <c r="H352">
        <v>8</v>
      </c>
      <c r="I352">
        <v>330.05</v>
      </c>
      <c r="J352">
        <v>0</v>
      </c>
      <c r="K352">
        <v>2640.4</v>
      </c>
      <c r="L352" t="s">
        <v>814</v>
      </c>
      <c r="N352">
        <f t="shared" si="21"/>
        <v>2640.4</v>
      </c>
      <c r="O352" s="5">
        <f t="shared" si="22"/>
        <v>2640.4</v>
      </c>
      <c r="P352" t="str">
        <f t="shared" si="23"/>
        <v>Same</v>
      </c>
      <c r="S352" t="str">
        <f t="shared" si="20"/>
        <v>Okay</v>
      </c>
    </row>
    <row r="353" spans="1:19" x14ac:dyDescent="0.3">
      <c r="A353" t="s">
        <v>363</v>
      </c>
      <c r="B353" s="2">
        <v>45884</v>
      </c>
      <c r="C353" t="s">
        <v>616</v>
      </c>
      <c r="D353" t="s">
        <v>786</v>
      </c>
      <c r="E353" t="s">
        <v>793</v>
      </c>
      <c r="F353" t="s">
        <v>804</v>
      </c>
      <c r="G353" t="s">
        <v>809</v>
      </c>
      <c r="H353">
        <v>8</v>
      </c>
      <c r="I353">
        <v>351.94</v>
      </c>
      <c r="J353">
        <v>0.3</v>
      </c>
      <c r="K353">
        <v>1970.86</v>
      </c>
      <c r="L353" t="s">
        <v>814</v>
      </c>
      <c r="N353">
        <f t="shared" si="21"/>
        <v>1970.86</v>
      </c>
      <c r="O353" s="5">
        <f t="shared" si="22"/>
        <v>1970.8639999999998</v>
      </c>
      <c r="P353" t="str">
        <f t="shared" si="23"/>
        <v>Same</v>
      </c>
      <c r="S353" t="str">
        <f t="shared" si="20"/>
        <v>Okay</v>
      </c>
    </row>
    <row r="354" spans="1:19" x14ac:dyDescent="0.3">
      <c r="A354" t="s">
        <v>364</v>
      </c>
      <c r="B354" s="2">
        <v>45884</v>
      </c>
      <c r="C354" t="s">
        <v>669</v>
      </c>
      <c r="D354" t="s">
        <v>787</v>
      </c>
      <c r="E354" t="s">
        <v>794</v>
      </c>
      <c r="F354" t="s">
        <v>802</v>
      </c>
      <c r="G354" t="s">
        <v>811</v>
      </c>
      <c r="H354">
        <v>4</v>
      </c>
      <c r="I354">
        <v>244.27</v>
      </c>
      <c r="J354">
        <v>0.15</v>
      </c>
      <c r="K354">
        <v>830.52</v>
      </c>
      <c r="L354" t="s">
        <v>813</v>
      </c>
      <c r="N354">
        <f t="shared" si="21"/>
        <v>830.52</v>
      </c>
      <c r="O354" s="5">
        <f t="shared" si="22"/>
        <v>830.51800000000003</v>
      </c>
      <c r="P354" t="str">
        <f t="shared" si="23"/>
        <v>Same</v>
      </c>
      <c r="S354" t="str">
        <f t="shared" si="20"/>
        <v>Okay</v>
      </c>
    </row>
    <row r="355" spans="1:19" x14ac:dyDescent="0.3">
      <c r="A355" t="s">
        <v>365</v>
      </c>
      <c r="B355" s="2">
        <v>45886</v>
      </c>
      <c r="C355" t="s">
        <v>629</v>
      </c>
      <c r="D355" t="s">
        <v>790</v>
      </c>
      <c r="E355" t="s">
        <v>796</v>
      </c>
      <c r="F355" t="s">
        <v>806</v>
      </c>
      <c r="G355" t="s">
        <v>810</v>
      </c>
      <c r="H355">
        <v>7</v>
      </c>
      <c r="I355">
        <v>85.48</v>
      </c>
      <c r="J355">
        <v>0</v>
      </c>
      <c r="K355">
        <v>598.36</v>
      </c>
      <c r="L355" t="s">
        <v>814</v>
      </c>
      <c r="N355">
        <f t="shared" si="21"/>
        <v>598.36</v>
      </c>
      <c r="O355" s="5">
        <f t="shared" si="22"/>
        <v>598.36</v>
      </c>
      <c r="P355" t="str">
        <f t="shared" si="23"/>
        <v>Same</v>
      </c>
      <c r="S355" t="str">
        <f t="shared" si="20"/>
        <v>Okay</v>
      </c>
    </row>
    <row r="356" spans="1:19" x14ac:dyDescent="0.3">
      <c r="A356" t="s">
        <v>366</v>
      </c>
      <c r="B356" s="2">
        <v>45886</v>
      </c>
      <c r="C356" t="s">
        <v>674</v>
      </c>
      <c r="D356" t="s">
        <v>789</v>
      </c>
      <c r="E356" t="s">
        <v>792</v>
      </c>
      <c r="F356" t="s">
        <v>801</v>
      </c>
      <c r="G356" t="s">
        <v>811</v>
      </c>
      <c r="H356">
        <v>8</v>
      </c>
      <c r="I356">
        <v>14.8</v>
      </c>
      <c r="J356">
        <v>0.05</v>
      </c>
      <c r="K356">
        <v>112.48</v>
      </c>
      <c r="L356" t="s">
        <v>813</v>
      </c>
      <c r="N356">
        <f t="shared" si="21"/>
        <v>112.48</v>
      </c>
      <c r="O356" s="5">
        <f t="shared" si="22"/>
        <v>112.48</v>
      </c>
      <c r="P356" t="str">
        <f t="shared" si="23"/>
        <v>Same</v>
      </c>
      <c r="S356" t="str">
        <f t="shared" si="20"/>
        <v>Okay</v>
      </c>
    </row>
    <row r="357" spans="1:19" x14ac:dyDescent="0.3">
      <c r="A357" t="s">
        <v>367</v>
      </c>
      <c r="B357" s="2">
        <v>45886</v>
      </c>
      <c r="C357" t="s">
        <v>695</v>
      </c>
      <c r="D357" t="s">
        <v>789</v>
      </c>
      <c r="E357" t="s">
        <v>792</v>
      </c>
      <c r="F357" t="s">
        <v>807</v>
      </c>
      <c r="G357" t="s">
        <v>810</v>
      </c>
      <c r="H357">
        <v>7</v>
      </c>
      <c r="I357">
        <v>967.37</v>
      </c>
      <c r="J357">
        <v>0.1</v>
      </c>
      <c r="K357">
        <v>6094.43</v>
      </c>
      <c r="L357" t="s">
        <v>813</v>
      </c>
      <c r="N357">
        <f t="shared" si="21"/>
        <v>6094.43</v>
      </c>
      <c r="O357" s="5">
        <f t="shared" si="22"/>
        <v>6094.4310000000005</v>
      </c>
      <c r="P357" t="str">
        <f t="shared" si="23"/>
        <v>Same</v>
      </c>
      <c r="S357" t="str">
        <f t="shared" si="20"/>
        <v>Okay</v>
      </c>
    </row>
    <row r="358" spans="1:19" x14ac:dyDescent="0.3">
      <c r="A358" t="s">
        <v>368</v>
      </c>
      <c r="B358" s="2">
        <v>45887</v>
      </c>
      <c r="C358" t="s">
        <v>760</v>
      </c>
      <c r="D358" t="s">
        <v>788</v>
      </c>
      <c r="E358" t="s">
        <v>795</v>
      </c>
      <c r="F358" t="s">
        <v>808</v>
      </c>
      <c r="G358" t="s">
        <v>812</v>
      </c>
      <c r="H358">
        <v>2</v>
      </c>
      <c r="I358">
        <v>76.55</v>
      </c>
      <c r="J358">
        <v>0</v>
      </c>
      <c r="K358">
        <v>153.1</v>
      </c>
      <c r="L358" t="s">
        <v>814</v>
      </c>
      <c r="N358">
        <f t="shared" si="21"/>
        <v>153.1</v>
      </c>
      <c r="O358" s="5">
        <f t="shared" si="22"/>
        <v>153.1</v>
      </c>
      <c r="P358" t="str">
        <f t="shared" si="23"/>
        <v>Same</v>
      </c>
      <c r="S358" t="str">
        <f t="shared" si="20"/>
        <v>Okay</v>
      </c>
    </row>
    <row r="359" spans="1:19" x14ac:dyDescent="0.3">
      <c r="A359" t="s">
        <v>369</v>
      </c>
      <c r="B359" s="2">
        <v>45887</v>
      </c>
      <c r="C359" t="s">
        <v>738</v>
      </c>
      <c r="D359" t="s">
        <v>787</v>
      </c>
      <c r="E359" t="s">
        <v>794</v>
      </c>
      <c r="F359" t="s">
        <v>806</v>
      </c>
      <c r="G359" t="s">
        <v>810</v>
      </c>
      <c r="H359">
        <v>2</v>
      </c>
      <c r="I359">
        <v>78.430000000000007</v>
      </c>
      <c r="J359">
        <v>0</v>
      </c>
      <c r="K359">
        <v>156.86000000000001</v>
      </c>
      <c r="L359" t="s">
        <v>815</v>
      </c>
      <c r="N359">
        <f t="shared" si="21"/>
        <v>156.86000000000001</v>
      </c>
      <c r="O359" s="5">
        <f t="shared" si="22"/>
        <v>156.86000000000001</v>
      </c>
      <c r="P359" t="str">
        <f t="shared" si="23"/>
        <v>Same</v>
      </c>
      <c r="S359" t="str">
        <f t="shared" si="20"/>
        <v>Okay</v>
      </c>
    </row>
    <row r="360" spans="1:19" x14ac:dyDescent="0.3">
      <c r="A360" t="s">
        <v>370</v>
      </c>
      <c r="B360" s="2">
        <v>45888</v>
      </c>
      <c r="C360" t="s">
        <v>615</v>
      </c>
      <c r="D360" t="s">
        <v>787</v>
      </c>
      <c r="E360" t="s">
        <v>794</v>
      </c>
      <c r="F360" t="s">
        <v>805</v>
      </c>
      <c r="G360" t="s">
        <v>810</v>
      </c>
      <c r="H360">
        <v>7</v>
      </c>
      <c r="I360">
        <v>43.9</v>
      </c>
      <c r="J360">
        <v>0</v>
      </c>
      <c r="K360">
        <v>307.3</v>
      </c>
      <c r="L360" t="s">
        <v>814</v>
      </c>
      <c r="N360">
        <f t="shared" si="21"/>
        <v>307.3</v>
      </c>
      <c r="O360" s="5">
        <f t="shared" si="22"/>
        <v>307.3</v>
      </c>
      <c r="P360" t="str">
        <f t="shared" si="23"/>
        <v>Same</v>
      </c>
      <c r="S360" t="str">
        <f t="shared" si="20"/>
        <v>Okay</v>
      </c>
    </row>
    <row r="361" spans="1:19" x14ac:dyDescent="0.3">
      <c r="A361" t="s">
        <v>371</v>
      </c>
      <c r="B361" s="2">
        <v>45889</v>
      </c>
      <c r="C361" t="s">
        <v>665</v>
      </c>
      <c r="D361" t="s">
        <v>788</v>
      </c>
      <c r="E361" t="s">
        <v>795</v>
      </c>
      <c r="F361" t="s">
        <v>803</v>
      </c>
      <c r="G361" t="s">
        <v>810</v>
      </c>
      <c r="H361">
        <v>8</v>
      </c>
      <c r="I361">
        <v>110.53</v>
      </c>
      <c r="J361">
        <v>0</v>
      </c>
      <c r="K361">
        <v>884.24</v>
      </c>
      <c r="L361" t="s">
        <v>815</v>
      </c>
      <c r="N361">
        <f t="shared" si="21"/>
        <v>884.24</v>
      </c>
      <c r="O361" s="5">
        <f t="shared" si="22"/>
        <v>884.24</v>
      </c>
      <c r="P361" t="str">
        <f t="shared" si="23"/>
        <v>Same</v>
      </c>
      <c r="S361" t="str">
        <f t="shared" si="20"/>
        <v>Okay</v>
      </c>
    </row>
    <row r="362" spans="1:19" x14ac:dyDescent="0.3">
      <c r="A362" t="s">
        <v>372</v>
      </c>
      <c r="B362" s="2">
        <v>45889</v>
      </c>
      <c r="C362" t="s">
        <v>700</v>
      </c>
      <c r="D362" t="s">
        <v>790</v>
      </c>
      <c r="E362" t="s">
        <v>796</v>
      </c>
      <c r="F362" t="s">
        <v>800</v>
      </c>
      <c r="G362" t="s">
        <v>810</v>
      </c>
      <c r="H362">
        <v>4</v>
      </c>
      <c r="I362">
        <v>594.92999999999995</v>
      </c>
      <c r="J362">
        <v>0.05</v>
      </c>
      <c r="K362">
        <v>2260.73</v>
      </c>
      <c r="L362" t="s">
        <v>816</v>
      </c>
      <c r="N362">
        <f t="shared" si="21"/>
        <v>2260.73</v>
      </c>
      <c r="O362" s="5">
        <f t="shared" si="22"/>
        <v>2260.7339999999999</v>
      </c>
      <c r="P362" t="str">
        <f t="shared" si="23"/>
        <v>Same</v>
      </c>
      <c r="S362" t="str">
        <f t="shared" si="20"/>
        <v>Okay</v>
      </c>
    </row>
    <row r="363" spans="1:19" x14ac:dyDescent="0.3">
      <c r="A363" t="s">
        <v>373</v>
      </c>
      <c r="B363" s="2">
        <v>45890</v>
      </c>
      <c r="C363" t="s">
        <v>640</v>
      </c>
      <c r="D363" t="s">
        <v>789</v>
      </c>
      <c r="E363" t="s">
        <v>792</v>
      </c>
      <c r="F363" t="s">
        <v>801</v>
      </c>
      <c r="G363" t="s">
        <v>811</v>
      </c>
      <c r="H363">
        <v>6</v>
      </c>
      <c r="I363">
        <v>14.46</v>
      </c>
      <c r="J363">
        <v>0.1</v>
      </c>
      <c r="K363">
        <v>78.08</v>
      </c>
      <c r="L363" t="s">
        <v>814</v>
      </c>
      <c r="N363">
        <f t="shared" si="21"/>
        <v>78.08</v>
      </c>
      <c r="O363" s="5">
        <f t="shared" si="22"/>
        <v>78.084000000000003</v>
      </c>
      <c r="P363" t="str">
        <f t="shared" si="23"/>
        <v>Same</v>
      </c>
      <c r="S363" t="str">
        <f t="shared" si="20"/>
        <v>Okay</v>
      </c>
    </row>
    <row r="364" spans="1:19" x14ac:dyDescent="0.3">
      <c r="A364" t="s">
        <v>374</v>
      </c>
      <c r="B364" s="2">
        <v>45890</v>
      </c>
      <c r="C364" t="s">
        <v>644</v>
      </c>
      <c r="D364" t="s">
        <v>787</v>
      </c>
      <c r="E364" t="s">
        <v>794</v>
      </c>
      <c r="F364" t="s">
        <v>797</v>
      </c>
      <c r="G364" t="s">
        <v>809</v>
      </c>
      <c r="H364">
        <v>2</v>
      </c>
      <c r="I364">
        <v>212.29</v>
      </c>
      <c r="J364">
        <v>0.15</v>
      </c>
      <c r="K364">
        <v>360.89</v>
      </c>
      <c r="L364" t="s">
        <v>815</v>
      </c>
      <c r="N364">
        <f t="shared" si="21"/>
        <v>360.89</v>
      </c>
      <c r="O364" s="5">
        <f t="shared" si="22"/>
        <v>360.89299999999997</v>
      </c>
      <c r="P364" t="str">
        <f t="shared" si="23"/>
        <v>Same</v>
      </c>
      <c r="S364" t="str">
        <f t="shared" si="20"/>
        <v>Okay</v>
      </c>
    </row>
    <row r="365" spans="1:19" x14ac:dyDescent="0.3">
      <c r="A365" t="s">
        <v>375</v>
      </c>
      <c r="B365" s="2">
        <v>45890</v>
      </c>
      <c r="C365" t="s">
        <v>622</v>
      </c>
      <c r="D365" t="s">
        <v>787</v>
      </c>
      <c r="E365" t="s">
        <v>794</v>
      </c>
      <c r="F365" t="s">
        <v>799</v>
      </c>
      <c r="G365" t="s">
        <v>809</v>
      </c>
      <c r="H365">
        <v>7</v>
      </c>
      <c r="I365">
        <v>51.62</v>
      </c>
      <c r="J365">
        <v>0</v>
      </c>
      <c r="K365">
        <v>361.34</v>
      </c>
      <c r="L365" t="s">
        <v>814</v>
      </c>
      <c r="N365">
        <f t="shared" si="21"/>
        <v>361.34</v>
      </c>
      <c r="O365" s="5">
        <f t="shared" si="22"/>
        <v>361.34</v>
      </c>
      <c r="P365" t="str">
        <f t="shared" si="23"/>
        <v>Same</v>
      </c>
      <c r="S365" t="str">
        <f t="shared" si="20"/>
        <v>Okay</v>
      </c>
    </row>
    <row r="366" spans="1:19" x14ac:dyDescent="0.3">
      <c r="A366" t="s">
        <v>376</v>
      </c>
      <c r="B366" s="2">
        <v>45891</v>
      </c>
      <c r="C366" t="s">
        <v>691</v>
      </c>
      <c r="D366" t="s">
        <v>788</v>
      </c>
      <c r="E366" t="s">
        <v>795</v>
      </c>
      <c r="F366" t="s">
        <v>797</v>
      </c>
      <c r="G366" t="s">
        <v>809</v>
      </c>
      <c r="H366">
        <v>7</v>
      </c>
      <c r="I366">
        <v>199.32</v>
      </c>
      <c r="J366">
        <v>0.05</v>
      </c>
      <c r="K366">
        <v>1325.48</v>
      </c>
      <c r="L366" t="s">
        <v>813</v>
      </c>
      <c r="N366">
        <f t="shared" si="21"/>
        <v>1325.48</v>
      </c>
      <c r="O366" s="5">
        <f t="shared" si="22"/>
        <v>1325.4779999999998</v>
      </c>
      <c r="P366" t="str">
        <f t="shared" si="23"/>
        <v>Same</v>
      </c>
      <c r="S366" t="str">
        <f t="shared" si="20"/>
        <v>Okay</v>
      </c>
    </row>
    <row r="367" spans="1:19" x14ac:dyDescent="0.3">
      <c r="A367" t="s">
        <v>377</v>
      </c>
      <c r="B367" s="2">
        <v>45892</v>
      </c>
      <c r="C367" t="s">
        <v>761</v>
      </c>
      <c r="D367" t="s">
        <v>787</v>
      </c>
      <c r="E367" t="s">
        <v>794</v>
      </c>
      <c r="F367" t="s">
        <v>807</v>
      </c>
      <c r="G367" t="s">
        <v>810</v>
      </c>
      <c r="H367">
        <v>8</v>
      </c>
      <c r="I367">
        <v>920.94</v>
      </c>
      <c r="J367">
        <v>0.05</v>
      </c>
      <c r="K367">
        <v>6999.14</v>
      </c>
      <c r="L367" t="s">
        <v>815</v>
      </c>
      <c r="N367">
        <f t="shared" si="21"/>
        <v>6999.14</v>
      </c>
      <c r="O367" s="5">
        <f t="shared" si="22"/>
        <v>6999.1440000000002</v>
      </c>
      <c r="P367" t="str">
        <f t="shared" si="23"/>
        <v>Same</v>
      </c>
      <c r="S367" t="str">
        <f t="shared" si="20"/>
        <v>Okay</v>
      </c>
    </row>
    <row r="368" spans="1:19" x14ac:dyDescent="0.3">
      <c r="A368" t="s">
        <v>378</v>
      </c>
      <c r="B368" s="2">
        <v>45893</v>
      </c>
      <c r="C368" t="s">
        <v>653</v>
      </c>
      <c r="D368" t="s">
        <v>790</v>
      </c>
      <c r="E368" t="s">
        <v>796</v>
      </c>
      <c r="F368" t="s">
        <v>797</v>
      </c>
      <c r="G368" t="s">
        <v>809</v>
      </c>
      <c r="H368">
        <v>6</v>
      </c>
      <c r="I368">
        <v>218.33</v>
      </c>
      <c r="J368">
        <v>0</v>
      </c>
      <c r="K368">
        <v>1309.98</v>
      </c>
      <c r="L368" t="s">
        <v>815</v>
      </c>
      <c r="N368">
        <f t="shared" si="21"/>
        <v>1309.98</v>
      </c>
      <c r="O368" s="5">
        <f t="shared" si="22"/>
        <v>1309.98</v>
      </c>
      <c r="P368" t="str">
        <f t="shared" si="23"/>
        <v>Same</v>
      </c>
      <c r="S368" t="str">
        <f t="shared" si="20"/>
        <v>Okay</v>
      </c>
    </row>
    <row r="369" spans="1:19" x14ac:dyDescent="0.3">
      <c r="A369" t="s">
        <v>379</v>
      </c>
      <c r="B369" s="2">
        <v>45893</v>
      </c>
      <c r="C369" t="s">
        <v>680</v>
      </c>
      <c r="D369" t="s">
        <v>787</v>
      </c>
      <c r="E369" t="s">
        <v>794</v>
      </c>
      <c r="F369" t="s">
        <v>797</v>
      </c>
      <c r="G369" t="s">
        <v>809</v>
      </c>
      <c r="H369">
        <v>7</v>
      </c>
      <c r="I369">
        <v>230.42</v>
      </c>
      <c r="J369">
        <v>0.1</v>
      </c>
      <c r="K369">
        <v>1451.65</v>
      </c>
      <c r="L369" t="s">
        <v>815</v>
      </c>
      <c r="N369">
        <f t="shared" si="21"/>
        <v>1451.65</v>
      </c>
      <c r="O369" s="5">
        <f t="shared" si="22"/>
        <v>1451.646</v>
      </c>
      <c r="P369" t="str">
        <f t="shared" si="23"/>
        <v>Same</v>
      </c>
      <c r="S369" t="str">
        <f t="shared" si="20"/>
        <v>Okay</v>
      </c>
    </row>
    <row r="370" spans="1:19" x14ac:dyDescent="0.3">
      <c r="A370" t="s">
        <v>380</v>
      </c>
      <c r="B370" s="2">
        <v>45894</v>
      </c>
      <c r="C370" t="s">
        <v>738</v>
      </c>
      <c r="D370" t="s">
        <v>787</v>
      </c>
      <c r="E370" t="s">
        <v>794</v>
      </c>
      <c r="F370" t="s">
        <v>797</v>
      </c>
      <c r="G370" t="s">
        <v>809</v>
      </c>
      <c r="H370">
        <v>2</v>
      </c>
      <c r="I370">
        <v>200.78</v>
      </c>
      <c r="J370">
        <v>0</v>
      </c>
      <c r="K370">
        <v>401.56</v>
      </c>
      <c r="L370" t="s">
        <v>814</v>
      </c>
      <c r="N370">
        <f t="shared" si="21"/>
        <v>401.56</v>
      </c>
      <c r="O370" s="5">
        <f t="shared" si="22"/>
        <v>401.56</v>
      </c>
      <c r="P370" t="str">
        <f t="shared" si="23"/>
        <v>Same</v>
      </c>
      <c r="S370" t="str">
        <f t="shared" si="20"/>
        <v>Okay</v>
      </c>
    </row>
    <row r="371" spans="1:19" x14ac:dyDescent="0.3">
      <c r="A371" t="s">
        <v>381</v>
      </c>
      <c r="B371" s="2">
        <v>45894</v>
      </c>
      <c r="C371" t="s">
        <v>756</v>
      </c>
      <c r="D371" t="s">
        <v>787</v>
      </c>
      <c r="E371" t="s">
        <v>794</v>
      </c>
      <c r="F371" t="s">
        <v>805</v>
      </c>
      <c r="G371" t="s">
        <v>810</v>
      </c>
      <c r="H371">
        <v>5</v>
      </c>
      <c r="I371">
        <v>47.18</v>
      </c>
      <c r="J371">
        <v>0</v>
      </c>
      <c r="K371">
        <v>235.9</v>
      </c>
      <c r="L371" t="s">
        <v>813</v>
      </c>
      <c r="N371">
        <f t="shared" si="21"/>
        <v>235.9</v>
      </c>
      <c r="O371" s="5">
        <f t="shared" si="22"/>
        <v>235.9</v>
      </c>
      <c r="P371" t="str">
        <f t="shared" si="23"/>
        <v>Same</v>
      </c>
      <c r="S371" t="str">
        <f t="shared" si="20"/>
        <v>Okay</v>
      </c>
    </row>
    <row r="372" spans="1:19" x14ac:dyDescent="0.3">
      <c r="A372" t="s">
        <v>382</v>
      </c>
      <c r="B372" s="2">
        <v>45894</v>
      </c>
      <c r="C372" t="s">
        <v>759</v>
      </c>
      <c r="D372" t="s">
        <v>785</v>
      </c>
      <c r="E372" t="s">
        <v>792</v>
      </c>
      <c r="F372" t="s">
        <v>801</v>
      </c>
      <c r="G372" t="s">
        <v>811</v>
      </c>
      <c r="H372">
        <v>1</v>
      </c>
      <c r="I372">
        <v>14.3</v>
      </c>
      <c r="J372">
        <v>0.15</v>
      </c>
      <c r="K372">
        <v>12.16</v>
      </c>
      <c r="L372" t="s">
        <v>814</v>
      </c>
      <c r="N372">
        <f t="shared" si="21"/>
        <v>12.16</v>
      </c>
      <c r="O372" s="5">
        <f t="shared" si="22"/>
        <v>12.155000000000001</v>
      </c>
      <c r="P372" t="str">
        <f t="shared" si="23"/>
        <v>Same</v>
      </c>
      <c r="S372" t="str">
        <f t="shared" si="20"/>
        <v>Okay</v>
      </c>
    </row>
    <row r="373" spans="1:19" x14ac:dyDescent="0.3">
      <c r="A373" t="s">
        <v>383</v>
      </c>
      <c r="B373" s="2">
        <v>45894</v>
      </c>
      <c r="C373" t="s">
        <v>693</v>
      </c>
      <c r="D373" t="s">
        <v>789</v>
      </c>
      <c r="E373" t="s">
        <v>792</v>
      </c>
      <c r="F373" t="s">
        <v>801</v>
      </c>
      <c r="G373" t="s">
        <v>811</v>
      </c>
      <c r="H373">
        <v>6</v>
      </c>
      <c r="I373">
        <v>14.66</v>
      </c>
      <c r="J373">
        <v>0.1</v>
      </c>
      <c r="K373">
        <v>79.16</v>
      </c>
      <c r="L373" t="s">
        <v>814</v>
      </c>
      <c r="N373">
        <f t="shared" si="21"/>
        <v>79.16</v>
      </c>
      <c r="O373" s="5">
        <f t="shared" si="22"/>
        <v>79.164000000000016</v>
      </c>
      <c r="P373" t="str">
        <f t="shared" si="23"/>
        <v>Same</v>
      </c>
      <c r="S373" t="str">
        <f t="shared" si="20"/>
        <v>Okay</v>
      </c>
    </row>
    <row r="374" spans="1:19" x14ac:dyDescent="0.3">
      <c r="A374" t="s">
        <v>384</v>
      </c>
      <c r="B374" s="2">
        <v>45896</v>
      </c>
      <c r="C374" t="s">
        <v>657</v>
      </c>
      <c r="D374" t="s">
        <v>786</v>
      </c>
      <c r="E374" t="s">
        <v>793</v>
      </c>
      <c r="F374" t="s">
        <v>798</v>
      </c>
      <c r="G374" t="s">
        <v>810</v>
      </c>
      <c r="H374">
        <v>8</v>
      </c>
      <c r="I374">
        <v>284.35000000000002</v>
      </c>
      <c r="J374">
        <v>0.1</v>
      </c>
      <c r="K374">
        <v>2047.32</v>
      </c>
      <c r="L374" t="s">
        <v>813</v>
      </c>
      <c r="N374">
        <f t="shared" si="21"/>
        <v>2047.32</v>
      </c>
      <c r="O374" s="5">
        <f t="shared" si="22"/>
        <v>2047.3200000000002</v>
      </c>
      <c r="P374" t="str">
        <f t="shared" si="23"/>
        <v>Same</v>
      </c>
      <c r="S374" t="str">
        <f t="shared" si="20"/>
        <v>Okay</v>
      </c>
    </row>
    <row r="375" spans="1:19" x14ac:dyDescent="0.3">
      <c r="A375" t="s">
        <v>385</v>
      </c>
      <c r="B375" s="2">
        <v>45896</v>
      </c>
      <c r="C375" t="s">
        <v>686</v>
      </c>
      <c r="D375" t="s">
        <v>790</v>
      </c>
      <c r="E375" t="s">
        <v>796</v>
      </c>
      <c r="F375" t="s">
        <v>808</v>
      </c>
      <c r="G375" t="s">
        <v>812</v>
      </c>
      <c r="H375">
        <v>7</v>
      </c>
      <c r="I375">
        <v>70.37</v>
      </c>
      <c r="J375">
        <v>0.05</v>
      </c>
      <c r="K375">
        <v>467.96</v>
      </c>
      <c r="L375" t="s">
        <v>813</v>
      </c>
      <c r="N375">
        <f t="shared" si="21"/>
        <v>467.96</v>
      </c>
      <c r="O375" s="5">
        <f t="shared" si="22"/>
        <v>467.96050000000002</v>
      </c>
      <c r="P375" t="str">
        <f t="shared" si="23"/>
        <v>Same</v>
      </c>
      <c r="S375" t="str">
        <f t="shared" si="20"/>
        <v>Okay</v>
      </c>
    </row>
    <row r="376" spans="1:19" x14ac:dyDescent="0.3">
      <c r="A376" t="s">
        <v>386</v>
      </c>
      <c r="B376" s="2">
        <v>45896</v>
      </c>
      <c r="C376" t="s">
        <v>636</v>
      </c>
      <c r="D376" t="s">
        <v>790</v>
      </c>
      <c r="E376" t="s">
        <v>796</v>
      </c>
      <c r="F376" t="s">
        <v>802</v>
      </c>
      <c r="G376" t="s">
        <v>811</v>
      </c>
      <c r="H376">
        <v>5</v>
      </c>
      <c r="I376">
        <v>261.85000000000002</v>
      </c>
      <c r="J376">
        <v>0.1</v>
      </c>
      <c r="K376">
        <v>1178.32</v>
      </c>
      <c r="L376" t="s">
        <v>813</v>
      </c>
      <c r="N376">
        <f t="shared" si="21"/>
        <v>1178.33</v>
      </c>
      <c r="O376" s="5">
        <f t="shared" si="22"/>
        <v>1178.325</v>
      </c>
      <c r="P376" t="str">
        <f t="shared" si="23"/>
        <v>Different</v>
      </c>
      <c r="S376" t="str">
        <f t="shared" si="20"/>
        <v>Okay</v>
      </c>
    </row>
    <row r="377" spans="1:19" x14ac:dyDescent="0.3">
      <c r="A377" t="s">
        <v>387</v>
      </c>
      <c r="B377" s="2">
        <v>45897</v>
      </c>
      <c r="C377" t="s">
        <v>749</v>
      </c>
      <c r="D377" t="s">
        <v>789</v>
      </c>
      <c r="E377" t="s">
        <v>792</v>
      </c>
      <c r="F377" t="s">
        <v>808</v>
      </c>
      <c r="G377" t="s">
        <v>812</v>
      </c>
      <c r="H377">
        <v>8</v>
      </c>
      <c r="I377">
        <v>74.55</v>
      </c>
      <c r="J377">
        <v>0.3</v>
      </c>
      <c r="K377">
        <v>417.48</v>
      </c>
      <c r="L377" t="s">
        <v>814</v>
      </c>
      <c r="N377">
        <f t="shared" si="21"/>
        <v>417.48</v>
      </c>
      <c r="O377" s="5">
        <f t="shared" si="22"/>
        <v>417.47999999999996</v>
      </c>
      <c r="P377" t="str">
        <f t="shared" si="23"/>
        <v>Same</v>
      </c>
      <c r="S377" t="str">
        <f t="shared" si="20"/>
        <v>Okay</v>
      </c>
    </row>
    <row r="378" spans="1:19" x14ac:dyDescent="0.3">
      <c r="A378" t="s">
        <v>388</v>
      </c>
      <c r="B378" s="2">
        <v>45899</v>
      </c>
      <c r="C378" t="s">
        <v>762</v>
      </c>
      <c r="D378" t="s">
        <v>785</v>
      </c>
      <c r="E378" t="s">
        <v>792</v>
      </c>
      <c r="F378" t="s">
        <v>808</v>
      </c>
      <c r="G378" t="s">
        <v>812</v>
      </c>
      <c r="H378">
        <v>8</v>
      </c>
      <c r="I378">
        <v>81.41</v>
      </c>
      <c r="J378">
        <v>0</v>
      </c>
      <c r="K378">
        <v>651.28</v>
      </c>
      <c r="L378" t="s">
        <v>813</v>
      </c>
      <c r="N378">
        <f t="shared" si="21"/>
        <v>651.28</v>
      </c>
      <c r="O378" s="5">
        <f t="shared" si="22"/>
        <v>651.28</v>
      </c>
      <c r="P378" t="str">
        <f t="shared" si="23"/>
        <v>Same</v>
      </c>
      <c r="S378" t="str">
        <f t="shared" si="20"/>
        <v>Okay</v>
      </c>
    </row>
    <row r="379" spans="1:19" x14ac:dyDescent="0.3">
      <c r="A379" t="s">
        <v>389</v>
      </c>
      <c r="B379" s="2">
        <v>45899</v>
      </c>
      <c r="C379" t="s">
        <v>647</v>
      </c>
      <c r="D379" t="s">
        <v>787</v>
      </c>
      <c r="E379" t="s">
        <v>794</v>
      </c>
      <c r="F379" t="s">
        <v>806</v>
      </c>
      <c r="G379" t="s">
        <v>810</v>
      </c>
      <c r="H379">
        <v>7</v>
      </c>
      <c r="I379">
        <v>78.180000000000007</v>
      </c>
      <c r="J379">
        <v>0.1</v>
      </c>
      <c r="K379">
        <v>492.53</v>
      </c>
      <c r="L379" t="s">
        <v>815</v>
      </c>
      <c r="N379">
        <f t="shared" si="21"/>
        <v>492.53</v>
      </c>
      <c r="O379" s="5">
        <f t="shared" si="22"/>
        <v>492.53399999999999</v>
      </c>
      <c r="P379" t="str">
        <f t="shared" si="23"/>
        <v>Same</v>
      </c>
      <c r="S379" t="str">
        <f t="shared" si="20"/>
        <v>Okay</v>
      </c>
    </row>
    <row r="380" spans="1:19" x14ac:dyDescent="0.3">
      <c r="A380" t="s">
        <v>390</v>
      </c>
      <c r="B380" s="2">
        <v>45900</v>
      </c>
      <c r="C380" t="s">
        <v>634</v>
      </c>
      <c r="D380" t="s">
        <v>789</v>
      </c>
      <c r="E380" t="s">
        <v>792</v>
      </c>
      <c r="F380" t="s">
        <v>797</v>
      </c>
      <c r="G380" t="s">
        <v>809</v>
      </c>
      <c r="H380">
        <v>2</v>
      </c>
      <c r="I380">
        <v>224.3</v>
      </c>
      <c r="J380">
        <v>0.2</v>
      </c>
      <c r="K380">
        <v>358.88</v>
      </c>
      <c r="L380" t="s">
        <v>815</v>
      </c>
      <c r="N380">
        <f t="shared" si="21"/>
        <v>358.88</v>
      </c>
      <c r="O380" s="5">
        <f t="shared" si="22"/>
        <v>358.88000000000005</v>
      </c>
      <c r="P380" t="str">
        <f t="shared" si="23"/>
        <v>Same</v>
      </c>
      <c r="S380" t="str">
        <f t="shared" si="20"/>
        <v>Okay</v>
      </c>
    </row>
    <row r="381" spans="1:19" x14ac:dyDescent="0.3">
      <c r="A381" t="s">
        <v>391</v>
      </c>
      <c r="B381" s="2">
        <v>45902</v>
      </c>
      <c r="C381" t="s">
        <v>763</v>
      </c>
      <c r="D381" t="s">
        <v>785</v>
      </c>
      <c r="E381" t="s">
        <v>792</v>
      </c>
      <c r="F381" t="s">
        <v>801</v>
      </c>
      <c r="G381" t="s">
        <v>811</v>
      </c>
      <c r="H381">
        <v>2</v>
      </c>
      <c r="I381">
        <v>14.69</v>
      </c>
      <c r="J381">
        <v>0.05</v>
      </c>
      <c r="K381">
        <v>27.91</v>
      </c>
      <c r="L381" t="s">
        <v>814</v>
      </c>
      <c r="N381">
        <f t="shared" si="21"/>
        <v>27.91</v>
      </c>
      <c r="O381" s="5">
        <f t="shared" si="22"/>
        <v>27.910999999999998</v>
      </c>
      <c r="P381" t="str">
        <f t="shared" si="23"/>
        <v>Same</v>
      </c>
      <c r="S381" t="str">
        <f t="shared" si="20"/>
        <v>Okay</v>
      </c>
    </row>
    <row r="382" spans="1:19" x14ac:dyDescent="0.3">
      <c r="A382" t="s">
        <v>392</v>
      </c>
      <c r="B382" s="2">
        <v>45902</v>
      </c>
      <c r="C382" t="s">
        <v>683</v>
      </c>
      <c r="D382" t="s">
        <v>785</v>
      </c>
      <c r="E382" t="s">
        <v>792</v>
      </c>
      <c r="F382" t="s">
        <v>806</v>
      </c>
      <c r="G382" t="s">
        <v>810</v>
      </c>
      <c r="H382">
        <v>3</v>
      </c>
      <c r="I382">
        <v>85.5</v>
      </c>
      <c r="J382">
        <v>0.05</v>
      </c>
      <c r="K382">
        <v>243.68</v>
      </c>
      <c r="L382" t="s">
        <v>815</v>
      </c>
      <c r="N382">
        <f t="shared" si="21"/>
        <v>243.68</v>
      </c>
      <c r="O382" s="5">
        <f t="shared" si="22"/>
        <v>243.67499999999998</v>
      </c>
      <c r="P382" t="str">
        <f t="shared" si="23"/>
        <v>Same</v>
      </c>
      <c r="S382" t="str">
        <f t="shared" si="20"/>
        <v>Okay</v>
      </c>
    </row>
    <row r="383" spans="1:19" x14ac:dyDescent="0.3">
      <c r="A383" t="s">
        <v>393</v>
      </c>
      <c r="B383" s="2">
        <v>45902</v>
      </c>
      <c r="C383" t="s">
        <v>657</v>
      </c>
      <c r="D383" t="s">
        <v>789</v>
      </c>
      <c r="E383" t="s">
        <v>792</v>
      </c>
      <c r="F383" t="s">
        <v>806</v>
      </c>
      <c r="G383" t="s">
        <v>810</v>
      </c>
      <c r="H383">
        <v>5</v>
      </c>
      <c r="I383">
        <v>81.22</v>
      </c>
      <c r="J383">
        <v>0.15</v>
      </c>
      <c r="K383">
        <v>345.18</v>
      </c>
      <c r="L383" t="s">
        <v>813</v>
      </c>
      <c r="N383">
        <f t="shared" si="21"/>
        <v>345.19</v>
      </c>
      <c r="O383" s="5">
        <f t="shared" si="22"/>
        <v>345.185</v>
      </c>
      <c r="P383" t="str">
        <f t="shared" si="23"/>
        <v>Different</v>
      </c>
      <c r="S383" t="str">
        <f t="shared" si="20"/>
        <v>Okay</v>
      </c>
    </row>
    <row r="384" spans="1:19" x14ac:dyDescent="0.3">
      <c r="A384" t="s">
        <v>394</v>
      </c>
      <c r="B384" s="2">
        <v>45903</v>
      </c>
      <c r="C384" t="s">
        <v>764</v>
      </c>
      <c r="D384" t="s">
        <v>790</v>
      </c>
      <c r="E384" t="s">
        <v>796</v>
      </c>
      <c r="F384" t="s">
        <v>799</v>
      </c>
      <c r="G384" t="s">
        <v>809</v>
      </c>
      <c r="H384">
        <v>8</v>
      </c>
      <c r="I384">
        <v>51.17</v>
      </c>
      <c r="J384">
        <v>0.1</v>
      </c>
      <c r="K384">
        <v>368.42</v>
      </c>
      <c r="L384" t="s">
        <v>815</v>
      </c>
      <c r="N384">
        <f t="shared" si="21"/>
        <v>368.42</v>
      </c>
      <c r="O384" s="5">
        <f t="shared" si="22"/>
        <v>368.42400000000004</v>
      </c>
      <c r="P384" t="str">
        <f t="shared" si="23"/>
        <v>Same</v>
      </c>
      <c r="S384" t="str">
        <f t="shared" si="20"/>
        <v>Okay</v>
      </c>
    </row>
    <row r="385" spans="1:19" x14ac:dyDescent="0.3">
      <c r="A385" t="s">
        <v>395</v>
      </c>
      <c r="B385" s="2">
        <v>45903</v>
      </c>
      <c r="C385" t="s">
        <v>670</v>
      </c>
      <c r="D385" t="s">
        <v>789</v>
      </c>
      <c r="E385" t="s">
        <v>792</v>
      </c>
      <c r="F385" t="s">
        <v>801</v>
      </c>
      <c r="G385" t="s">
        <v>811</v>
      </c>
      <c r="H385">
        <v>5</v>
      </c>
      <c r="I385">
        <v>15.3</v>
      </c>
      <c r="J385">
        <v>0.05</v>
      </c>
      <c r="K385">
        <v>72.680000000000007</v>
      </c>
      <c r="L385" t="s">
        <v>815</v>
      </c>
      <c r="N385">
        <f t="shared" si="21"/>
        <v>72.680000000000007</v>
      </c>
      <c r="O385" s="5">
        <f t="shared" si="22"/>
        <v>72.674999999999997</v>
      </c>
      <c r="P385" t="str">
        <f t="shared" si="23"/>
        <v>Same</v>
      </c>
      <c r="S385" t="str">
        <f t="shared" si="20"/>
        <v>Okay</v>
      </c>
    </row>
    <row r="386" spans="1:19" x14ac:dyDescent="0.3">
      <c r="A386" t="s">
        <v>396</v>
      </c>
      <c r="B386" s="2">
        <v>45903</v>
      </c>
      <c r="C386" t="s">
        <v>677</v>
      </c>
      <c r="D386" t="s">
        <v>786</v>
      </c>
      <c r="E386" t="s">
        <v>793</v>
      </c>
      <c r="F386" t="s">
        <v>804</v>
      </c>
      <c r="G386" t="s">
        <v>809</v>
      </c>
      <c r="H386">
        <v>2</v>
      </c>
      <c r="I386">
        <v>352.23</v>
      </c>
      <c r="J386">
        <v>0.2</v>
      </c>
      <c r="K386">
        <v>563.57000000000005</v>
      </c>
      <c r="L386" t="s">
        <v>814</v>
      </c>
      <c r="N386">
        <f t="shared" si="21"/>
        <v>563.57000000000005</v>
      </c>
      <c r="O386" s="5">
        <f t="shared" si="22"/>
        <v>563.5680000000001</v>
      </c>
      <c r="P386" t="str">
        <f t="shared" si="23"/>
        <v>Same</v>
      </c>
      <c r="S386" t="str">
        <f t="shared" ref="S386:S449" si="24">IF(OR(B386&lt;DATE(2025,1,1),B386&gt;DATE(2025,12,31)),"Strange", "Okay")</f>
        <v>Okay</v>
      </c>
    </row>
    <row r="387" spans="1:19" x14ac:dyDescent="0.3">
      <c r="A387" t="s">
        <v>397</v>
      </c>
      <c r="B387" s="2">
        <v>45904</v>
      </c>
      <c r="C387" t="s">
        <v>680</v>
      </c>
      <c r="D387" t="s">
        <v>789</v>
      </c>
      <c r="E387" t="s">
        <v>792</v>
      </c>
      <c r="F387" t="s">
        <v>802</v>
      </c>
      <c r="G387" t="s">
        <v>811</v>
      </c>
      <c r="H387">
        <v>5</v>
      </c>
      <c r="I387">
        <v>225.51</v>
      </c>
      <c r="J387">
        <v>0.15</v>
      </c>
      <c r="K387">
        <v>958.42</v>
      </c>
      <c r="L387" t="s">
        <v>813</v>
      </c>
      <c r="N387">
        <f t="shared" ref="N387:N450" si="25">ROUND(H387*I387*(1-J387),2)</f>
        <v>958.42</v>
      </c>
      <c r="O387" s="5">
        <f t="shared" ref="O387:O450" si="26">H387*I387*(1-J387)</f>
        <v>958.4174999999999</v>
      </c>
      <c r="P387" t="str">
        <f t="shared" ref="P387:P450" si="27">IF(ROUND(O387,2)=ROUND(K387,2),"Same","Different")</f>
        <v>Same</v>
      </c>
      <c r="S387" t="str">
        <f t="shared" si="24"/>
        <v>Okay</v>
      </c>
    </row>
    <row r="388" spans="1:19" x14ac:dyDescent="0.3">
      <c r="A388" t="s">
        <v>398</v>
      </c>
      <c r="B388" s="2">
        <v>45904</v>
      </c>
      <c r="C388" t="s">
        <v>685</v>
      </c>
      <c r="D388" t="s">
        <v>786</v>
      </c>
      <c r="E388" t="s">
        <v>793</v>
      </c>
      <c r="F388" t="s">
        <v>801</v>
      </c>
      <c r="G388" t="s">
        <v>811</v>
      </c>
      <c r="H388">
        <v>5</v>
      </c>
      <c r="I388">
        <v>16.329999999999998</v>
      </c>
      <c r="J388">
        <v>0.25</v>
      </c>
      <c r="K388">
        <v>61.24</v>
      </c>
      <c r="L388" t="s">
        <v>815</v>
      </c>
      <c r="N388">
        <f t="shared" si="25"/>
        <v>61.24</v>
      </c>
      <c r="O388" s="5">
        <f t="shared" si="26"/>
        <v>61.237499999999997</v>
      </c>
      <c r="P388" t="str">
        <f t="shared" si="27"/>
        <v>Same</v>
      </c>
      <c r="S388" t="str">
        <f t="shared" si="24"/>
        <v>Okay</v>
      </c>
    </row>
    <row r="389" spans="1:19" x14ac:dyDescent="0.3">
      <c r="A389" t="s">
        <v>399</v>
      </c>
      <c r="B389" s="2">
        <v>45904</v>
      </c>
      <c r="C389" t="s">
        <v>655</v>
      </c>
      <c r="D389" t="s">
        <v>785</v>
      </c>
      <c r="E389" t="s">
        <v>792</v>
      </c>
      <c r="F389" t="s">
        <v>808</v>
      </c>
      <c r="G389" t="s">
        <v>812</v>
      </c>
      <c r="H389">
        <v>8</v>
      </c>
      <c r="I389">
        <v>79.58</v>
      </c>
      <c r="J389">
        <v>0.25</v>
      </c>
      <c r="K389">
        <v>477.48</v>
      </c>
      <c r="L389" t="s">
        <v>814</v>
      </c>
      <c r="N389">
        <f t="shared" si="25"/>
        <v>477.48</v>
      </c>
      <c r="O389" s="5">
        <f t="shared" si="26"/>
        <v>477.48</v>
      </c>
      <c r="P389" t="str">
        <f t="shared" si="27"/>
        <v>Same</v>
      </c>
      <c r="S389" t="str">
        <f t="shared" si="24"/>
        <v>Okay</v>
      </c>
    </row>
    <row r="390" spans="1:19" x14ac:dyDescent="0.3">
      <c r="A390" t="s">
        <v>400</v>
      </c>
      <c r="B390" s="2">
        <v>45905</v>
      </c>
      <c r="C390" t="s">
        <v>674</v>
      </c>
      <c r="D390" t="s">
        <v>790</v>
      </c>
      <c r="E390" t="s">
        <v>796</v>
      </c>
      <c r="F390" t="s">
        <v>798</v>
      </c>
      <c r="G390" t="s">
        <v>810</v>
      </c>
      <c r="H390">
        <v>4</v>
      </c>
      <c r="I390">
        <v>328.45</v>
      </c>
      <c r="J390">
        <v>0</v>
      </c>
      <c r="K390">
        <v>1313.8</v>
      </c>
      <c r="L390" t="s">
        <v>813</v>
      </c>
      <c r="N390">
        <f t="shared" si="25"/>
        <v>1313.8</v>
      </c>
      <c r="O390" s="5">
        <f t="shared" si="26"/>
        <v>1313.8</v>
      </c>
      <c r="P390" t="str">
        <f t="shared" si="27"/>
        <v>Same</v>
      </c>
      <c r="S390" t="str">
        <f t="shared" si="24"/>
        <v>Okay</v>
      </c>
    </row>
    <row r="391" spans="1:19" x14ac:dyDescent="0.3">
      <c r="A391" t="s">
        <v>401</v>
      </c>
      <c r="B391" s="2">
        <v>45905</v>
      </c>
      <c r="C391" t="s">
        <v>765</v>
      </c>
      <c r="D391" t="s">
        <v>789</v>
      </c>
      <c r="E391" t="s">
        <v>792</v>
      </c>
      <c r="F391" t="s">
        <v>807</v>
      </c>
      <c r="G391" t="s">
        <v>810</v>
      </c>
      <c r="H391">
        <v>4</v>
      </c>
      <c r="I391">
        <v>943.07</v>
      </c>
      <c r="J391">
        <v>0</v>
      </c>
      <c r="K391">
        <v>3772.28</v>
      </c>
      <c r="L391" t="s">
        <v>814</v>
      </c>
      <c r="N391">
        <f t="shared" si="25"/>
        <v>3772.28</v>
      </c>
      <c r="O391" s="5">
        <f t="shared" si="26"/>
        <v>3772.28</v>
      </c>
      <c r="P391" t="str">
        <f t="shared" si="27"/>
        <v>Same</v>
      </c>
      <c r="S391" t="str">
        <f t="shared" si="24"/>
        <v>Okay</v>
      </c>
    </row>
    <row r="392" spans="1:19" x14ac:dyDescent="0.3">
      <c r="A392" t="s">
        <v>402</v>
      </c>
      <c r="B392" s="2">
        <v>45906</v>
      </c>
      <c r="C392" t="s">
        <v>726</v>
      </c>
      <c r="D392" t="s">
        <v>787</v>
      </c>
      <c r="E392" t="s">
        <v>794</v>
      </c>
      <c r="F392" t="s">
        <v>804</v>
      </c>
      <c r="G392" t="s">
        <v>809</v>
      </c>
      <c r="H392">
        <v>7</v>
      </c>
      <c r="I392">
        <v>323.95</v>
      </c>
      <c r="J392">
        <v>0.15</v>
      </c>
      <c r="K392">
        <v>1927.5</v>
      </c>
      <c r="L392" t="s">
        <v>814</v>
      </c>
      <c r="N392">
        <f t="shared" si="25"/>
        <v>1927.5</v>
      </c>
      <c r="O392" s="5">
        <f t="shared" si="26"/>
        <v>1927.5025000000001</v>
      </c>
      <c r="P392" t="str">
        <f t="shared" si="27"/>
        <v>Same</v>
      </c>
      <c r="S392" t="str">
        <f t="shared" si="24"/>
        <v>Okay</v>
      </c>
    </row>
    <row r="393" spans="1:19" x14ac:dyDescent="0.3">
      <c r="A393" t="s">
        <v>403</v>
      </c>
      <c r="B393" s="2">
        <v>45906</v>
      </c>
      <c r="C393" t="s">
        <v>623</v>
      </c>
      <c r="D393" t="s">
        <v>789</v>
      </c>
      <c r="E393" t="s">
        <v>792</v>
      </c>
      <c r="F393" t="s">
        <v>808</v>
      </c>
      <c r="G393" t="s">
        <v>812</v>
      </c>
      <c r="H393">
        <v>6</v>
      </c>
      <c r="I393">
        <v>77.31</v>
      </c>
      <c r="J393">
        <v>0.15</v>
      </c>
      <c r="K393">
        <v>394.28</v>
      </c>
      <c r="L393" t="s">
        <v>814</v>
      </c>
      <c r="N393">
        <f t="shared" si="25"/>
        <v>394.28</v>
      </c>
      <c r="O393" s="5">
        <f t="shared" si="26"/>
        <v>394.28100000000001</v>
      </c>
      <c r="P393" t="str">
        <f t="shared" si="27"/>
        <v>Same</v>
      </c>
      <c r="S393" t="str">
        <f t="shared" si="24"/>
        <v>Okay</v>
      </c>
    </row>
    <row r="394" spans="1:19" x14ac:dyDescent="0.3">
      <c r="A394" t="s">
        <v>404</v>
      </c>
      <c r="B394" s="2">
        <v>45906</v>
      </c>
      <c r="C394" t="s">
        <v>715</v>
      </c>
      <c r="D394" t="s">
        <v>787</v>
      </c>
      <c r="E394" t="s">
        <v>794</v>
      </c>
      <c r="F394" t="s">
        <v>803</v>
      </c>
      <c r="G394" t="s">
        <v>810</v>
      </c>
      <c r="H394">
        <v>5</v>
      </c>
      <c r="I394">
        <v>131.85</v>
      </c>
      <c r="J394">
        <v>0.2</v>
      </c>
      <c r="K394">
        <v>527.4</v>
      </c>
      <c r="L394" t="s">
        <v>815</v>
      </c>
      <c r="N394">
        <f t="shared" si="25"/>
        <v>527.4</v>
      </c>
      <c r="O394" s="5">
        <f t="shared" si="26"/>
        <v>527.4</v>
      </c>
      <c r="P394" t="str">
        <f t="shared" si="27"/>
        <v>Same</v>
      </c>
      <c r="S394" t="str">
        <f t="shared" si="24"/>
        <v>Okay</v>
      </c>
    </row>
    <row r="395" spans="1:19" x14ac:dyDescent="0.3">
      <c r="A395" t="s">
        <v>405</v>
      </c>
      <c r="B395" s="2">
        <v>45906</v>
      </c>
      <c r="C395" t="s">
        <v>639</v>
      </c>
      <c r="D395" t="s">
        <v>788</v>
      </c>
      <c r="E395" t="s">
        <v>795</v>
      </c>
      <c r="F395" t="s">
        <v>800</v>
      </c>
      <c r="G395" t="s">
        <v>810</v>
      </c>
      <c r="H395">
        <v>6</v>
      </c>
      <c r="I395">
        <v>657.13</v>
      </c>
      <c r="J395">
        <v>0</v>
      </c>
      <c r="K395">
        <v>3942.78</v>
      </c>
      <c r="L395" t="s">
        <v>813</v>
      </c>
      <c r="N395">
        <f t="shared" si="25"/>
        <v>3942.78</v>
      </c>
      <c r="O395" s="5">
        <f t="shared" si="26"/>
        <v>3942.7799999999997</v>
      </c>
      <c r="P395" t="str">
        <f t="shared" si="27"/>
        <v>Same</v>
      </c>
      <c r="S395" t="str">
        <f t="shared" si="24"/>
        <v>Okay</v>
      </c>
    </row>
    <row r="396" spans="1:19" x14ac:dyDescent="0.3">
      <c r="A396" t="s">
        <v>406</v>
      </c>
      <c r="B396" s="2">
        <v>45906</v>
      </c>
      <c r="C396" t="s">
        <v>739</v>
      </c>
      <c r="D396" t="s">
        <v>785</v>
      </c>
      <c r="E396" t="s">
        <v>792</v>
      </c>
      <c r="F396" t="s">
        <v>807</v>
      </c>
      <c r="G396" t="s">
        <v>810</v>
      </c>
      <c r="H396">
        <v>7</v>
      </c>
      <c r="I396">
        <v>849.29</v>
      </c>
      <c r="J396">
        <v>0.3</v>
      </c>
      <c r="K396">
        <v>4161.5200000000004</v>
      </c>
      <c r="L396" t="s">
        <v>815</v>
      </c>
      <c r="N396">
        <f t="shared" si="25"/>
        <v>4161.5200000000004</v>
      </c>
      <c r="O396" s="5">
        <f t="shared" si="26"/>
        <v>4161.5209999999997</v>
      </c>
      <c r="P396" t="str">
        <f t="shared" si="27"/>
        <v>Same</v>
      </c>
      <c r="S396" t="str">
        <f t="shared" si="24"/>
        <v>Okay</v>
      </c>
    </row>
    <row r="397" spans="1:19" x14ac:dyDescent="0.3">
      <c r="A397" t="s">
        <v>407</v>
      </c>
      <c r="B397" s="2">
        <v>45907</v>
      </c>
      <c r="C397" t="s">
        <v>729</v>
      </c>
      <c r="D397" t="s">
        <v>785</v>
      </c>
      <c r="E397" t="s">
        <v>792</v>
      </c>
      <c r="F397" t="s">
        <v>804</v>
      </c>
      <c r="G397" t="s">
        <v>809</v>
      </c>
      <c r="H397">
        <v>7</v>
      </c>
      <c r="I397">
        <v>339.24</v>
      </c>
      <c r="J397">
        <v>0.1</v>
      </c>
      <c r="K397">
        <v>2137.21</v>
      </c>
      <c r="L397" t="s">
        <v>815</v>
      </c>
      <c r="N397">
        <f t="shared" si="25"/>
        <v>2137.21</v>
      </c>
      <c r="O397" s="5">
        <f t="shared" si="26"/>
        <v>2137.2120000000004</v>
      </c>
      <c r="P397" t="str">
        <f t="shared" si="27"/>
        <v>Same</v>
      </c>
      <c r="S397" t="str">
        <f t="shared" si="24"/>
        <v>Okay</v>
      </c>
    </row>
    <row r="398" spans="1:19" x14ac:dyDescent="0.3">
      <c r="A398" t="s">
        <v>408</v>
      </c>
      <c r="B398" s="2">
        <v>45907</v>
      </c>
      <c r="C398" t="s">
        <v>662</v>
      </c>
      <c r="D398" t="s">
        <v>786</v>
      </c>
      <c r="E398" t="s">
        <v>793</v>
      </c>
      <c r="F398" t="s">
        <v>797</v>
      </c>
      <c r="G398" t="s">
        <v>809</v>
      </c>
      <c r="H398">
        <v>4</v>
      </c>
      <c r="I398">
        <v>199.76</v>
      </c>
      <c r="J398">
        <v>0.2</v>
      </c>
      <c r="K398">
        <v>639.23</v>
      </c>
      <c r="L398" t="s">
        <v>815</v>
      </c>
      <c r="N398">
        <f t="shared" si="25"/>
        <v>639.23</v>
      </c>
      <c r="O398" s="5">
        <f t="shared" si="26"/>
        <v>639.23199999999997</v>
      </c>
      <c r="P398" t="str">
        <f t="shared" si="27"/>
        <v>Same</v>
      </c>
      <c r="S398" t="str">
        <f t="shared" si="24"/>
        <v>Okay</v>
      </c>
    </row>
    <row r="399" spans="1:19" x14ac:dyDescent="0.3">
      <c r="A399" t="s">
        <v>409</v>
      </c>
      <c r="B399" s="2">
        <v>45907</v>
      </c>
      <c r="C399" t="s">
        <v>692</v>
      </c>
      <c r="D399" t="s">
        <v>786</v>
      </c>
      <c r="E399" t="s">
        <v>793</v>
      </c>
      <c r="F399" t="s">
        <v>804</v>
      </c>
      <c r="G399" t="s">
        <v>809</v>
      </c>
      <c r="H399">
        <v>6</v>
      </c>
      <c r="I399">
        <v>349.01</v>
      </c>
      <c r="J399">
        <v>0</v>
      </c>
      <c r="K399">
        <v>2094.06</v>
      </c>
      <c r="L399" t="s">
        <v>815</v>
      </c>
      <c r="N399">
        <f t="shared" si="25"/>
        <v>2094.06</v>
      </c>
      <c r="O399" s="5">
        <f t="shared" si="26"/>
        <v>2094.06</v>
      </c>
      <c r="P399" t="str">
        <f t="shared" si="27"/>
        <v>Same</v>
      </c>
      <c r="S399" t="str">
        <f t="shared" si="24"/>
        <v>Okay</v>
      </c>
    </row>
    <row r="400" spans="1:19" x14ac:dyDescent="0.3">
      <c r="A400" t="s">
        <v>410</v>
      </c>
      <c r="B400" s="2">
        <v>45908</v>
      </c>
      <c r="C400" t="s">
        <v>766</v>
      </c>
      <c r="D400" t="s">
        <v>786</v>
      </c>
      <c r="E400" t="s">
        <v>793</v>
      </c>
      <c r="F400" t="s">
        <v>806</v>
      </c>
      <c r="G400" t="s">
        <v>810</v>
      </c>
      <c r="H400">
        <v>4</v>
      </c>
      <c r="I400">
        <v>79.14</v>
      </c>
      <c r="J400">
        <v>0.2</v>
      </c>
      <c r="K400">
        <v>253.25</v>
      </c>
      <c r="L400" t="s">
        <v>815</v>
      </c>
      <c r="N400">
        <f t="shared" si="25"/>
        <v>253.25</v>
      </c>
      <c r="O400" s="5">
        <f t="shared" si="26"/>
        <v>253.24800000000002</v>
      </c>
      <c r="P400" t="str">
        <f t="shared" si="27"/>
        <v>Same</v>
      </c>
      <c r="S400" t="str">
        <f t="shared" si="24"/>
        <v>Okay</v>
      </c>
    </row>
    <row r="401" spans="1:19" x14ac:dyDescent="0.3">
      <c r="A401" t="s">
        <v>411</v>
      </c>
      <c r="B401" s="2">
        <v>45908</v>
      </c>
      <c r="C401" t="s">
        <v>714</v>
      </c>
      <c r="D401" t="s">
        <v>787</v>
      </c>
      <c r="E401" t="s">
        <v>794</v>
      </c>
      <c r="F401" t="s">
        <v>799</v>
      </c>
      <c r="G401" t="s">
        <v>809</v>
      </c>
      <c r="H401">
        <v>6</v>
      </c>
      <c r="I401">
        <v>54.09</v>
      </c>
      <c r="J401">
        <v>0.1</v>
      </c>
      <c r="K401">
        <v>292.08999999999997</v>
      </c>
      <c r="L401" t="s">
        <v>816</v>
      </c>
      <c r="N401">
        <f t="shared" si="25"/>
        <v>292.08999999999997</v>
      </c>
      <c r="O401" s="5">
        <f t="shared" si="26"/>
        <v>292.08600000000001</v>
      </c>
      <c r="P401" t="str">
        <f t="shared" si="27"/>
        <v>Same</v>
      </c>
      <c r="S401" t="str">
        <f t="shared" si="24"/>
        <v>Okay</v>
      </c>
    </row>
    <row r="402" spans="1:19" x14ac:dyDescent="0.3">
      <c r="A402" t="s">
        <v>412</v>
      </c>
      <c r="B402" s="2">
        <v>45909</v>
      </c>
      <c r="C402" t="s">
        <v>663</v>
      </c>
      <c r="D402" t="s">
        <v>785</v>
      </c>
      <c r="E402" t="s">
        <v>792</v>
      </c>
      <c r="F402" t="s">
        <v>805</v>
      </c>
      <c r="G402" t="s">
        <v>810</v>
      </c>
      <c r="H402">
        <v>4</v>
      </c>
      <c r="I402">
        <v>43.23</v>
      </c>
      <c r="J402">
        <v>0</v>
      </c>
      <c r="K402">
        <v>172.92</v>
      </c>
      <c r="L402" t="s">
        <v>815</v>
      </c>
      <c r="N402">
        <f t="shared" si="25"/>
        <v>172.92</v>
      </c>
      <c r="O402" s="5">
        <f t="shared" si="26"/>
        <v>172.92</v>
      </c>
      <c r="P402" t="str">
        <f t="shared" si="27"/>
        <v>Same</v>
      </c>
      <c r="S402" t="str">
        <f t="shared" si="24"/>
        <v>Okay</v>
      </c>
    </row>
    <row r="403" spans="1:19" x14ac:dyDescent="0.3">
      <c r="A403" t="s">
        <v>413</v>
      </c>
      <c r="B403" s="2">
        <v>45912</v>
      </c>
      <c r="C403" t="s">
        <v>712</v>
      </c>
      <c r="D403" t="s">
        <v>786</v>
      </c>
      <c r="E403" t="s">
        <v>793</v>
      </c>
      <c r="F403" t="s">
        <v>799</v>
      </c>
      <c r="G403" t="s">
        <v>809</v>
      </c>
      <c r="H403">
        <v>5</v>
      </c>
      <c r="I403">
        <v>50.47</v>
      </c>
      <c r="J403">
        <v>0.2</v>
      </c>
      <c r="K403">
        <v>201.88</v>
      </c>
      <c r="L403" t="s">
        <v>815</v>
      </c>
      <c r="N403">
        <f t="shared" si="25"/>
        <v>201.88</v>
      </c>
      <c r="O403" s="5">
        <f t="shared" si="26"/>
        <v>201.88</v>
      </c>
      <c r="P403" t="str">
        <f t="shared" si="27"/>
        <v>Same</v>
      </c>
      <c r="S403" t="str">
        <f t="shared" si="24"/>
        <v>Okay</v>
      </c>
    </row>
    <row r="404" spans="1:19" x14ac:dyDescent="0.3">
      <c r="A404" t="s">
        <v>414</v>
      </c>
      <c r="B404" s="2">
        <v>45912</v>
      </c>
      <c r="C404" t="s">
        <v>694</v>
      </c>
      <c r="D404" t="s">
        <v>790</v>
      </c>
      <c r="E404" t="s">
        <v>796</v>
      </c>
      <c r="F404" t="s">
        <v>806</v>
      </c>
      <c r="G404" t="s">
        <v>810</v>
      </c>
      <c r="H404">
        <v>1</v>
      </c>
      <c r="I404">
        <v>80.83</v>
      </c>
      <c r="J404">
        <v>0.05</v>
      </c>
      <c r="K404">
        <v>76.790000000000006</v>
      </c>
      <c r="L404" t="s">
        <v>814</v>
      </c>
      <c r="N404">
        <f t="shared" si="25"/>
        <v>76.790000000000006</v>
      </c>
      <c r="O404" s="5">
        <f t="shared" si="26"/>
        <v>76.788499999999999</v>
      </c>
      <c r="P404" t="str">
        <f t="shared" si="27"/>
        <v>Same</v>
      </c>
      <c r="S404" t="str">
        <f t="shared" si="24"/>
        <v>Okay</v>
      </c>
    </row>
    <row r="405" spans="1:19" x14ac:dyDescent="0.3">
      <c r="A405" t="s">
        <v>415</v>
      </c>
      <c r="B405" s="2">
        <v>45913</v>
      </c>
      <c r="C405" t="s">
        <v>654</v>
      </c>
      <c r="D405" t="s">
        <v>785</v>
      </c>
      <c r="E405" t="s">
        <v>792</v>
      </c>
      <c r="F405" t="s">
        <v>806</v>
      </c>
      <c r="G405" t="s">
        <v>810</v>
      </c>
      <c r="H405">
        <v>2</v>
      </c>
      <c r="I405">
        <v>83.3</v>
      </c>
      <c r="J405">
        <v>0.05</v>
      </c>
      <c r="K405">
        <v>158.27000000000001</v>
      </c>
      <c r="L405" t="s">
        <v>814</v>
      </c>
      <c r="N405">
        <f t="shared" si="25"/>
        <v>158.27000000000001</v>
      </c>
      <c r="O405" s="5">
        <f t="shared" si="26"/>
        <v>158.26999999999998</v>
      </c>
      <c r="P405" t="str">
        <f t="shared" si="27"/>
        <v>Same</v>
      </c>
      <c r="S405" t="str">
        <f t="shared" si="24"/>
        <v>Okay</v>
      </c>
    </row>
    <row r="406" spans="1:19" x14ac:dyDescent="0.3">
      <c r="A406" t="s">
        <v>416</v>
      </c>
      <c r="B406" s="2">
        <v>45913</v>
      </c>
      <c r="C406" t="s">
        <v>681</v>
      </c>
      <c r="D406" t="s">
        <v>787</v>
      </c>
      <c r="E406" t="s">
        <v>794</v>
      </c>
      <c r="F406" t="s">
        <v>801</v>
      </c>
      <c r="G406" t="s">
        <v>811</v>
      </c>
      <c r="H406">
        <v>7</v>
      </c>
      <c r="I406">
        <v>15.55</v>
      </c>
      <c r="J406">
        <v>0.05</v>
      </c>
      <c r="K406">
        <v>103.41</v>
      </c>
      <c r="L406" t="s">
        <v>813</v>
      </c>
      <c r="N406">
        <f t="shared" si="25"/>
        <v>103.41</v>
      </c>
      <c r="O406" s="5">
        <f t="shared" si="26"/>
        <v>103.4075</v>
      </c>
      <c r="P406" t="str">
        <f t="shared" si="27"/>
        <v>Same</v>
      </c>
      <c r="S406" t="str">
        <f t="shared" si="24"/>
        <v>Okay</v>
      </c>
    </row>
    <row r="407" spans="1:19" x14ac:dyDescent="0.3">
      <c r="A407" t="s">
        <v>417</v>
      </c>
      <c r="B407" s="2">
        <v>45913</v>
      </c>
      <c r="C407" t="s">
        <v>763</v>
      </c>
      <c r="D407" t="s">
        <v>789</v>
      </c>
      <c r="E407" t="s">
        <v>792</v>
      </c>
      <c r="F407" t="s">
        <v>805</v>
      </c>
      <c r="G407" t="s">
        <v>810</v>
      </c>
      <c r="H407">
        <v>7</v>
      </c>
      <c r="I407">
        <v>41.09</v>
      </c>
      <c r="J407">
        <v>0.2</v>
      </c>
      <c r="K407">
        <v>230.1</v>
      </c>
      <c r="L407" t="s">
        <v>814</v>
      </c>
      <c r="N407">
        <f t="shared" si="25"/>
        <v>230.1</v>
      </c>
      <c r="O407" s="5">
        <f t="shared" si="26"/>
        <v>230.10400000000001</v>
      </c>
      <c r="P407" t="str">
        <f t="shared" si="27"/>
        <v>Same</v>
      </c>
      <c r="S407" t="str">
        <f t="shared" si="24"/>
        <v>Okay</v>
      </c>
    </row>
    <row r="408" spans="1:19" x14ac:dyDescent="0.3">
      <c r="A408" t="s">
        <v>418</v>
      </c>
      <c r="B408" s="2">
        <v>45913</v>
      </c>
      <c r="C408" t="s">
        <v>649</v>
      </c>
      <c r="D408" t="s">
        <v>786</v>
      </c>
      <c r="E408" t="s">
        <v>793</v>
      </c>
      <c r="F408" t="s">
        <v>808</v>
      </c>
      <c r="G408" t="s">
        <v>812</v>
      </c>
      <c r="H408">
        <v>8</v>
      </c>
      <c r="I408">
        <v>74.16</v>
      </c>
      <c r="J408">
        <v>0</v>
      </c>
      <c r="K408">
        <v>593.28</v>
      </c>
      <c r="L408" t="s">
        <v>814</v>
      </c>
      <c r="N408">
        <f t="shared" si="25"/>
        <v>593.28</v>
      </c>
      <c r="O408" s="5">
        <f t="shared" si="26"/>
        <v>593.28</v>
      </c>
      <c r="P408" t="str">
        <f t="shared" si="27"/>
        <v>Same</v>
      </c>
      <c r="S408" t="str">
        <f t="shared" si="24"/>
        <v>Okay</v>
      </c>
    </row>
    <row r="409" spans="1:19" x14ac:dyDescent="0.3">
      <c r="A409" t="s">
        <v>419</v>
      </c>
      <c r="B409" s="2">
        <v>45914</v>
      </c>
      <c r="C409" t="s">
        <v>665</v>
      </c>
      <c r="D409" t="s">
        <v>790</v>
      </c>
      <c r="E409" t="s">
        <v>796</v>
      </c>
      <c r="F409" t="s">
        <v>804</v>
      </c>
      <c r="G409" t="s">
        <v>809</v>
      </c>
      <c r="H409">
        <v>3</v>
      </c>
      <c r="I409">
        <v>382.52</v>
      </c>
      <c r="J409">
        <v>0.15</v>
      </c>
      <c r="K409">
        <v>975.43</v>
      </c>
      <c r="L409" t="s">
        <v>815</v>
      </c>
      <c r="N409">
        <f t="shared" si="25"/>
        <v>975.43</v>
      </c>
      <c r="O409" s="5">
        <f t="shared" si="26"/>
        <v>975.42599999999993</v>
      </c>
      <c r="P409" t="str">
        <f t="shared" si="27"/>
        <v>Same</v>
      </c>
      <c r="S409" t="str">
        <f t="shared" si="24"/>
        <v>Okay</v>
      </c>
    </row>
    <row r="410" spans="1:19" x14ac:dyDescent="0.3">
      <c r="A410" t="s">
        <v>420</v>
      </c>
      <c r="B410" s="2">
        <v>45914</v>
      </c>
      <c r="C410" t="s">
        <v>735</v>
      </c>
      <c r="D410" t="s">
        <v>785</v>
      </c>
      <c r="E410" t="s">
        <v>792</v>
      </c>
      <c r="F410" t="s">
        <v>797</v>
      </c>
      <c r="G410" t="s">
        <v>809</v>
      </c>
      <c r="H410">
        <v>2</v>
      </c>
      <c r="I410">
        <v>228.75</v>
      </c>
      <c r="J410">
        <v>0.05</v>
      </c>
      <c r="K410">
        <v>434.62</v>
      </c>
      <c r="L410" t="s">
        <v>815</v>
      </c>
      <c r="N410">
        <f t="shared" si="25"/>
        <v>434.63</v>
      </c>
      <c r="O410" s="5">
        <f t="shared" si="26"/>
        <v>434.625</v>
      </c>
      <c r="P410" t="str">
        <f t="shared" si="27"/>
        <v>Different</v>
      </c>
      <c r="S410" t="str">
        <f t="shared" si="24"/>
        <v>Okay</v>
      </c>
    </row>
    <row r="411" spans="1:19" x14ac:dyDescent="0.3">
      <c r="A411" t="s">
        <v>421</v>
      </c>
      <c r="B411" s="2">
        <v>45917</v>
      </c>
      <c r="C411" t="s">
        <v>684</v>
      </c>
      <c r="D411" t="s">
        <v>789</v>
      </c>
      <c r="E411" t="s">
        <v>792</v>
      </c>
      <c r="F411" t="s">
        <v>804</v>
      </c>
      <c r="G411" t="s">
        <v>809</v>
      </c>
      <c r="H411">
        <v>6</v>
      </c>
      <c r="I411">
        <v>363.69</v>
      </c>
      <c r="J411">
        <v>0</v>
      </c>
      <c r="K411">
        <v>2182.14</v>
      </c>
      <c r="L411" t="s">
        <v>815</v>
      </c>
      <c r="N411">
        <f t="shared" si="25"/>
        <v>2182.14</v>
      </c>
      <c r="O411" s="5">
        <f t="shared" si="26"/>
        <v>2182.14</v>
      </c>
      <c r="P411" t="str">
        <f t="shared" si="27"/>
        <v>Same</v>
      </c>
      <c r="S411" t="str">
        <f t="shared" si="24"/>
        <v>Okay</v>
      </c>
    </row>
    <row r="412" spans="1:19" x14ac:dyDescent="0.3">
      <c r="A412" t="s">
        <v>422</v>
      </c>
      <c r="B412" s="2">
        <v>45917</v>
      </c>
      <c r="C412" t="s">
        <v>674</v>
      </c>
      <c r="D412" t="s">
        <v>787</v>
      </c>
      <c r="E412" t="s">
        <v>794</v>
      </c>
      <c r="F412" t="s">
        <v>800</v>
      </c>
      <c r="G412" t="s">
        <v>810</v>
      </c>
      <c r="H412">
        <v>3</v>
      </c>
      <c r="I412">
        <v>607.89</v>
      </c>
      <c r="J412">
        <v>0.05</v>
      </c>
      <c r="K412">
        <v>1732.49</v>
      </c>
      <c r="L412" t="s">
        <v>814</v>
      </c>
      <c r="N412">
        <f t="shared" si="25"/>
        <v>1732.49</v>
      </c>
      <c r="O412" s="5">
        <f t="shared" si="26"/>
        <v>1732.4865</v>
      </c>
      <c r="P412" t="str">
        <f t="shared" si="27"/>
        <v>Same</v>
      </c>
      <c r="S412" t="str">
        <f t="shared" si="24"/>
        <v>Okay</v>
      </c>
    </row>
    <row r="413" spans="1:19" x14ac:dyDescent="0.3">
      <c r="A413" t="s">
        <v>423</v>
      </c>
      <c r="B413" s="2">
        <v>45917</v>
      </c>
      <c r="C413" t="s">
        <v>671</v>
      </c>
      <c r="D413" t="s">
        <v>790</v>
      </c>
      <c r="E413" t="s">
        <v>796</v>
      </c>
      <c r="F413" t="s">
        <v>806</v>
      </c>
      <c r="G413" t="s">
        <v>810</v>
      </c>
      <c r="H413">
        <v>3</v>
      </c>
      <c r="I413">
        <v>86.46</v>
      </c>
      <c r="J413">
        <v>0.3</v>
      </c>
      <c r="K413">
        <v>181.57</v>
      </c>
      <c r="N413">
        <f t="shared" si="25"/>
        <v>181.57</v>
      </c>
      <c r="O413" s="5">
        <f t="shared" si="26"/>
        <v>181.56599999999997</v>
      </c>
      <c r="P413" t="str">
        <f t="shared" si="27"/>
        <v>Same</v>
      </c>
      <c r="S413" t="str">
        <f t="shared" si="24"/>
        <v>Okay</v>
      </c>
    </row>
    <row r="414" spans="1:19" x14ac:dyDescent="0.3">
      <c r="A414" t="s">
        <v>424</v>
      </c>
      <c r="B414" s="2">
        <v>45918</v>
      </c>
      <c r="C414" t="s">
        <v>754</v>
      </c>
      <c r="D414" t="s">
        <v>785</v>
      </c>
      <c r="E414" t="s">
        <v>792</v>
      </c>
      <c r="F414" t="s">
        <v>807</v>
      </c>
      <c r="G414" t="s">
        <v>810</v>
      </c>
      <c r="H414">
        <v>3</v>
      </c>
      <c r="I414">
        <v>866.19</v>
      </c>
      <c r="J414">
        <v>0.1</v>
      </c>
      <c r="K414">
        <v>2338.71</v>
      </c>
      <c r="L414" t="s">
        <v>813</v>
      </c>
      <c r="N414">
        <f t="shared" si="25"/>
        <v>2338.71</v>
      </c>
      <c r="O414" s="5">
        <f t="shared" si="26"/>
        <v>2338.7130000000002</v>
      </c>
      <c r="P414" t="str">
        <f t="shared" si="27"/>
        <v>Same</v>
      </c>
      <c r="S414" t="str">
        <f t="shared" si="24"/>
        <v>Okay</v>
      </c>
    </row>
    <row r="415" spans="1:19" x14ac:dyDescent="0.3">
      <c r="A415" t="s">
        <v>425</v>
      </c>
      <c r="B415" s="2">
        <v>45918</v>
      </c>
      <c r="C415" t="s">
        <v>753</v>
      </c>
      <c r="D415" t="s">
        <v>787</v>
      </c>
      <c r="E415" t="s">
        <v>794</v>
      </c>
      <c r="F415" t="s">
        <v>797</v>
      </c>
      <c r="G415" t="s">
        <v>809</v>
      </c>
      <c r="H415">
        <v>5</v>
      </c>
      <c r="I415">
        <v>203.61</v>
      </c>
      <c r="J415">
        <v>0.1</v>
      </c>
      <c r="K415">
        <v>916.25</v>
      </c>
      <c r="L415" t="s">
        <v>813</v>
      </c>
      <c r="N415">
        <f t="shared" si="25"/>
        <v>916.25</v>
      </c>
      <c r="O415" s="5">
        <f t="shared" si="26"/>
        <v>916.24500000000012</v>
      </c>
      <c r="P415" t="str">
        <f t="shared" si="27"/>
        <v>Same</v>
      </c>
      <c r="S415" t="str">
        <f t="shared" si="24"/>
        <v>Okay</v>
      </c>
    </row>
    <row r="416" spans="1:19" x14ac:dyDescent="0.3">
      <c r="A416" t="s">
        <v>426</v>
      </c>
      <c r="B416" s="2">
        <v>45919</v>
      </c>
      <c r="C416" t="s">
        <v>616</v>
      </c>
      <c r="D416" t="s">
        <v>786</v>
      </c>
      <c r="E416" t="s">
        <v>793</v>
      </c>
      <c r="F416" t="s">
        <v>806</v>
      </c>
      <c r="G416" t="s">
        <v>810</v>
      </c>
      <c r="H416">
        <v>8</v>
      </c>
      <c r="I416">
        <v>82.85</v>
      </c>
      <c r="J416">
        <v>0.1</v>
      </c>
      <c r="K416">
        <v>596.52</v>
      </c>
      <c r="L416" t="s">
        <v>814</v>
      </c>
      <c r="N416">
        <f t="shared" si="25"/>
        <v>596.52</v>
      </c>
      <c r="O416" s="5">
        <f t="shared" si="26"/>
        <v>596.52</v>
      </c>
      <c r="P416" t="str">
        <f t="shared" si="27"/>
        <v>Same</v>
      </c>
      <c r="S416" t="str">
        <f t="shared" si="24"/>
        <v>Okay</v>
      </c>
    </row>
    <row r="417" spans="1:19" x14ac:dyDescent="0.3">
      <c r="A417" t="s">
        <v>427</v>
      </c>
      <c r="B417" s="2">
        <v>45919</v>
      </c>
      <c r="C417" t="s">
        <v>657</v>
      </c>
      <c r="D417" t="s">
        <v>789</v>
      </c>
      <c r="E417" t="s">
        <v>792</v>
      </c>
      <c r="F417" t="s">
        <v>802</v>
      </c>
      <c r="G417" t="s">
        <v>811</v>
      </c>
      <c r="H417">
        <v>5</v>
      </c>
      <c r="I417">
        <v>229.23</v>
      </c>
      <c r="J417">
        <v>0.1</v>
      </c>
      <c r="K417">
        <v>1031.53</v>
      </c>
      <c r="L417" t="s">
        <v>815</v>
      </c>
      <c r="N417">
        <f t="shared" si="25"/>
        <v>1031.54</v>
      </c>
      <c r="O417" s="5">
        <f t="shared" si="26"/>
        <v>1031.5349999999999</v>
      </c>
      <c r="P417" t="str">
        <f t="shared" si="27"/>
        <v>Different</v>
      </c>
      <c r="S417" t="str">
        <f t="shared" si="24"/>
        <v>Okay</v>
      </c>
    </row>
    <row r="418" spans="1:19" x14ac:dyDescent="0.3">
      <c r="A418" t="s">
        <v>428</v>
      </c>
      <c r="B418" s="2">
        <v>45920</v>
      </c>
      <c r="C418" t="s">
        <v>695</v>
      </c>
      <c r="D418" t="s">
        <v>786</v>
      </c>
      <c r="E418" t="s">
        <v>793</v>
      </c>
      <c r="F418" t="s">
        <v>806</v>
      </c>
      <c r="G418" t="s">
        <v>810</v>
      </c>
      <c r="H418">
        <v>2</v>
      </c>
      <c r="I418">
        <v>74.53</v>
      </c>
      <c r="J418">
        <v>0.15</v>
      </c>
      <c r="K418">
        <v>126.7</v>
      </c>
      <c r="L418" t="s">
        <v>813</v>
      </c>
      <c r="N418">
        <f t="shared" si="25"/>
        <v>126.7</v>
      </c>
      <c r="O418" s="5">
        <f t="shared" si="26"/>
        <v>126.70099999999999</v>
      </c>
      <c r="P418" t="str">
        <f t="shared" si="27"/>
        <v>Same</v>
      </c>
      <c r="S418" t="str">
        <f t="shared" si="24"/>
        <v>Okay</v>
      </c>
    </row>
    <row r="419" spans="1:19" x14ac:dyDescent="0.3">
      <c r="A419" t="s">
        <v>429</v>
      </c>
      <c r="B419" s="2">
        <v>45920</v>
      </c>
      <c r="C419" t="s">
        <v>749</v>
      </c>
      <c r="D419" t="s">
        <v>788</v>
      </c>
      <c r="E419" t="s">
        <v>795</v>
      </c>
      <c r="F419" t="s">
        <v>805</v>
      </c>
      <c r="G419" t="s">
        <v>810</v>
      </c>
      <c r="H419">
        <v>1</v>
      </c>
      <c r="I419">
        <v>42.38</v>
      </c>
      <c r="J419">
        <v>0.1</v>
      </c>
      <c r="K419">
        <v>38.14</v>
      </c>
      <c r="L419" t="s">
        <v>815</v>
      </c>
      <c r="N419">
        <f t="shared" si="25"/>
        <v>38.14</v>
      </c>
      <c r="O419" s="5">
        <f t="shared" si="26"/>
        <v>38.142000000000003</v>
      </c>
      <c r="P419" t="str">
        <f t="shared" si="27"/>
        <v>Same</v>
      </c>
      <c r="S419" t="str">
        <f t="shared" si="24"/>
        <v>Okay</v>
      </c>
    </row>
    <row r="420" spans="1:19" x14ac:dyDescent="0.3">
      <c r="A420" t="s">
        <v>430</v>
      </c>
      <c r="B420" s="2">
        <v>45921</v>
      </c>
      <c r="C420" t="s">
        <v>647</v>
      </c>
      <c r="D420" t="s">
        <v>786</v>
      </c>
      <c r="E420" t="s">
        <v>793</v>
      </c>
      <c r="F420" t="s">
        <v>803</v>
      </c>
      <c r="G420" t="s">
        <v>810</v>
      </c>
      <c r="H420">
        <v>2</v>
      </c>
      <c r="I420">
        <v>120.33</v>
      </c>
      <c r="J420">
        <v>0.05</v>
      </c>
      <c r="K420">
        <v>228.63</v>
      </c>
      <c r="L420" t="s">
        <v>816</v>
      </c>
      <c r="N420">
        <f t="shared" si="25"/>
        <v>228.63</v>
      </c>
      <c r="O420" s="5">
        <f t="shared" si="26"/>
        <v>228.62699999999998</v>
      </c>
      <c r="P420" t="str">
        <f t="shared" si="27"/>
        <v>Same</v>
      </c>
      <c r="S420" t="str">
        <f t="shared" si="24"/>
        <v>Okay</v>
      </c>
    </row>
    <row r="421" spans="1:19" x14ac:dyDescent="0.3">
      <c r="A421" t="s">
        <v>431</v>
      </c>
      <c r="B421" s="2">
        <v>45921</v>
      </c>
      <c r="C421" t="s">
        <v>749</v>
      </c>
      <c r="D421" t="s">
        <v>788</v>
      </c>
      <c r="E421" t="s">
        <v>795</v>
      </c>
      <c r="F421" t="s">
        <v>799</v>
      </c>
      <c r="G421" t="s">
        <v>809</v>
      </c>
      <c r="H421">
        <v>2</v>
      </c>
      <c r="I421">
        <v>49.56</v>
      </c>
      <c r="J421">
        <v>0.15</v>
      </c>
      <c r="K421">
        <v>84.25</v>
      </c>
      <c r="L421" t="s">
        <v>814</v>
      </c>
      <c r="N421">
        <f t="shared" si="25"/>
        <v>84.25</v>
      </c>
      <c r="O421" s="5">
        <f t="shared" si="26"/>
        <v>84.251999999999995</v>
      </c>
      <c r="P421" t="str">
        <f t="shared" si="27"/>
        <v>Same</v>
      </c>
      <c r="S421" t="str">
        <f t="shared" si="24"/>
        <v>Okay</v>
      </c>
    </row>
    <row r="422" spans="1:19" x14ac:dyDescent="0.3">
      <c r="A422" t="s">
        <v>432</v>
      </c>
      <c r="B422" s="2">
        <v>45921</v>
      </c>
      <c r="C422" t="s">
        <v>687</v>
      </c>
      <c r="D422" t="s">
        <v>789</v>
      </c>
      <c r="E422" t="s">
        <v>792</v>
      </c>
      <c r="F422" t="s">
        <v>806</v>
      </c>
      <c r="G422" t="s">
        <v>810</v>
      </c>
      <c r="H422">
        <v>6</v>
      </c>
      <c r="I422">
        <v>87.32</v>
      </c>
      <c r="J422">
        <v>0</v>
      </c>
      <c r="K422">
        <v>523.91999999999996</v>
      </c>
      <c r="L422" t="s">
        <v>816</v>
      </c>
      <c r="N422">
        <f t="shared" si="25"/>
        <v>523.91999999999996</v>
      </c>
      <c r="O422" s="5">
        <f t="shared" si="26"/>
        <v>523.91999999999996</v>
      </c>
      <c r="P422" t="str">
        <f t="shared" si="27"/>
        <v>Same</v>
      </c>
      <c r="S422" t="str">
        <f t="shared" si="24"/>
        <v>Okay</v>
      </c>
    </row>
    <row r="423" spans="1:19" x14ac:dyDescent="0.3">
      <c r="A423" t="s">
        <v>433</v>
      </c>
      <c r="B423" s="2">
        <v>45921</v>
      </c>
      <c r="C423" t="s">
        <v>740</v>
      </c>
      <c r="D423" t="s">
        <v>790</v>
      </c>
      <c r="E423" t="s">
        <v>796</v>
      </c>
      <c r="F423" t="s">
        <v>797</v>
      </c>
      <c r="G423" t="s">
        <v>809</v>
      </c>
      <c r="H423">
        <v>5</v>
      </c>
      <c r="I423">
        <v>237.48</v>
      </c>
      <c r="J423">
        <v>0.15</v>
      </c>
      <c r="K423">
        <v>1009.29</v>
      </c>
      <c r="L423" t="s">
        <v>816</v>
      </c>
      <c r="N423">
        <f t="shared" si="25"/>
        <v>1009.29</v>
      </c>
      <c r="O423" s="5">
        <f t="shared" si="26"/>
        <v>1009.2899999999998</v>
      </c>
      <c r="P423" t="str">
        <f t="shared" si="27"/>
        <v>Same</v>
      </c>
      <c r="S423" t="str">
        <f t="shared" si="24"/>
        <v>Okay</v>
      </c>
    </row>
    <row r="424" spans="1:19" x14ac:dyDescent="0.3">
      <c r="A424" t="s">
        <v>434</v>
      </c>
      <c r="B424" s="2">
        <v>45921</v>
      </c>
      <c r="C424" t="s">
        <v>670</v>
      </c>
      <c r="D424" t="s">
        <v>790</v>
      </c>
      <c r="E424" t="s">
        <v>796</v>
      </c>
      <c r="F424" t="s">
        <v>798</v>
      </c>
      <c r="G424" t="s">
        <v>810</v>
      </c>
      <c r="H424">
        <v>1</v>
      </c>
      <c r="I424">
        <v>281.11</v>
      </c>
      <c r="J424">
        <v>0.1</v>
      </c>
      <c r="K424">
        <v>253</v>
      </c>
      <c r="L424" t="s">
        <v>813</v>
      </c>
      <c r="N424">
        <f t="shared" si="25"/>
        <v>253</v>
      </c>
      <c r="O424" s="5">
        <f t="shared" si="26"/>
        <v>252.99900000000002</v>
      </c>
      <c r="P424" t="str">
        <f t="shared" si="27"/>
        <v>Same</v>
      </c>
      <c r="S424" t="str">
        <f t="shared" si="24"/>
        <v>Okay</v>
      </c>
    </row>
    <row r="425" spans="1:19" x14ac:dyDescent="0.3">
      <c r="A425" t="s">
        <v>435</v>
      </c>
      <c r="B425" s="2">
        <v>45921</v>
      </c>
      <c r="C425" t="s">
        <v>767</v>
      </c>
      <c r="D425" t="s">
        <v>790</v>
      </c>
      <c r="E425" t="s">
        <v>796</v>
      </c>
      <c r="F425" t="s">
        <v>800</v>
      </c>
      <c r="G425" t="s">
        <v>810</v>
      </c>
      <c r="H425">
        <v>2</v>
      </c>
      <c r="I425">
        <v>624.6</v>
      </c>
      <c r="J425">
        <v>0</v>
      </c>
      <c r="K425">
        <v>1249.2</v>
      </c>
      <c r="L425" t="s">
        <v>815</v>
      </c>
      <c r="N425">
        <f t="shared" si="25"/>
        <v>1249.2</v>
      </c>
      <c r="O425" s="5">
        <f t="shared" si="26"/>
        <v>1249.2</v>
      </c>
      <c r="P425" t="str">
        <f t="shared" si="27"/>
        <v>Same</v>
      </c>
      <c r="S425" t="str">
        <f t="shared" si="24"/>
        <v>Okay</v>
      </c>
    </row>
    <row r="426" spans="1:19" x14ac:dyDescent="0.3">
      <c r="A426" t="s">
        <v>436</v>
      </c>
      <c r="B426" s="2">
        <v>45922</v>
      </c>
      <c r="C426" t="s">
        <v>643</v>
      </c>
      <c r="D426" t="s">
        <v>789</v>
      </c>
      <c r="E426" t="s">
        <v>792</v>
      </c>
      <c r="F426" t="s">
        <v>803</v>
      </c>
      <c r="G426" t="s">
        <v>810</v>
      </c>
      <c r="H426">
        <v>1</v>
      </c>
      <c r="I426">
        <v>109.28</v>
      </c>
      <c r="J426">
        <v>0.25</v>
      </c>
      <c r="K426">
        <v>81.96</v>
      </c>
      <c r="L426" t="s">
        <v>813</v>
      </c>
      <c r="N426">
        <f t="shared" si="25"/>
        <v>81.96</v>
      </c>
      <c r="O426" s="5">
        <f t="shared" si="26"/>
        <v>81.960000000000008</v>
      </c>
      <c r="P426" t="str">
        <f t="shared" si="27"/>
        <v>Same</v>
      </c>
      <c r="S426" t="str">
        <f t="shared" si="24"/>
        <v>Okay</v>
      </c>
    </row>
    <row r="427" spans="1:19" x14ac:dyDescent="0.3">
      <c r="A427" t="s">
        <v>437</v>
      </c>
      <c r="B427" s="2">
        <v>45922</v>
      </c>
      <c r="C427" t="s">
        <v>648</v>
      </c>
      <c r="D427" t="s">
        <v>785</v>
      </c>
      <c r="E427" t="s">
        <v>792</v>
      </c>
      <c r="F427" t="s">
        <v>801</v>
      </c>
      <c r="G427" t="s">
        <v>811</v>
      </c>
      <c r="H427">
        <v>3</v>
      </c>
      <c r="I427">
        <v>14.01</v>
      </c>
      <c r="J427">
        <v>0.15</v>
      </c>
      <c r="K427">
        <v>35.729999999999997</v>
      </c>
      <c r="L427" t="s">
        <v>813</v>
      </c>
      <c r="N427">
        <f t="shared" si="25"/>
        <v>35.729999999999997</v>
      </c>
      <c r="O427" s="5">
        <f t="shared" si="26"/>
        <v>35.725499999999997</v>
      </c>
      <c r="P427" t="str">
        <f t="shared" si="27"/>
        <v>Same</v>
      </c>
      <c r="S427" t="str">
        <f t="shared" si="24"/>
        <v>Okay</v>
      </c>
    </row>
    <row r="428" spans="1:19" x14ac:dyDescent="0.3">
      <c r="A428" t="s">
        <v>438</v>
      </c>
      <c r="B428" s="2">
        <v>45923</v>
      </c>
      <c r="C428" t="s">
        <v>670</v>
      </c>
      <c r="D428" t="s">
        <v>789</v>
      </c>
      <c r="E428" t="s">
        <v>792</v>
      </c>
      <c r="F428" t="s">
        <v>805</v>
      </c>
      <c r="G428" t="s">
        <v>810</v>
      </c>
      <c r="H428">
        <v>1</v>
      </c>
      <c r="I428">
        <v>49.14</v>
      </c>
      <c r="J428">
        <v>0.1</v>
      </c>
      <c r="K428">
        <v>44.23</v>
      </c>
      <c r="L428" t="s">
        <v>813</v>
      </c>
      <c r="N428">
        <f t="shared" si="25"/>
        <v>44.23</v>
      </c>
      <c r="O428" s="5">
        <f t="shared" si="26"/>
        <v>44.225999999999999</v>
      </c>
      <c r="P428" t="str">
        <f t="shared" si="27"/>
        <v>Same</v>
      </c>
      <c r="S428" t="str">
        <f t="shared" si="24"/>
        <v>Okay</v>
      </c>
    </row>
    <row r="429" spans="1:19" x14ac:dyDescent="0.3">
      <c r="A429" t="s">
        <v>439</v>
      </c>
      <c r="B429" s="2">
        <v>45923</v>
      </c>
      <c r="C429" t="s">
        <v>754</v>
      </c>
      <c r="D429" t="s">
        <v>786</v>
      </c>
      <c r="E429" t="s">
        <v>793</v>
      </c>
      <c r="F429" t="s">
        <v>801</v>
      </c>
      <c r="G429" t="s">
        <v>811</v>
      </c>
      <c r="H429">
        <v>4</v>
      </c>
      <c r="I429">
        <v>15.35</v>
      </c>
      <c r="J429">
        <v>0</v>
      </c>
      <c r="K429">
        <v>61.4</v>
      </c>
      <c r="L429" t="s">
        <v>815</v>
      </c>
      <c r="N429">
        <f t="shared" si="25"/>
        <v>61.4</v>
      </c>
      <c r="O429" s="5">
        <f t="shared" si="26"/>
        <v>61.4</v>
      </c>
      <c r="P429" t="str">
        <f t="shared" si="27"/>
        <v>Same</v>
      </c>
      <c r="S429" t="str">
        <f t="shared" si="24"/>
        <v>Okay</v>
      </c>
    </row>
    <row r="430" spans="1:19" x14ac:dyDescent="0.3">
      <c r="A430" t="s">
        <v>440</v>
      </c>
      <c r="B430" s="2">
        <v>45923</v>
      </c>
      <c r="C430" t="s">
        <v>666</v>
      </c>
      <c r="D430" t="s">
        <v>785</v>
      </c>
      <c r="E430" t="s">
        <v>792</v>
      </c>
      <c r="F430" t="s">
        <v>800</v>
      </c>
      <c r="G430" t="s">
        <v>810</v>
      </c>
      <c r="H430">
        <v>4</v>
      </c>
      <c r="I430">
        <v>632.41999999999996</v>
      </c>
      <c r="J430">
        <v>0.1</v>
      </c>
      <c r="K430">
        <v>2276.71</v>
      </c>
      <c r="L430" t="s">
        <v>815</v>
      </c>
      <c r="N430">
        <f t="shared" si="25"/>
        <v>2276.71</v>
      </c>
      <c r="O430" s="5">
        <f t="shared" si="26"/>
        <v>2276.712</v>
      </c>
      <c r="P430" t="str">
        <f t="shared" si="27"/>
        <v>Same</v>
      </c>
      <c r="S430" t="str">
        <f t="shared" si="24"/>
        <v>Okay</v>
      </c>
    </row>
    <row r="431" spans="1:19" x14ac:dyDescent="0.3">
      <c r="A431" t="s">
        <v>441</v>
      </c>
      <c r="B431" s="2">
        <v>45924</v>
      </c>
      <c r="C431" t="s">
        <v>674</v>
      </c>
      <c r="D431" t="s">
        <v>789</v>
      </c>
      <c r="E431" t="s">
        <v>792</v>
      </c>
      <c r="F431" t="s">
        <v>801</v>
      </c>
      <c r="G431" t="s">
        <v>811</v>
      </c>
      <c r="H431">
        <v>8</v>
      </c>
      <c r="I431">
        <v>15.85</v>
      </c>
      <c r="J431">
        <v>0.15</v>
      </c>
      <c r="K431">
        <v>107.78</v>
      </c>
      <c r="L431" t="s">
        <v>815</v>
      </c>
      <c r="N431">
        <f t="shared" si="25"/>
        <v>107.78</v>
      </c>
      <c r="O431" s="5">
        <f t="shared" si="26"/>
        <v>107.78</v>
      </c>
      <c r="P431" t="str">
        <f t="shared" si="27"/>
        <v>Same</v>
      </c>
      <c r="S431" t="str">
        <f t="shared" si="24"/>
        <v>Okay</v>
      </c>
    </row>
    <row r="432" spans="1:19" x14ac:dyDescent="0.3">
      <c r="A432" t="s">
        <v>442</v>
      </c>
      <c r="B432" s="2">
        <v>45924</v>
      </c>
      <c r="C432" t="s">
        <v>647</v>
      </c>
      <c r="D432" t="s">
        <v>787</v>
      </c>
      <c r="E432" t="s">
        <v>794</v>
      </c>
      <c r="F432" t="s">
        <v>808</v>
      </c>
      <c r="G432" t="s">
        <v>812</v>
      </c>
      <c r="H432">
        <v>8</v>
      </c>
      <c r="I432">
        <v>77.349999999999994</v>
      </c>
      <c r="J432">
        <v>0.15</v>
      </c>
      <c r="K432">
        <v>525.98</v>
      </c>
      <c r="L432" t="s">
        <v>816</v>
      </c>
      <c r="N432">
        <f t="shared" si="25"/>
        <v>525.98</v>
      </c>
      <c r="O432" s="5">
        <f t="shared" si="26"/>
        <v>525.9799999999999</v>
      </c>
      <c r="P432" t="str">
        <f t="shared" si="27"/>
        <v>Same</v>
      </c>
      <c r="S432" t="str">
        <f t="shared" si="24"/>
        <v>Okay</v>
      </c>
    </row>
    <row r="433" spans="1:19" x14ac:dyDescent="0.3">
      <c r="A433" t="s">
        <v>443</v>
      </c>
      <c r="B433" s="2">
        <v>45925</v>
      </c>
      <c r="C433" t="s">
        <v>613</v>
      </c>
      <c r="D433" t="s">
        <v>786</v>
      </c>
      <c r="E433" t="s">
        <v>793</v>
      </c>
      <c r="F433" t="s">
        <v>804</v>
      </c>
      <c r="G433" t="s">
        <v>809</v>
      </c>
      <c r="H433">
        <v>6</v>
      </c>
      <c r="I433">
        <v>359.61</v>
      </c>
      <c r="J433">
        <v>0.3</v>
      </c>
      <c r="K433">
        <v>1510.36</v>
      </c>
      <c r="L433" t="s">
        <v>816</v>
      </c>
      <c r="N433">
        <f t="shared" si="25"/>
        <v>1510.36</v>
      </c>
      <c r="O433" s="5">
        <f t="shared" si="26"/>
        <v>1510.3619999999999</v>
      </c>
      <c r="P433" t="str">
        <f t="shared" si="27"/>
        <v>Same</v>
      </c>
      <c r="S433" t="str">
        <f t="shared" si="24"/>
        <v>Okay</v>
      </c>
    </row>
    <row r="434" spans="1:19" x14ac:dyDescent="0.3">
      <c r="A434" t="s">
        <v>444</v>
      </c>
      <c r="B434" s="2">
        <v>45926</v>
      </c>
      <c r="C434" t="s">
        <v>758</v>
      </c>
      <c r="D434" t="s">
        <v>785</v>
      </c>
      <c r="E434" t="s">
        <v>792</v>
      </c>
      <c r="F434" t="s">
        <v>797</v>
      </c>
      <c r="G434" t="s">
        <v>809</v>
      </c>
      <c r="H434">
        <v>6</v>
      </c>
      <c r="I434">
        <v>221.79</v>
      </c>
      <c r="J434">
        <v>0.15</v>
      </c>
      <c r="K434">
        <v>1131.1300000000001</v>
      </c>
      <c r="L434" t="s">
        <v>813</v>
      </c>
      <c r="N434">
        <f t="shared" si="25"/>
        <v>1131.1300000000001</v>
      </c>
      <c r="O434" s="5">
        <f t="shared" si="26"/>
        <v>1131.1289999999999</v>
      </c>
      <c r="P434" t="str">
        <f t="shared" si="27"/>
        <v>Same</v>
      </c>
      <c r="S434" t="str">
        <f t="shared" si="24"/>
        <v>Okay</v>
      </c>
    </row>
    <row r="435" spans="1:19" x14ac:dyDescent="0.3">
      <c r="A435" t="s">
        <v>445</v>
      </c>
      <c r="B435" s="2">
        <v>45926</v>
      </c>
      <c r="C435" t="s">
        <v>617</v>
      </c>
      <c r="D435" t="s">
        <v>786</v>
      </c>
      <c r="E435" t="s">
        <v>793</v>
      </c>
      <c r="F435" t="s">
        <v>807</v>
      </c>
      <c r="G435" t="s">
        <v>810</v>
      </c>
      <c r="H435">
        <v>6</v>
      </c>
      <c r="I435">
        <v>858.51</v>
      </c>
      <c r="J435">
        <v>0</v>
      </c>
      <c r="K435">
        <v>5151.0600000000004</v>
      </c>
      <c r="L435" t="s">
        <v>815</v>
      </c>
      <c r="N435">
        <f t="shared" si="25"/>
        <v>5151.0600000000004</v>
      </c>
      <c r="O435" s="5">
        <f t="shared" si="26"/>
        <v>5151.0599999999995</v>
      </c>
      <c r="P435" t="str">
        <f t="shared" si="27"/>
        <v>Same</v>
      </c>
      <c r="S435" t="str">
        <f t="shared" si="24"/>
        <v>Okay</v>
      </c>
    </row>
    <row r="436" spans="1:19" x14ac:dyDescent="0.3">
      <c r="A436" t="s">
        <v>446</v>
      </c>
      <c r="B436" s="2">
        <v>45928</v>
      </c>
      <c r="C436" t="s">
        <v>726</v>
      </c>
      <c r="D436" t="s">
        <v>787</v>
      </c>
      <c r="E436" t="s">
        <v>794</v>
      </c>
      <c r="F436" t="s">
        <v>808</v>
      </c>
      <c r="G436" t="s">
        <v>812</v>
      </c>
      <c r="H436">
        <v>2</v>
      </c>
      <c r="I436">
        <v>80.41</v>
      </c>
      <c r="J436">
        <v>0.05</v>
      </c>
      <c r="K436">
        <v>152.78</v>
      </c>
      <c r="L436" t="s">
        <v>814</v>
      </c>
      <c r="N436">
        <f t="shared" si="25"/>
        <v>152.78</v>
      </c>
      <c r="O436" s="5">
        <f t="shared" si="26"/>
        <v>152.779</v>
      </c>
      <c r="P436" t="str">
        <f t="shared" si="27"/>
        <v>Same</v>
      </c>
      <c r="S436" t="str">
        <f t="shared" si="24"/>
        <v>Okay</v>
      </c>
    </row>
    <row r="437" spans="1:19" x14ac:dyDescent="0.3">
      <c r="A437" t="s">
        <v>447</v>
      </c>
      <c r="B437" s="2">
        <v>45930</v>
      </c>
      <c r="C437" t="s">
        <v>715</v>
      </c>
      <c r="D437" t="s">
        <v>790</v>
      </c>
      <c r="E437" t="s">
        <v>796</v>
      </c>
      <c r="F437" t="s">
        <v>800</v>
      </c>
      <c r="G437" t="s">
        <v>810</v>
      </c>
      <c r="H437">
        <v>1</v>
      </c>
      <c r="I437">
        <v>666.55</v>
      </c>
      <c r="J437">
        <v>0.15</v>
      </c>
      <c r="K437">
        <v>566.57000000000005</v>
      </c>
      <c r="L437" t="s">
        <v>814</v>
      </c>
      <c r="N437">
        <f t="shared" si="25"/>
        <v>566.57000000000005</v>
      </c>
      <c r="O437" s="5">
        <f t="shared" si="26"/>
        <v>566.5675</v>
      </c>
      <c r="P437" t="str">
        <f t="shared" si="27"/>
        <v>Same</v>
      </c>
      <c r="S437" t="str">
        <f t="shared" si="24"/>
        <v>Okay</v>
      </c>
    </row>
    <row r="438" spans="1:19" x14ac:dyDescent="0.3">
      <c r="A438" t="s">
        <v>448</v>
      </c>
      <c r="B438" s="2">
        <v>45931</v>
      </c>
      <c r="C438" t="s">
        <v>722</v>
      </c>
      <c r="D438" t="s">
        <v>785</v>
      </c>
      <c r="E438" t="s">
        <v>792</v>
      </c>
      <c r="F438" t="s">
        <v>803</v>
      </c>
      <c r="G438" t="s">
        <v>810</v>
      </c>
      <c r="H438">
        <v>7</v>
      </c>
      <c r="I438">
        <v>128.27000000000001</v>
      </c>
      <c r="J438">
        <v>0.15</v>
      </c>
      <c r="K438">
        <v>763.21</v>
      </c>
      <c r="L438" t="s">
        <v>814</v>
      </c>
      <c r="N438">
        <f t="shared" si="25"/>
        <v>763.21</v>
      </c>
      <c r="O438" s="5">
        <f t="shared" si="26"/>
        <v>763.20650000000012</v>
      </c>
      <c r="P438" t="str">
        <f t="shared" si="27"/>
        <v>Same</v>
      </c>
      <c r="S438" t="str">
        <f t="shared" si="24"/>
        <v>Okay</v>
      </c>
    </row>
    <row r="439" spans="1:19" x14ac:dyDescent="0.3">
      <c r="A439" t="s">
        <v>449</v>
      </c>
      <c r="B439" s="2">
        <v>45931</v>
      </c>
      <c r="C439" t="s">
        <v>618</v>
      </c>
      <c r="D439" t="s">
        <v>787</v>
      </c>
      <c r="E439" t="s">
        <v>794</v>
      </c>
      <c r="F439" t="s">
        <v>805</v>
      </c>
      <c r="G439" t="s">
        <v>810</v>
      </c>
      <c r="H439">
        <v>3</v>
      </c>
      <c r="I439">
        <v>48.24</v>
      </c>
      <c r="J439">
        <v>0.15</v>
      </c>
      <c r="K439">
        <v>123.01</v>
      </c>
      <c r="L439" t="s">
        <v>815</v>
      </c>
      <c r="N439">
        <f t="shared" si="25"/>
        <v>123.01</v>
      </c>
      <c r="O439" s="5">
        <f t="shared" si="26"/>
        <v>123.012</v>
      </c>
      <c r="P439" t="str">
        <f t="shared" si="27"/>
        <v>Same</v>
      </c>
      <c r="S439" t="str">
        <f t="shared" si="24"/>
        <v>Okay</v>
      </c>
    </row>
    <row r="440" spans="1:19" x14ac:dyDescent="0.3">
      <c r="A440" t="s">
        <v>450</v>
      </c>
      <c r="B440" s="2">
        <v>45931</v>
      </c>
      <c r="C440" t="s">
        <v>661</v>
      </c>
      <c r="D440" t="s">
        <v>790</v>
      </c>
      <c r="E440" t="s">
        <v>796</v>
      </c>
      <c r="F440" t="s">
        <v>800</v>
      </c>
      <c r="G440" t="s">
        <v>810</v>
      </c>
      <c r="H440">
        <v>5</v>
      </c>
      <c r="I440">
        <v>611.04999999999995</v>
      </c>
      <c r="J440">
        <v>0.2</v>
      </c>
      <c r="K440">
        <v>2444.1999999999998</v>
      </c>
      <c r="L440" t="s">
        <v>813</v>
      </c>
      <c r="N440">
        <f t="shared" si="25"/>
        <v>2444.1999999999998</v>
      </c>
      <c r="O440" s="5">
        <f t="shared" si="26"/>
        <v>2444.2000000000003</v>
      </c>
      <c r="P440" t="str">
        <f t="shared" si="27"/>
        <v>Same</v>
      </c>
      <c r="S440" t="str">
        <f t="shared" si="24"/>
        <v>Okay</v>
      </c>
    </row>
    <row r="441" spans="1:19" x14ac:dyDescent="0.3">
      <c r="A441" t="s">
        <v>451</v>
      </c>
      <c r="B441" s="2">
        <v>45932</v>
      </c>
      <c r="C441" t="s">
        <v>768</v>
      </c>
      <c r="D441" t="s">
        <v>790</v>
      </c>
      <c r="E441" t="s">
        <v>796</v>
      </c>
      <c r="F441" t="s">
        <v>805</v>
      </c>
      <c r="G441" t="s">
        <v>810</v>
      </c>
      <c r="H441">
        <v>4</v>
      </c>
      <c r="I441">
        <v>48.84</v>
      </c>
      <c r="J441">
        <v>0</v>
      </c>
      <c r="K441">
        <v>195.36</v>
      </c>
      <c r="L441" t="s">
        <v>816</v>
      </c>
      <c r="N441">
        <f t="shared" si="25"/>
        <v>195.36</v>
      </c>
      <c r="O441" s="5">
        <f t="shared" si="26"/>
        <v>195.36</v>
      </c>
      <c r="P441" t="str">
        <f t="shared" si="27"/>
        <v>Same</v>
      </c>
      <c r="S441" t="str">
        <f t="shared" si="24"/>
        <v>Okay</v>
      </c>
    </row>
    <row r="442" spans="1:19" x14ac:dyDescent="0.3">
      <c r="A442" t="s">
        <v>452</v>
      </c>
      <c r="B442" s="2">
        <v>45933</v>
      </c>
      <c r="C442" t="s">
        <v>769</v>
      </c>
      <c r="D442" t="s">
        <v>787</v>
      </c>
      <c r="E442" t="s">
        <v>794</v>
      </c>
      <c r="F442" t="s">
        <v>804</v>
      </c>
      <c r="G442" t="s">
        <v>809</v>
      </c>
      <c r="H442">
        <v>3</v>
      </c>
      <c r="I442">
        <v>337.13</v>
      </c>
      <c r="J442">
        <v>0.1</v>
      </c>
      <c r="K442">
        <v>910.25</v>
      </c>
      <c r="L442" t="s">
        <v>814</v>
      </c>
      <c r="N442">
        <f t="shared" si="25"/>
        <v>910.25</v>
      </c>
      <c r="O442" s="5">
        <f t="shared" si="26"/>
        <v>910.25099999999998</v>
      </c>
      <c r="P442" t="str">
        <f t="shared" si="27"/>
        <v>Same</v>
      </c>
      <c r="S442" t="str">
        <f t="shared" si="24"/>
        <v>Okay</v>
      </c>
    </row>
    <row r="443" spans="1:19" x14ac:dyDescent="0.3">
      <c r="A443" t="s">
        <v>453</v>
      </c>
      <c r="B443" s="2">
        <v>45934</v>
      </c>
      <c r="C443" t="s">
        <v>686</v>
      </c>
      <c r="D443" t="s">
        <v>787</v>
      </c>
      <c r="E443" t="s">
        <v>794</v>
      </c>
      <c r="F443" t="s">
        <v>808</v>
      </c>
      <c r="G443" t="s">
        <v>812</v>
      </c>
      <c r="H443">
        <v>3</v>
      </c>
      <c r="I443">
        <v>80.58</v>
      </c>
      <c r="J443">
        <v>0.1</v>
      </c>
      <c r="K443">
        <v>217.57</v>
      </c>
      <c r="L443" t="s">
        <v>815</v>
      </c>
      <c r="N443">
        <f t="shared" si="25"/>
        <v>217.57</v>
      </c>
      <c r="O443" s="5">
        <f t="shared" si="26"/>
        <v>217.566</v>
      </c>
      <c r="P443" t="str">
        <f t="shared" si="27"/>
        <v>Same</v>
      </c>
      <c r="S443" t="str">
        <f t="shared" si="24"/>
        <v>Okay</v>
      </c>
    </row>
    <row r="444" spans="1:19" x14ac:dyDescent="0.3">
      <c r="A444" t="s">
        <v>454</v>
      </c>
      <c r="B444" s="2">
        <v>45934</v>
      </c>
      <c r="C444" t="s">
        <v>765</v>
      </c>
      <c r="D444" t="s">
        <v>789</v>
      </c>
      <c r="E444" t="s">
        <v>792</v>
      </c>
      <c r="F444" t="s">
        <v>806</v>
      </c>
      <c r="G444" t="s">
        <v>810</v>
      </c>
      <c r="H444">
        <v>2</v>
      </c>
      <c r="I444">
        <v>85.11</v>
      </c>
      <c r="J444">
        <v>0.2</v>
      </c>
      <c r="K444">
        <v>136.18</v>
      </c>
      <c r="L444" t="s">
        <v>815</v>
      </c>
      <c r="N444">
        <f t="shared" si="25"/>
        <v>136.18</v>
      </c>
      <c r="O444" s="5">
        <f t="shared" si="26"/>
        <v>136.17600000000002</v>
      </c>
      <c r="P444" t="str">
        <f t="shared" si="27"/>
        <v>Same</v>
      </c>
      <c r="S444" t="str">
        <f t="shared" si="24"/>
        <v>Okay</v>
      </c>
    </row>
    <row r="445" spans="1:19" x14ac:dyDescent="0.3">
      <c r="A445" t="s">
        <v>455</v>
      </c>
      <c r="B445" s="2">
        <v>45935</v>
      </c>
      <c r="C445" t="s">
        <v>718</v>
      </c>
      <c r="D445" t="s">
        <v>785</v>
      </c>
      <c r="E445" t="s">
        <v>792</v>
      </c>
      <c r="F445" t="s">
        <v>805</v>
      </c>
      <c r="G445" t="s">
        <v>810</v>
      </c>
      <c r="H445">
        <v>8</v>
      </c>
      <c r="I445">
        <v>46.79</v>
      </c>
      <c r="J445">
        <v>0.1</v>
      </c>
      <c r="K445">
        <v>336.89</v>
      </c>
      <c r="L445" t="s">
        <v>814</v>
      </c>
      <c r="N445">
        <f t="shared" si="25"/>
        <v>336.89</v>
      </c>
      <c r="O445" s="5">
        <f t="shared" si="26"/>
        <v>336.88799999999998</v>
      </c>
      <c r="P445" t="str">
        <f t="shared" si="27"/>
        <v>Same</v>
      </c>
      <c r="S445" t="str">
        <f t="shared" si="24"/>
        <v>Okay</v>
      </c>
    </row>
    <row r="446" spans="1:19" x14ac:dyDescent="0.3">
      <c r="A446" t="s">
        <v>456</v>
      </c>
      <c r="B446" s="2">
        <v>45935</v>
      </c>
      <c r="C446" t="s">
        <v>693</v>
      </c>
      <c r="D446" t="s">
        <v>785</v>
      </c>
      <c r="E446" t="s">
        <v>792</v>
      </c>
      <c r="F446" t="s">
        <v>808</v>
      </c>
      <c r="G446" t="s">
        <v>812</v>
      </c>
      <c r="H446">
        <v>4</v>
      </c>
      <c r="I446">
        <v>69.7</v>
      </c>
      <c r="J446">
        <v>0.05</v>
      </c>
      <c r="K446">
        <v>264.86</v>
      </c>
      <c r="L446" t="s">
        <v>813</v>
      </c>
      <c r="N446">
        <f t="shared" si="25"/>
        <v>264.86</v>
      </c>
      <c r="O446" s="5">
        <f t="shared" si="26"/>
        <v>264.86</v>
      </c>
      <c r="P446" t="str">
        <f t="shared" si="27"/>
        <v>Same</v>
      </c>
      <c r="S446" t="str">
        <f t="shared" si="24"/>
        <v>Okay</v>
      </c>
    </row>
    <row r="447" spans="1:19" x14ac:dyDescent="0.3">
      <c r="A447" t="s">
        <v>457</v>
      </c>
      <c r="B447" s="2">
        <v>45936</v>
      </c>
      <c r="C447" t="s">
        <v>680</v>
      </c>
      <c r="D447" t="s">
        <v>789</v>
      </c>
      <c r="E447" t="s">
        <v>792</v>
      </c>
      <c r="F447" t="s">
        <v>797</v>
      </c>
      <c r="G447" t="s">
        <v>809</v>
      </c>
      <c r="H447">
        <v>6</v>
      </c>
      <c r="I447">
        <v>217.28</v>
      </c>
      <c r="J447">
        <v>0.25</v>
      </c>
      <c r="K447">
        <v>977.76</v>
      </c>
      <c r="L447" t="s">
        <v>813</v>
      </c>
      <c r="N447">
        <f t="shared" si="25"/>
        <v>977.76</v>
      </c>
      <c r="O447" s="5">
        <f t="shared" si="26"/>
        <v>977.76</v>
      </c>
      <c r="P447" t="str">
        <f t="shared" si="27"/>
        <v>Same</v>
      </c>
      <c r="S447" t="str">
        <f t="shared" si="24"/>
        <v>Okay</v>
      </c>
    </row>
    <row r="448" spans="1:19" x14ac:dyDescent="0.3">
      <c r="A448" t="s">
        <v>458</v>
      </c>
      <c r="B448" s="2">
        <v>45936</v>
      </c>
      <c r="C448" t="s">
        <v>746</v>
      </c>
      <c r="D448" t="s">
        <v>788</v>
      </c>
      <c r="E448" t="s">
        <v>795</v>
      </c>
      <c r="F448" t="s">
        <v>808</v>
      </c>
      <c r="G448" t="s">
        <v>812</v>
      </c>
      <c r="H448">
        <v>2</v>
      </c>
      <c r="I448">
        <v>77.430000000000007</v>
      </c>
      <c r="J448">
        <v>0.2</v>
      </c>
      <c r="K448">
        <v>123.89</v>
      </c>
      <c r="L448" t="s">
        <v>813</v>
      </c>
      <c r="N448">
        <f t="shared" si="25"/>
        <v>123.89</v>
      </c>
      <c r="O448" s="5">
        <f t="shared" si="26"/>
        <v>123.88800000000002</v>
      </c>
      <c r="P448" t="str">
        <f t="shared" si="27"/>
        <v>Same</v>
      </c>
      <c r="S448" t="str">
        <f t="shared" si="24"/>
        <v>Okay</v>
      </c>
    </row>
    <row r="449" spans="1:19" x14ac:dyDescent="0.3">
      <c r="A449" t="s">
        <v>459</v>
      </c>
      <c r="B449" s="2">
        <v>45938</v>
      </c>
      <c r="C449" t="s">
        <v>726</v>
      </c>
      <c r="D449" t="s">
        <v>785</v>
      </c>
      <c r="E449" t="s">
        <v>792</v>
      </c>
      <c r="F449" t="s">
        <v>803</v>
      </c>
      <c r="G449" t="s">
        <v>810</v>
      </c>
      <c r="H449">
        <v>2</v>
      </c>
      <c r="I449">
        <v>130.97999999999999</v>
      </c>
      <c r="J449">
        <v>0.1</v>
      </c>
      <c r="K449">
        <v>235.76</v>
      </c>
      <c r="L449" t="s">
        <v>816</v>
      </c>
      <c r="N449">
        <f t="shared" si="25"/>
        <v>235.76</v>
      </c>
      <c r="O449" s="5">
        <f t="shared" si="26"/>
        <v>235.76399999999998</v>
      </c>
      <c r="P449" t="str">
        <f t="shared" si="27"/>
        <v>Same</v>
      </c>
      <c r="S449" t="str">
        <f t="shared" si="24"/>
        <v>Okay</v>
      </c>
    </row>
    <row r="450" spans="1:19" x14ac:dyDescent="0.3">
      <c r="A450" t="s">
        <v>460</v>
      </c>
      <c r="B450" s="2">
        <v>45939</v>
      </c>
      <c r="C450" t="s">
        <v>615</v>
      </c>
      <c r="D450" t="s">
        <v>788</v>
      </c>
      <c r="E450" t="s">
        <v>795</v>
      </c>
      <c r="F450" t="s">
        <v>805</v>
      </c>
      <c r="G450" t="s">
        <v>810</v>
      </c>
      <c r="H450">
        <v>5</v>
      </c>
      <c r="I450">
        <v>46.53</v>
      </c>
      <c r="J450">
        <v>0</v>
      </c>
      <c r="K450">
        <v>232.65</v>
      </c>
      <c r="L450" t="s">
        <v>815</v>
      </c>
      <c r="N450">
        <f t="shared" si="25"/>
        <v>232.65</v>
      </c>
      <c r="O450" s="5">
        <f t="shared" si="26"/>
        <v>232.65</v>
      </c>
      <c r="P450" t="str">
        <f t="shared" si="27"/>
        <v>Same</v>
      </c>
      <c r="S450" t="str">
        <f t="shared" ref="S450:S513" si="28">IF(OR(B450&lt;DATE(2025,1,1),B450&gt;DATE(2025,12,31)),"Strange", "Okay")</f>
        <v>Okay</v>
      </c>
    </row>
    <row r="451" spans="1:19" x14ac:dyDescent="0.3">
      <c r="A451" t="s">
        <v>461</v>
      </c>
      <c r="B451" s="2">
        <v>45939</v>
      </c>
      <c r="C451" t="s">
        <v>622</v>
      </c>
      <c r="D451" t="s">
        <v>790</v>
      </c>
      <c r="E451" t="s">
        <v>796</v>
      </c>
      <c r="F451" t="s">
        <v>807</v>
      </c>
      <c r="G451" t="s">
        <v>810</v>
      </c>
      <c r="H451">
        <v>5</v>
      </c>
      <c r="I451">
        <v>831.1</v>
      </c>
      <c r="J451">
        <v>0.05</v>
      </c>
      <c r="K451">
        <v>3947.72</v>
      </c>
      <c r="L451" t="s">
        <v>814</v>
      </c>
      <c r="N451">
        <f t="shared" ref="N451:N514" si="29">ROUND(H451*I451*(1-J451),2)</f>
        <v>3947.73</v>
      </c>
      <c r="O451" s="5">
        <f t="shared" ref="O451:O514" si="30">H451*I451*(1-J451)</f>
        <v>3947.7249999999999</v>
      </c>
      <c r="P451" t="str">
        <f t="shared" ref="P451:P514" si="31">IF(ROUND(O451,2)=ROUND(K451,2),"Same","Different")</f>
        <v>Different</v>
      </c>
      <c r="S451" t="str">
        <f t="shared" si="28"/>
        <v>Okay</v>
      </c>
    </row>
    <row r="452" spans="1:19" x14ac:dyDescent="0.3">
      <c r="A452" t="s">
        <v>462</v>
      </c>
      <c r="B452" s="2">
        <v>45939</v>
      </c>
      <c r="C452" t="s">
        <v>691</v>
      </c>
      <c r="D452" t="s">
        <v>786</v>
      </c>
      <c r="E452" t="s">
        <v>793</v>
      </c>
      <c r="F452" t="s">
        <v>805</v>
      </c>
      <c r="G452" t="s">
        <v>810</v>
      </c>
      <c r="H452">
        <v>3</v>
      </c>
      <c r="I452">
        <v>44.77</v>
      </c>
      <c r="J452">
        <v>0.1</v>
      </c>
      <c r="K452">
        <v>120.88</v>
      </c>
      <c r="L452" t="s">
        <v>815</v>
      </c>
      <c r="N452">
        <f t="shared" si="29"/>
        <v>120.88</v>
      </c>
      <c r="O452" s="5">
        <f t="shared" si="30"/>
        <v>120.879</v>
      </c>
      <c r="P452" t="str">
        <f t="shared" si="31"/>
        <v>Same</v>
      </c>
      <c r="S452" t="str">
        <f t="shared" si="28"/>
        <v>Okay</v>
      </c>
    </row>
    <row r="453" spans="1:19" x14ac:dyDescent="0.3">
      <c r="A453" t="s">
        <v>463</v>
      </c>
      <c r="B453" s="2">
        <v>45940</v>
      </c>
      <c r="C453" t="s">
        <v>621</v>
      </c>
      <c r="D453" t="s">
        <v>786</v>
      </c>
      <c r="E453" t="s">
        <v>793</v>
      </c>
      <c r="F453" t="s">
        <v>803</v>
      </c>
      <c r="G453" t="s">
        <v>810</v>
      </c>
      <c r="H453">
        <v>3</v>
      </c>
      <c r="I453">
        <v>127.34</v>
      </c>
      <c r="J453">
        <v>0</v>
      </c>
      <c r="K453">
        <v>382.02</v>
      </c>
      <c r="L453" t="s">
        <v>816</v>
      </c>
      <c r="N453">
        <f t="shared" si="29"/>
        <v>382.02</v>
      </c>
      <c r="O453" s="5">
        <f t="shared" si="30"/>
        <v>382.02</v>
      </c>
      <c r="P453" t="str">
        <f t="shared" si="31"/>
        <v>Same</v>
      </c>
      <c r="S453" t="str">
        <f t="shared" si="28"/>
        <v>Okay</v>
      </c>
    </row>
    <row r="454" spans="1:19" x14ac:dyDescent="0.3">
      <c r="A454" t="s">
        <v>464</v>
      </c>
      <c r="B454" s="2">
        <v>45940</v>
      </c>
      <c r="C454" t="s">
        <v>770</v>
      </c>
      <c r="D454" t="s">
        <v>785</v>
      </c>
      <c r="E454" t="s">
        <v>792</v>
      </c>
      <c r="F454" t="s">
        <v>806</v>
      </c>
      <c r="G454" t="s">
        <v>810</v>
      </c>
      <c r="H454">
        <v>4</v>
      </c>
      <c r="I454">
        <v>74.989999999999995</v>
      </c>
      <c r="J454">
        <v>0</v>
      </c>
      <c r="K454">
        <v>299.95999999999998</v>
      </c>
      <c r="L454" t="s">
        <v>814</v>
      </c>
      <c r="N454">
        <f t="shared" si="29"/>
        <v>299.95999999999998</v>
      </c>
      <c r="O454" s="5">
        <f t="shared" si="30"/>
        <v>299.95999999999998</v>
      </c>
      <c r="P454" t="str">
        <f t="shared" si="31"/>
        <v>Same</v>
      </c>
      <c r="S454" t="str">
        <f t="shared" si="28"/>
        <v>Okay</v>
      </c>
    </row>
    <row r="455" spans="1:19" x14ac:dyDescent="0.3">
      <c r="A455" t="s">
        <v>465</v>
      </c>
      <c r="B455" s="2">
        <v>45940</v>
      </c>
      <c r="C455" t="s">
        <v>762</v>
      </c>
      <c r="D455" t="s">
        <v>789</v>
      </c>
      <c r="E455" t="s">
        <v>792</v>
      </c>
      <c r="F455" t="s">
        <v>798</v>
      </c>
      <c r="G455" t="s">
        <v>810</v>
      </c>
      <c r="H455">
        <v>4</v>
      </c>
      <c r="I455">
        <v>291.38</v>
      </c>
      <c r="J455">
        <v>0.25</v>
      </c>
      <c r="K455">
        <v>874.14</v>
      </c>
      <c r="L455" t="s">
        <v>814</v>
      </c>
      <c r="N455">
        <f t="shared" si="29"/>
        <v>874.14</v>
      </c>
      <c r="O455" s="5">
        <f t="shared" si="30"/>
        <v>874.14</v>
      </c>
      <c r="P455" t="str">
        <f t="shared" si="31"/>
        <v>Same</v>
      </c>
      <c r="S455" t="str">
        <f t="shared" si="28"/>
        <v>Okay</v>
      </c>
    </row>
    <row r="456" spans="1:19" x14ac:dyDescent="0.3">
      <c r="A456" t="s">
        <v>466</v>
      </c>
      <c r="B456" s="2">
        <v>45940</v>
      </c>
      <c r="C456" t="s">
        <v>744</v>
      </c>
      <c r="D456" t="s">
        <v>788</v>
      </c>
      <c r="E456" t="s">
        <v>795</v>
      </c>
      <c r="F456" t="s">
        <v>797</v>
      </c>
      <c r="G456" t="s">
        <v>809</v>
      </c>
      <c r="H456">
        <v>4</v>
      </c>
      <c r="I456">
        <v>236.8</v>
      </c>
      <c r="J456">
        <v>0.1</v>
      </c>
      <c r="K456">
        <v>852.48</v>
      </c>
      <c r="L456" t="s">
        <v>814</v>
      </c>
      <c r="N456">
        <f t="shared" si="29"/>
        <v>852.48</v>
      </c>
      <c r="O456" s="5">
        <f t="shared" si="30"/>
        <v>852.48</v>
      </c>
      <c r="P456" t="str">
        <f t="shared" si="31"/>
        <v>Same</v>
      </c>
      <c r="S456" t="str">
        <f t="shared" si="28"/>
        <v>Okay</v>
      </c>
    </row>
    <row r="457" spans="1:19" x14ac:dyDescent="0.3">
      <c r="A457" t="s">
        <v>467</v>
      </c>
      <c r="B457" s="2">
        <v>45941</v>
      </c>
      <c r="C457" t="s">
        <v>663</v>
      </c>
      <c r="D457" t="s">
        <v>786</v>
      </c>
      <c r="E457" t="s">
        <v>793</v>
      </c>
      <c r="F457" t="s">
        <v>807</v>
      </c>
      <c r="G457" t="s">
        <v>810</v>
      </c>
      <c r="H457">
        <v>1</v>
      </c>
      <c r="I457">
        <v>847.12</v>
      </c>
      <c r="J457">
        <v>0.2</v>
      </c>
      <c r="K457">
        <v>677.7</v>
      </c>
      <c r="L457" t="s">
        <v>814</v>
      </c>
      <c r="N457">
        <f t="shared" si="29"/>
        <v>677.7</v>
      </c>
      <c r="O457" s="5">
        <f t="shared" si="30"/>
        <v>677.69600000000003</v>
      </c>
      <c r="P457" t="str">
        <f t="shared" si="31"/>
        <v>Same</v>
      </c>
      <c r="S457" t="str">
        <f t="shared" si="28"/>
        <v>Okay</v>
      </c>
    </row>
    <row r="458" spans="1:19" x14ac:dyDescent="0.3">
      <c r="A458" t="s">
        <v>468</v>
      </c>
      <c r="B458" s="2">
        <v>45942</v>
      </c>
      <c r="C458" t="s">
        <v>689</v>
      </c>
      <c r="D458" t="s">
        <v>789</v>
      </c>
      <c r="E458" t="s">
        <v>792</v>
      </c>
      <c r="F458" t="s">
        <v>805</v>
      </c>
      <c r="G458" t="s">
        <v>810</v>
      </c>
      <c r="H458">
        <v>7</v>
      </c>
      <c r="I458">
        <v>41.99</v>
      </c>
      <c r="J458">
        <v>0</v>
      </c>
      <c r="K458">
        <v>293.93</v>
      </c>
      <c r="L458" t="s">
        <v>814</v>
      </c>
      <c r="N458">
        <f t="shared" si="29"/>
        <v>293.93</v>
      </c>
      <c r="O458" s="5">
        <f t="shared" si="30"/>
        <v>293.93</v>
      </c>
      <c r="P458" t="str">
        <f t="shared" si="31"/>
        <v>Same</v>
      </c>
      <c r="S458" t="str">
        <f t="shared" si="28"/>
        <v>Okay</v>
      </c>
    </row>
    <row r="459" spans="1:19" x14ac:dyDescent="0.3">
      <c r="A459" t="s">
        <v>469</v>
      </c>
      <c r="B459" s="2">
        <v>45942</v>
      </c>
      <c r="C459" t="s">
        <v>714</v>
      </c>
      <c r="D459" t="s">
        <v>785</v>
      </c>
      <c r="E459" t="s">
        <v>792</v>
      </c>
      <c r="F459" t="s">
        <v>801</v>
      </c>
      <c r="G459" t="s">
        <v>811</v>
      </c>
      <c r="H459">
        <v>8</v>
      </c>
      <c r="I459">
        <v>15.14</v>
      </c>
      <c r="J459">
        <v>0.3</v>
      </c>
      <c r="K459">
        <v>84.78</v>
      </c>
      <c r="L459" t="s">
        <v>816</v>
      </c>
      <c r="N459">
        <f t="shared" si="29"/>
        <v>84.78</v>
      </c>
      <c r="O459" s="5">
        <f t="shared" si="30"/>
        <v>84.783999999999992</v>
      </c>
      <c r="P459" t="str">
        <f t="shared" si="31"/>
        <v>Same</v>
      </c>
      <c r="S459" t="str">
        <f t="shared" si="28"/>
        <v>Okay</v>
      </c>
    </row>
    <row r="460" spans="1:19" x14ac:dyDescent="0.3">
      <c r="A460" t="s">
        <v>470</v>
      </c>
      <c r="B460" s="2">
        <v>45942</v>
      </c>
      <c r="C460" t="s">
        <v>718</v>
      </c>
      <c r="D460" t="s">
        <v>786</v>
      </c>
      <c r="E460" t="s">
        <v>793</v>
      </c>
      <c r="F460" t="s">
        <v>803</v>
      </c>
      <c r="G460" t="s">
        <v>810</v>
      </c>
      <c r="H460">
        <v>3</v>
      </c>
      <c r="I460">
        <v>124.4</v>
      </c>
      <c r="J460">
        <v>0.1</v>
      </c>
      <c r="K460">
        <v>335.88</v>
      </c>
      <c r="L460" t="s">
        <v>814</v>
      </c>
      <c r="N460">
        <f t="shared" si="29"/>
        <v>335.88</v>
      </c>
      <c r="O460" s="5">
        <f t="shared" si="30"/>
        <v>335.88000000000005</v>
      </c>
      <c r="P460" t="str">
        <f t="shared" si="31"/>
        <v>Same</v>
      </c>
      <c r="S460" t="str">
        <f t="shared" si="28"/>
        <v>Okay</v>
      </c>
    </row>
    <row r="461" spans="1:19" x14ac:dyDescent="0.3">
      <c r="A461" t="s">
        <v>471</v>
      </c>
      <c r="B461" s="2">
        <v>45943</v>
      </c>
      <c r="C461" t="s">
        <v>698</v>
      </c>
      <c r="D461" t="s">
        <v>790</v>
      </c>
      <c r="E461" t="s">
        <v>796</v>
      </c>
      <c r="F461" t="s">
        <v>805</v>
      </c>
      <c r="G461" t="s">
        <v>810</v>
      </c>
      <c r="H461">
        <v>5</v>
      </c>
      <c r="I461">
        <v>48.34</v>
      </c>
      <c r="J461">
        <v>0.2</v>
      </c>
      <c r="K461">
        <v>193.36</v>
      </c>
      <c r="L461" t="s">
        <v>814</v>
      </c>
      <c r="N461">
        <f t="shared" si="29"/>
        <v>193.36</v>
      </c>
      <c r="O461" s="5">
        <f t="shared" si="30"/>
        <v>193.36</v>
      </c>
      <c r="P461" t="str">
        <f t="shared" si="31"/>
        <v>Same</v>
      </c>
      <c r="S461" t="str">
        <f t="shared" si="28"/>
        <v>Okay</v>
      </c>
    </row>
    <row r="462" spans="1:19" x14ac:dyDescent="0.3">
      <c r="A462" t="s">
        <v>472</v>
      </c>
      <c r="B462" s="2">
        <v>45944</v>
      </c>
      <c r="C462" t="s">
        <v>712</v>
      </c>
      <c r="D462" t="s">
        <v>786</v>
      </c>
      <c r="E462" t="s">
        <v>793</v>
      </c>
      <c r="F462" t="s">
        <v>797</v>
      </c>
      <c r="G462" t="s">
        <v>809</v>
      </c>
      <c r="H462">
        <v>8</v>
      </c>
      <c r="I462">
        <v>223.54</v>
      </c>
      <c r="J462">
        <v>0</v>
      </c>
      <c r="K462">
        <v>1788.32</v>
      </c>
      <c r="L462" t="s">
        <v>816</v>
      </c>
      <c r="N462">
        <f t="shared" si="29"/>
        <v>1788.32</v>
      </c>
      <c r="O462" s="5">
        <f t="shared" si="30"/>
        <v>1788.32</v>
      </c>
      <c r="P462" t="str">
        <f t="shared" si="31"/>
        <v>Same</v>
      </c>
      <c r="S462" t="str">
        <f t="shared" si="28"/>
        <v>Okay</v>
      </c>
    </row>
    <row r="463" spans="1:19" x14ac:dyDescent="0.3">
      <c r="A463" t="s">
        <v>473</v>
      </c>
      <c r="B463" s="2">
        <v>45944</v>
      </c>
      <c r="C463" t="s">
        <v>758</v>
      </c>
      <c r="D463" t="s">
        <v>785</v>
      </c>
      <c r="E463" t="s">
        <v>792</v>
      </c>
      <c r="F463" t="s">
        <v>808</v>
      </c>
      <c r="G463" t="s">
        <v>812</v>
      </c>
      <c r="H463">
        <v>3</v>
      </c>
      <c r="I463">
        <v>74.22</v>
      </c>
      <c r="J463">
        <v>0.1</v>
      </c>
      <c r="K463">
        <v>200.39</v>
      </c>
      <c r="L463" t="s">
        <v>815</v>
      </c>
      <c r="N463">
        <f t="shared" si="29"/>
        <v>200.39</v>
      </c>
      <c r="O463" s="5">
        <f t="shared" si="30"/>
        <v>200.39400000000001</v>
      </c>
      <c r="P463" t="str">
        <f t="shared" si="31"/>
        <v>Same</v>
      </c>
      <c r="S463" t="str">
        <f t="shared" si="28"/>
        <v>Okay</v>
      </c>
    </row>
    <row r="464" spans="1:19" x14ac:dyDescent="0.3">
      <c r="A464" t="s">
        <v>474</v>
      </c>
      <c r="B464" s="2">
        <v>45945</v>
      </c>
      <c r="C464" t="s">
        <v>650</v>
      </c>
      <c r="D464" t="s">
        <v>787</v>
      </c>
      <c r="E464" t="s">
        <v>794</v>
      </c>
      <c r="F464" t="s">
        <v>808</v>
      </c>
      <c r="G464" t="s">
        <v>812</v>
      </c>
      <c r="H464">
        <v>1</v>
      </c>
      <c r="I464">
        <v>74.42</v>
      </c>
      <c r="J464">
        <v>0.25</v>
      </c>
      <c r="K464">
        <v>55.82</v>
      </c>
      <c r="L464" t="s">
        <v>815</v>
      </c>
      <c r="N464">
        <f t="shared" si="29"/>
        <v>55.82</v>
      </c>
      <c r="O464" s="5">
        <f t="shared" si="30"/>
        <v>55.814999999999998</v>
      </c>
      <c r="P464" t="str">
        <f t="shared" si="31"/>
        <v>Same</v>
      </c>
      <c r="S464" t="str">
        <f t="shared" si="28"/>
        <v>Okay</v>
      </c>
    </row>
    <row r="465" spans="1:19" x14ac:dyDescent="0.3">
      <c r="A465" t="s">
        <v>475</v>
      </c>
      <c r="B465" s="2">
        <v>45945</v>
      </c>
      <c r="C465" t="s">
        <v>768</v>
      </c>
      <c r="D465" t="s">
        <v>787</v>
      </c>
      <c r="E465" t="s">
        <v>794</v>
      </c>
      <c r="F465" t="s">
        <v>807</v>
      </c>
      <c r="G465" t="s">
        <v>810</v>
      </c>
      <c r="H465">
        <v>3</v>
      </c>
      <c r="I465">
        <v>859.45</v>
      </c>
      <c r="J465">
        <v>0.05</v>
      </c>
      <c r="K465">
        <v>2449.4299999999998</v>
      </c>
      <c r="L465" t="s">
        <v>813</v>
      </c>
      <c r="N465">
        <f t="shared" si="29"/>
        <v>2449.4299999999998</v>
      </c>
      <c r="O465" s="5">
        <f t="shared" si="30"/>
        <v>2449.4325000000003</v>
      </c>
      <c r="P465" t="str">
        <f t="shared" si="31"/>
        <v>Same</v>
      </c>
      <c r="S465" t="str">
        <f t="shared" si="28"/>
        <v>Okay</v>
      </c>
    </row>
    <row r="466" spans="1:19" x14ac:dyDescent="0.3">
      <c r="A466" t="s">
        <v>476</v>
      </c>
      <c r="B466" s="2">
        <v>45945</v>
      </c>
      <c r="C466" t="s">
        <v>693</v>
      </c>
      <c r="D466" t="s">
        <v>787</v>
      </c>
      <c r="E466" t="s">
        <v>794</v>
      </c>
      <c r="F466" t="s">
        <v>805</v>
      </c>
      <c r="G466" t="s">
        <v>810</v>
      </c>
      <c r="H466">
        <v>7</v>
      </c>
      <c r="I466">
        <v>45.24</v>
      </c>
      <c r="J466">
        <v>0.2</v>
      </c>
      <c r="K466">
        <v>253.34</v>
      </c>
      <c r="L466" t="s">
        <v>814</v>
      </c>
      <c r="N466">
        <f t="shared" si="29"/>
        <v>253.34</v>
      </c>
      <c r="O466" s="5">
        <f t="shared" si="30"/>
        <v>253.34400000000002</v>
      </c>
      <c r="P466" t="str">
        <f t="shared" si="31"/>
        <v>Same</v>
      </c>
      <c r="S466" t="str">
        <f t="shared" si="28"/>
        <v>Okay</v>
      </c>
    </row>
    <row r="467" spans="1:19" x14ac:dyDescent="0.3">
      <c r="A467" t="s">
        <v>477</v>
      </c>
      <c r="B467" s="2">
        <v>45945</v>
      </c>
      <c r="C467" t="s">
        <v>614</v>
      </c>
      <c r="D467" t="s">
        <v>789</v>
      </c>
      <c r="E467" t="s">
        <v>792</v>
      </c>
      <c r="F467" t="s">
        <v>802</v>
      </c>
      <c r="G467" t="s">
        <v>811</v>
      </c>
      <c r="H467">
        <v>3</v>
      </c>
      <c r="I467">
        <v>257.2</v>
      </c>
      <c r="J467">
        <v>0.1</v>
      </c>
      <c r="K467">
        <v>694.44</v>
      </c>
      <c r="L467" t="s">
        <v>814</v>
      </c>
      <c r="N467">
        <f t="shared" si="29"/>
        <v>694.44</v>
      </c>
      <c r="O467" s="5">
        <f t="shared" si="30"/>
        <v>694.43999999999994</v>
      </c>
      <c r="P467" t="str">
        <f t="shared" si="31"/>
        <v>Same</v>
      </c>
      <c r="S467" t="str">
        <f t="shared" si="28"/>
        <v>Okay</v>
      </c>
    </row>
    <row r="468" spans="1:19" x14ac:dyDescent="0.3">
      <c r="A468" t="s">
        <v>478</v>
      </c>
      <c r="B468" s="2">
        <v>45945</v>
      </c>
      <c r="C468" t="s">
        <v>624</v>
      </c>
      <c r="D468" t="s">
        <v>785</v>
      </c>
      <c r="E468" t="s">
        <v>792</v>
      </c>
      <c r="F468" t="s">
        <v>801</v>
      </c>
      <c r="G468" t="s">
        <v>811</v>
      </c>
      <c r="H468">
        <v>8</v>
      </c>
      <c r="I468">
        <v>13.84</v>
      </c>
      <c r="J468">
        <v>0.1</v>
      </c>
      <c r="K468">
        <v>99.65</v>
      </c>
      <c r="L468" t="s">
        <v>816</v>
      </c>
      <c r="N468">
        <f t="shared" si="29"/>
        <v>99.65</v>
      </c>
      <c r="O468" s="5">
        <f t="shared" si="30"/>
        <v>99.647999999999996</v>
      </c>
      <c r="P468" t="str">
        <f t="shared" si="31"/>
        <v>Same</v>
      </c>
      <c r="S468" t="str">
        <f t="shared" si="28"/>
        <v>Okay</v>
      </c>
    </row>
    <row r="469" spans="1:19" x14ac:dyDescent="0.3">
      <c r="A469" t="s">
        <v>479</v>
      </c>
      <c r="B469" s="2">
        <v>45946</v>
      </c>
      <c r="C469" t="s">
        <v>702</v>
      </c>
      <c r="D469" t="s">
        <v>790</v>
      </c>
      <c r="E469" t="s">
        <v>796</v>
      </c>
      <c r="F469" t="s">
        <v>806</v>
      </c>
      <c r="G469" t="s">
        <v>810</v>
      </c>
      <c r="H469">
        <v>1</v>
      </c>
      <c r="I469">
        <v>72.489999999999995</v>
      </c>
      <c r="J469">
        <v>0.25</v>
      </c>
      <c r="K469">
        <v>54.37</v>
      </c>
      <c r="L469" t="s">
        <v>815</v>
      </c>
      <c r="N469">
        <f t="shared" si="29"/>
        <v>54.37</v>
      </c>
      <c r="O469" s="5">
        <f t="shared" si="30"/>
        <v>54.367499999999993</v>
      </c>
      <c r="P469" t="str">
        <f t="shared" si="31"/>
        <v>Same</v>
      </c>
      <c r="S469" t="str">
        <f t="shared" si="28"/>
        <v>Okay</v>
      </c>
    </row>
    <row r="470" spans="1:19" x14ac:dyDescent="0.3">
      <c r="A470" t="s">
        <v>480</v>
      </c>
      <c r="B470" s="2">
        <v>45946</v>
      </c>
      <c r="C470" t="s">
        <v>640</v>
      </c>
      <c r="D470" t="s">
        <v>788</v>
      </c>
      <c r="E470" t="s">
        <v>795</v>
      </c>
      <c r="F470" t="s">
        <v>802</v>
      </c>
      <c r="G470" t="s">
        <v>811</v>
      </c>
      <c r="H470">
        <v>8</v>
      </c>
      <c r="I470">
        <v>225.49</v>
      </c>
      <c r="J470">
        <v>0.05</v>
      </c>
      <c r="K470">
        <v>1713.72</v>
      </c>
      <c r="L470" t="s">
        <v>815</v>
      </c>
      <c r="N470">
        <f t="shared" si="29"/>
        <v>1713.72</v>
      </c>
      <c r="O470" s="5">
        <f t="shared" si="30"/>
        <v>1713.7239999999999</v>
      </c>
      <c r="P470" t="str">
        <f t="shared" si="31"/>
        <v>Same</v>
      </c>
      <c r="S470" t="str">
        <f t="shared" si="28"/>
        <v>Okay</v>
      </c>
    </row>
    <row r="471" spans="1:19" x14ac:dyDescent="0.3">
      <c r="A471" t="s">
        <v>481</v>
      </c>
      <c r="B471" s="2">
        <v>45947</v>
      </c>
      <c r="C471" t="s">
        <v>760</v>
      </c>
      <c r="D471" t="s">
        <v>790</v>
      </c>
      <c r="E471" t="s">
        <v>796</v>
      </c>
      <c r="F471" t="s">
        <v>803</v>
      </c>
      <c r="G471" t="s">
        <v>810</v>
      </c>
      <c r="H471">
        <v>6</v>
      </c>
      <c r="I471">
        <v>117.25</v>
      </c>
      <c r="J471">
        <v>0</v>
      </c>
      <c r="K471">
        <v>703.5</v>
      </c>
      <c r="L471" t="s">
        <v>814</v>
      </c>
      <c r="N471">
        <f t="shared" si="29"/>
        <v>703.5</v>
      </c>
      <c r="O471" s="5">
        <f t="shared" si="30"/>
        <v>703.5</v>
      </c>
      <c r="P471" t="str">
        <f t="shared" si="31"/>
        <v>Same</v>
      </c>
      <c r="S471" t="str">
        <f t="shared" si="28"/>
        <v>Okay</v>
      </c>
    </row>
    <row r="472" spans="1:19" x14ac:dyDescent="0.3">
      <c r="A472" t="s">
        <v>482</v>
      </c>
      <c r="B472" s="2">
        <v>45947</v>
      </c>
      <c r="C472" t="s">
        <v>771</v>
      </c>
      <c r="D472" t="s">
        <v>785</v>
      </c>
      <c r="E472" t="s">
        <v>792</v>
      </c>
      <c r="F472" t="s">
        <v>805</v>
      </c>
      <c r="G472" t="s">
        <v>810</v>
      </c>
      <c r="H472">
        <v>4</v>
      </c>
      <c r="I472">
        <v>44.18</v>
      </c>
      <c r="J472">
        <v>0</v>
      </c>
      <c r="K472">
        <v>176.72</v>
      </c>
      <c r="L472" t="s">
        <v>814</v>
      </c>
      <c r="N472">
        <f t="shared" si="29"/>
        <v>176.72</v>
      </c>
      <c r="O472" s="5">
        <f t="shared" si="30"/>
        <v>176.72</v>
      </c>
      <c r="P472" t="str">
        <f t="shared" si="31"/>
        <v>Same</v>
      </c>
      <c r="S472" t="str">
        <f t="shared" si="28"/>
        <v>Okay</v>
      </c>
    </row>
    <row r="473" spans="1:19" x14ac:dyDescent="0.3">
      <c r="A473" t="s">
        <v>483</v>
      </c>
      <c r="B473" s="2">
        <v>45947</v>
      </c>
      <c r="C473" t="s">
        <v>672</v>
      </c>
      <c r="D473" t="s">
        <v>785</v>
      </c>
      <c r="E473" t="s">
        <v>792</v>
      </c>
      <c r="F473" t="s">
        <v>799</v>
      </c>
      <c r="G473" t="s">
        <v>809</v>
      </c>
      <c r="H473">
        <v>7</v>
      </c>
      <c r="I473">
        <v>51.16</v>
      </c>
      <c r="J473">
        <v>0.25</v>
      </c>
      <c r="K473">
        <v>268.58999999999997</v>
      </c>
      <c r="L473" t="s">
        <v>815</v>
      </c>
      <c r="N473">
        <f t="shared" si="29"/>
        <v>268.58999999999997</v>
      </c>
      <c r="O473" s="5">
        <f t="shared" si="30"/>
        <v>268.59000000000003</v>
      </c>
      <c r="P473" t="str">
        <f t="shared" si="31"/>
        <v>Same</v>
      </c>
      <c r="S473" t="str">
        <f t="shared" si="28"/>
        <v>Okay</v>
      </c>
    </row>
    <row r="474" spans="1:19" x14ac:dyDescent="0.3">
      <c r="A474" t="s">
        <v>484</v>
      </c>
      <c r="B474" s="2">
        <v>45948</v>
      </c>
      <c r="C474" t="s">
        <v>771</v>
      </c>
      <c r="D474" t="s">
        <v>785</v>
      </c>
      <c r="E474" t="s">
        <v>792</v>
      </c>
      <c r="F474" t="s">
        <v>804</v>
      </c>
      <c r="G474" t="s">
        <v>809</v>
      </c>
      <c r="H474">
        <v>3</v>
      </c>
      <c r="I474">
        <v>377.12</v>
      </c>
      <c r="J474">
        <v>0.1</v>
      </c>
      <c r="K474">
        <v>1018.22</v>
      </c>
      <c r="L474" t="s">
        <v>813</v>
      </c>
      <c r="N474">
        <f t="shared" si="29"/>
        <v>1018.22</v>
      </c>
      <c r="O474" s="5">
        <f t="shared" si="30"/>
        <v>1018.2240000000002</v>
      </c>
      <c r="P474" t="str">
        <f t="shared" si="31"/>
        <v>Same</v>
      </c>
      <c r="S474" t="str">
        <f t="shared" si="28"/>
        <v>Okay</v>
      </c>
    </row>
    <row r="475" spans="1:19" x14ac:dyDescent="0.3">
      <c r="A475" t="s">
        <v>485</v>
      </c>
      <c r="B475" s="2">
        <v>45948</v>
      </c>
      <c r="C475" t="s">
        <v>737</v>
      </c>
      <c r="D475" t="s">
        <v>788</v>
      </c>
      <c r="E475" t="s">
        <v>795</v>
      </c>
      <c r="F475" t="s">
        <v>804</v>
      </c>
      <c r="G475" t="s">
        <v>809</v>
      </c>
      <c r="H475">
        <v>3</v>
      </c>
      <c r="I475">
        <v>342.2</v>
      </c>
      <c r="J475">
        <v>0.1</v>
      </c>
      <c r="K475">
        <v>923.94</v>
      </c>
      <c r="L475" t="s">
        <v>814</v>
      </c>
      <c r="N475">
        <f t="shared" si="29"/>
        <v>923.94</v>
      </c>
      <c r="O475" s="5">
        <f t="shared" si="30"/>
        <v>923.93999999999994</v>
      </c>
      <c r="P475" t="str">
        <f t="shared" si="31"/>
        <v>Same</v>
      </c>
      <c r="S475" t="str">
        <f t="shared" si="28"/>
        <v>Okay</v>
      </c>
    </row>
    <row r="476" spans="1:19" x14ac:dyDescent="0.3">
      <c r="A476" t="s">
        <v>486</v>
      </c>
      <c r="B476" s="2">
        <v>45949</v>
      </c>
      <c r="C476" t="s">
        <v>687</v>
      </c>
      <c r="D476" t="s">
        <v>789</v>
      </c>
      <c r="E476" t="s">
        <v>792</v>
      </c>
      <c r="F476" t="s">
        <v>799</v>
      </c>
      <c r="G476" t="s">
        <v>809</v>
      </c>
      <c r="H476">
        <v>5</v>
      </c>
      <c r="I476">
        <v>57.42</v>
      </c>
      <c r="J476">
        <v>0.15</v>
      </c>
      <c r="K476">
        <v>244.04</v>
      </c>
      <c r="L476" t="s">
        <v>815</v>
      </c>
      <c r="N476">
        <f t="shared" si="29"/>
        <v>244.04</v>
      </c>
      <c r="O476" s="5">
        <f t="shared" si="30"/>
        <v>244.03500000000003</v>
      </c>
      <c r="P476" t="str">
        <f t="shared" si="31"/>
        <v>Same</v>
      </c>
      <c r="S476" t="str">
        <f t="shared" si="28"/>
        <v>Okay</v>
      </c>
    </row>
    <row r="477" spans="1:19" x14ac:dyDescent="0.3">
      <c r="A477" t="s">
        <v>487</v>
      </c>
      <c r="B477" s="2">
        <v>45949</v>
      </c>
      <c r="C477" t="s">
        <v>750</v>
      </c>
      <c r="D477" t="s">
        <v>789</v>
      </c>
      <c r="E477" t="s">
        <v>792</v>
      </c>
      <c r="F477" t="s">
        <v>806</v>
      </c>
      <c r="G477" t="s">
        <v>810</v>
      </c>
      <c r="H477">
        <v>1</v>
      </c>
      <c r="I477">
        <v>87.62</v>
      </c>
      <c r="J477">
        <v>0.15</v>
      </c>
      <c r="K477">
        <v>74.48</v>
      </c>
      <c r="L477" t="s">
        <v>814</v>
      </c>
      <c r="N477">
        <f t="shared" si="29"/>
        <v>74.48</v>
      </c>
      <c r="O477" s="5">
        <f t="shared" si="30"/>
        <v>74.477000000000004</v>
      </c>
      <c r="P477" t="str">
        <f t="shared" si="31"/>
        <v>Same</v>
      </c>
      <c r="S477" t="str">
        <f t="shared" si="28"/>
        <v>Okay</v>
      </c>
    </row>
    <row r="478" spans="1:19" x14ac:dyDescent="0.3">
      <c r="A478" t="s">
        <v>488</v>
      </c>
      <c r="B478" s="2">
        <v>45950</v>
      </c>
      <c r="C478" t="s">
        <v>750</v>
      </c>
      <c r="D478" t="s">
        <v>785</v>
      </c>
      <c r="E478" t="s">
        <v>792</v>
      </c>
      <c r="F478" t="s">
        <v>806</v>
      </c>
      <c r="G478" t="s">
        <v>810</v>
      </c>
      <c r="H478">
        <v>2</v>
      </c>
      <c r="I478">
        <v>73.2</v>
      </c>
      <c r="J478">
        <v>0.1</v>
      </c>
      <c r="K478">
        <v>131.76</v>
      </c>
      <c r="L478" t="s">
        <v>815</v>
      </c>
      <c r="N478">
        <f t="shared" si="29"/>
        <v>131.76</v>
      </c>
      <c r="O478" s="5">
        <f t="shared" si="30"/>
        <v>131.76000000000002</v>
      </c>
      <c r="P478" t="str">
        <f t="shared" si="31"/>
        <v>Same</v>
      </c>
      <c r="S478" t="str">
        <f t="shared" si="28"/>
        <v>Okay</v>
      </c>
    </row>
    <row r="479" spans="1:19" x14ac:dyDescent="0.3">
      <c r="A479" t="s">
        <v>489</v>
      </c>
      <c r="B479" s="2">
        <v>45950</v>
      </c>
      <c r="C479" t="s">
        <v>654</v>
      </c>
      <c r="D479" t="s">
        <v>790</v>
      </c>
      <c r="E479" t="s">
        <v>796</v>
      </c>
      <c r="F479" t="s">
        <v>799</v>
      </c>
      <c r="G479" t="s">
        <v>809</v>
      </c>
      <c r="H479">
        <v>2</v>
      </c>
      <c r="I479">
        <v>50.55</v>
      </c>
      <c r="J479">
        <v>0.05</v>
      </c>
      <c r="K479">
        <v>96.04</v>
      </c>
      <c r="L479" t="s">
        <v>815</v>
      </c>
      <c r="N479">
        <f t="shared" si="29"/>
        <v>96.05</v>
      </c>
      <c r="O479" s="5">
        <f t="shared" si="30"/>
        <v>96.044999999999987</v>
      </c>
      <c r="P479" t="str">
        <f t="shared" si="31"/>
        <v>Different</v>
      </c>
      <c r="S479" t="str">
        <f t="shared" si="28"/>
        <v>Okay</v>
      </c>
    </row>
    <row r="480" spans="1:19" x14ac:dyDescent="0.3">
      <c r="A480" t="s">
        <v>490</v>
      </c>
      <c r="B480" s="2">
        <v>45950</v>
      </c>
      <c r="C480" t="s">
        <v>682</v>
      </c>
      <c r="D480" t="s">
        <v>788</v>
      </c>
      <c r="E480" t="s">
        <v>795</v>
      </c>
      <c r="F480" t="s">
        <v>805</v>
      </c>
      <c r="G480" t="s">
        <v>810</v>
      </c>
      <c r="H480">
        <v>6</v>
      </c>
      <c r="I480">
        <v>42.92</v>
      </c>
      <c r="J480">
        <v>0.1</v>
      </c>
      <c r="K480">
        <v>231.77</v>
      </c>
      <c r="L480" t="s">
        <v>815</v>
      </c>
      <c r="N480">
        <f t="shared" si="29"/>
        <v>231.77</v>
      </c>
      <c r="O480" s="5">
        <f t="shared" si="30"/>
        <v>231.768</v>
      </c>
      <c r="P480" t="str">
        <f t="shared" si="31"/>
        <v>Same</v>
      </c>
      <c r="S480" t="str">
        <f t="shared" si="28"/>
        <v>Okay</v>
      </c>
    </row>
    <row r="481" spans="1:19" x14ac:dyDescent="0.3">
      <c r="A481" t="s">
        <v>491</v>
      </c>
      <c r="B481" s="2">
        <v>45950</v>
      </c>
      <c r="C481" t="s">
        <v>718</v>
      </c>
      <c r="D481" t="s">
        <v>786</v>
      </c>
      <c r="E481" t="s">
        <v>793</v>
      </c>
      <c r="F481" t="s">
        <v>807</v>
      </c>
      <c r="G481" t="s">
        <v>810</v>
      </c>
      <c r="H481">
        <v>6</v>
      </c>
      <c r="I481">
        <v>982.94</v>
      </c>
      <c r="J481">
        <v>0.1</v>
      </c>
      <c r="K481">
        <v>5307.88</v>
      </c>
      <c r="L481" t="s">
        <v>813</v>
      </c>
      <c r="N481">
        <f t="shared" si="29"/>
        <v>5307.88</v>
      </c>
      <c r="O481" s="5">
        <f t="shared" si="30"/>
        <v>5307.8760000000002</v>
      </c>
      <c r="P481" t="str">
        <f t="shared" si="31"/>
        <v>Same</v>
      </c>
      <c r="S481" t="str">
        <f t="shared" si="28"/>
        <v>Okay</v>
      </c>
    </row>
    <row r="482" spans="1:19" x14ac:dyDescent="0.3">
      <c r="A482" t="s">
        <v>492</v>
      </c>
      <c r="B482" s="2">
        <v>45951</v>
      </c>
      <c r="C482" t="s">
        <v>639</v>
      </c>
      <c r="D482" t="s">
        <v>789</v>
      </c>
      <c r="E482" t="s">
        <v>792</v>
      </c>
      <c r="F482" t="s">
        <v>802</v>
      </c>
      <c r="G482" t="s">
        <v>811</v>
      </c>
      <c r="H482">
        <v>7</v>
      </c>
      <c r="I482">
        <v>257.98</v>
      </c>
      <c r="J482">
        <v>0.2</v>
      </c>
      <c r="K482">
        <v>1444.69</v>
      </c>
      <c r="L482" t="s">
        <v>814</v>
      </c>
      <c r="N482">
        <f t="shared" si="29"/>
        <v>1444.69</v>
      </c>
      <c r="O482" s="5">
        <f t="shared" si="30"/>
        <v>1444.6880000000001</v>
      </c>
      <c r="P482" t="str">
        <f t="shared" si="31"/>
        <v>Same</v>
      </c>
      <c r="S482" t="str">
        <f t="shared" si="28"/>
        <v>Okay</v>
      </c>
    </row>
    <row r="483" spans="1:19" x14ac:dyDescent="0.3">
      <c r="A483" t="s">
        <v>493</v>
      </c>
      <c r="B483" s="2">
        <v>45951</v>
      </c>
      <c r="C483" t="s">
        <v>772</v>
      </c>
      <c r="D483" t="s">
        <v>788</v>
      </c>
      <c r="E483" t="s">
        <v>795</v>
      </c>
      <c r="F483" t="s">
        <v>801</v>
      </c>
      <c r="G483" t="s">
        <v>811</v>
      </c>
      <c r="H483">
        <v>7</v>
      </c>
      <c r="I483">
        <v>13.72</v>
      </c>
      <c r="J483">
        <v>0.1</v>
      </c>
      <c r="K483">
        <v>86.44</v>
      </c>
      <c r="L483" t="s">
        <v>814</v>
      </c>
      <c r="N483">
        <f t="shared" si="29"/>
        <v>86.44</v>
      </c>
      <c r="O483" s="5">
        <f t="shared" si="30"/>
        <v>86.436000000000007</v>
      </c>
      <c r="P483" t="str">
        <f t="shared" si="31"/>
        <v>Same</v>
      </c>
      <c r="S483" t="str">
        <f t="shared" si="28"/>
        <v>Okay</v>
      </c>
    </row>
    <row r="484" spans="1:19" x14ac:dyDescent="0.3">
      <c r="A484" t="s">
        <v>494</v>
      </c>
      <c r="B484" s="2">
        <v>45951</v>
      </c>
      <c r="C484" t="s">
        <v>693</v>
      </c>
      <c r="D484" t="s">
        <v>789</v>
      </c>
      <c r="E484" t="s">
        <v>792</v>
      </c>
      <c r="F484" t="s">
        <v>806</v>
      </c>
      <c r="G484" t="s">
        <v>810</v>
      </c>
      <c r="H484">
        <v>8</v>
      </c>
      <c r="I484">
        <v>82.41</v>
      </c>
      <c r="J484">
        <v>0</v>
      </c>
      <c r="K484">
        <v>659.28</v>
      </c>
      <c r="L484" t="s">
        <v>813</v>
      </c>
      <c r="N484">
        <f t="shared" si="29"/>
        <v>659.28</v>
      </c>
      <c r="O484" s="5">
        <f t="shared" si="30"/>
        <v>659.28</v>
      </c>
      <c r="P484" t="str">
        <f t="shared" si="31"/>
        <v>Same</v>
      </c>
      <c r="S484" t="str">
        <f t="shared" si="28"/>
        <v>Okay</v>
      </c>
    </row>
    <row r="485" spans="1:19" x14ac:dyDescent="0.3">
      <c r="A485" t="s">
        <v>495</v>
      </c>
      <c r="B485" s="2">
        <v>45952</v>
      </c>
      <c r="C485" t="s">
        <v>666</v>
      </c>
      <c r="D485" t="s">
        <v>787</v>
      </c>
      <c r="E485" t="s">
        <v>794</v>
      </c>
      <c r="F485" t="s">
        <v>803</v>
      </c>
      <c r="G485" t="s">
        <v>810</v>
      </c>
      <c r="H485">
        <v>4</v>
      </c>
      <c r="I485">
        <v>116.67</v>
      </c>
      <c r="J485">
        <v>0.2</v>
      </c>
      <c r="K485">
        <v>373.34</v>
      </c>
      <c r="L485" t="s">
        <v>814</v>
      </c>
      <c r="N485">
        <f t="shared" si="29"/>
        <v>373.34</v>
      </c>
      <c r="O485" s="5">
        <f t="shared" si="30"/>
        <v>373.34400000000005</v>
      </c>
      <c r="P485" t="str">
        <f t="shared" si="31"/>
        <v>Same</v>
      </c>
      <c r="S485" t="str">
        <f t="shared" si="28"/>
        <v>Okay</v>
      </c>
    </row>
    <row r="486" spans="1:19" x14ac:dyDescent="0.3">
      <c r="A486" t="s">
        <v>496</v>
      </c>
      <c r="B486" s="2">
        <v>45953</v>
      </c>
      <c r="C486" t="s">
        <v>622</v>
      </c>
      <c r="D486" t="s">
        <v>787</v>
      </c>
      <c r="E486" t="s">
        <v>794</v>
      </c>
      <c r="F486" t="s">
        <v>801</v>
      </c>
      <c r="G486" t="s">
        <v>811</v>
      </c>
      <c r="H486">
        <v>2</v>
      </c>
      <c r="I486">
        <v>15.37</v>
      </c>
      <c r="J486">
        <v>0.1</v>
      </c>
      <c r="K486">
        <v>27.67</v>
      </c>
      <c r="L486" t="s">
        <v>814</v>
      </c>
      <c r="N486">
        <f t="shared" si="29"/>
        <v>27.67</v>
      </c>
      <c r="O486" s="5">
        <f t="shared" si="30"/>
        <v>27.666</v>
      </c>
      <c r="P486" t="str">
        <f t="shared" si="31"/>
        <v>Same</v>
      </c>
      <c r="S486" t="str">
        <f t="shared" si="28"/>
        <v>Okay</v>
      </c>
    </row>
    <row r="487" spans="1:19" x14ac:dyDescent="0.3">
      <c r="A487" t="s">
        <v>497</v>
      </c>
      <c r="B487" s="2">
        <v>45953</v>
      </c>
      <c r="C487" t="s">
        <v>773</v>
      </c>
      <c r="D487" t="s">
        <v>786</v>
      </c>
      <c r="E487" t="s">
        <v>793</v>
      </c>
      <c r="F487" t="s">
        <v>801</v>
      </c>
      <c r="G487" t="s">
        <v>811</v>
      </c>
      <c r="H487">
        <v>5</v>
      </c>
      <c r="I487">
        <v>16.21</v>
      </c>
      <c r="J487">
        <v>0</v>
      </c>
      <c r="K487">
        <v>81.05</v>
      </c>
      <c r="L487" t="s">
        <v>815</v>
      </c>
      <c r="N487">
        <f t="shared" si="29"/>
        <v>81.05</v>
      </c>
      <c r="O487" s="5">
        <f t="shared" si="30"/>
        <v>81.050000000000011</v>
      </c>
      <c r="P487" t="str">
        <f t="shared" si="31"/>
        <v>Same</v>
      </c>
      <c r="S487" t="str">
        <f t="shared" si="28"/>
        <v>Okay</v>
      </c>
    </row>
    <row r="488" spans="1:19" x14ac:dyDescent="0.3">
      <c r="A488" t="s">
        <v>498</v>
      </c>
      <c r="B488" s="2">
        <v>45953</v>
      </c>
      <c r="C488" t="s">
        <v>655</v>
      </c>
      <c r="D488" t="s">
        <v>786</v>
      </c>
      <c r="E488" t="s">
        <v>793</v>
      </c>
      <c r="F488" t="s">
        <v>803</v>
      </c>
      <c r="G488" t="s">
        <v>810</v>
      </c>
      <c r="H488">
        <v>5</v>
      </c>
      <c r="I488">
        <v>122.48</v>
      </c>
      <c r="J488">
        <v>0.05</v>
      </c>
      <c r="K488">
        <v>581.78</v>
      </c>
      <c r="L488" t="s">
        <v>814</v>
      </c>
      <c r="N488">
        <f t="shared" si="29"/>
        <v>581.78</v>
      </c>
      <c r="O488" s="5">
        <f t="shared" si="30"/>
        <v>581.78</v>
      </c>
      <c r="P488" t="str">
        <f t="shared" si="31"/>
        <v>Same</v>
      </c>
      <c r="S488" t="str">
        <f t="shared" si="28"/>
        <v>Okay</v>
      </c>
    </row>
    <row r="489" spans="1:19" x14ac:dyDescent="0.3">
      <c r="A489" t="s">
        <v>499</v>
      </c>
      <c r="B489" s="2">
        <v>45953</v>
      </c>
      <c r="C489" t="s">
        <v>774</v>
      </c>
      <c r="D489" t="s">
        <v>785</v>
      </c>
      <c r="E489" t="s">
        <v>792</v>
      </c>
      <c r="F489" t="s">
        <v>799</v>
      </c>
      <c r="G489" t="s">
        <v>809</v>
      </c>
      <c r="H489">
        <v>7</v>
      </c>
      <c r="I489">
        <v>56.17</v>
      </c>
      <c r="J489">
        <v>0.1</v>
      </c>
      <c r="K489">
        <v>353.87</v>
      </c>
      <c r="L489" t="s">
        <v>813</v>
      </c>
      <c r="N489">
        <f t="shared" si="29"/>
        <v>353.87</v>
      </c>
      <c r="O489" s="5">
        <f t="shared" si="30"/>
        <v>353.87099999999998</v>
      </c>
      <c r="P489" t="str">
        <f t="shared" si="31"/>
        <v>Same</v>
      </c>
      <c r="S489" t="str">
        <f t="shared" si="28"/>
        <v>Okay</v>
      </c>
    </row>
    <row r="490" spans="1:19" x14ac:dyDescent="0.3">
      <c r="A490" t="s">
        <v>500</v>
      </c>
      <c r="B490" s="2">
        <v>45958</v>
      </c>
      <c r="C490" t="s">
        <v>708</v>
      </c>
      <c r="D490" t="s">
        <v>789</v>
      </c>
      <c r="E490" t="s">
        <v>792</v>
      </c>
      <c r="F490" t="s">
        <v>801</v>
      </c>
      <c r="G490" t="s">
        <v>811</v>
      </c>
      <c r="H490">
        <v>4</v>
      </c>
      <c r="I490">
        <v>15.71</v>
      </c>
      <c r="J490">
        <v>0.3</v>
      </c>
      <c r="K490">
        <v>43.99</v>
      </c>
      <c r="L490" t="s">
        <v>816</v>
      </c>
      <c r="N490">
        <f t="shared" si="29"/>
        <v>43.99</v>
      </c>
      <c r="O490" s="5">
        <f t="shared" si="30"/>
        <v>43.988</v>
      </c>
      <c r="P490" t="str">
        <f t="shared" si="31"/>
        <v>Same</v>
      </c>
      <c r="S490" t="str">
        <f t="shared" si="28"/>
        <v>Okay</v>
      </c>
    </row>
    <row r="491" spans="1:19" x14ac:dyDescent="0.3">
      <c r="A491" t="s">
        <v>501</v>
      </c>
      <c r="B491" s="2">
        <v>45960</v>
      </c>
      <c r="C491" t="s">
        <v>673</v>
      </c>
      <c r="D491" t="s">
        <v>785</v>
      </c>
      <c r="E491" t="s">
        <v>792</v>
      </c>
      <c r="F491" t="s">
        <v>804</v>
      </c>
      <c r="G491" t="s">
        <v>809</v>
      </c>
      <c r="H491">
        <v>6</v>
      </c>
      <c r="I491">
        <v>320.36</v>
      </c>
      <c r="J491">
        <v>0.1</v>
      </c>
      <c r="K491">
        <v>1729.94</v>
      </c>
      <c r="L491" t="s">
        <v>815</v>
      </c>
      <c r="N491">
        <f t="shared" si="29"/>
        <v>1729.94</v>
      </c>
      <c r="O491" s="5">
        <f t="shared" si="30"/>
        <v>1729.9440000000002</v>
      </c>
      <c r="P491" t="str">
        <f t="shared" si="31"/>
        <v>Same</v>
      </c>
      <c r="S491" t="str">
        <f t="shared" si="28"/>
        <v>Okay</v>
      </c>
    </row>
    <row r="492" spans="1:19" x14ac:dyDescent="0.3">
      <c r="A492" t="s">
        <v>502</v>
      </c>
      <c r="B492" s="2">
        <v>45960</v>
      </c>
      <c r="C492" t="s">
        <v>662</v>
      </c>
      <c r="D492" t="s">
        <v>788</v>
      </c>
      <c r="E492" t="s">
        <v>795</v>
      </c>
      <c r="F492" t="s">
        <v>801</v>
      </c>
      <c r="G492" t="s">
        <v>811</v>
      </c>
      <c r="H492">
        <v>3</v>
      </c>
      <c r="I492">
        <v>13.55</v>
      </c>
      <c r="J492">
        <v>0</v>
      </c>
      <c r="K492">
        <v>40.65</v>
      </c>
      <c r="L492" t="s">
        <v>814</v>
      </c>
      <c r="N492">
        <f t="shared" si="29"/>
        <v>40.65</v>
      </c>
      <c r="O492" s="5">
        <f t="shared" si="30"/>
        <v>40.650000000000006</v>
      </c>
      <c r="P492" t="str">
        <f t="shared" si="31"/>
        <v>Same</v>
      </c>
      <c r="S492" t="str">
        <f t="shared" si="28"/>
        <v>Okay</v>
      </c>
    </row>
    <row r="493" spans="1:19" x14ac:dyDescent="0.3">
      <c r="A493" t="s">
        <v>503</v>
      </c>
      <c r="B493" s="2">
        <v>45961</v>
      </c>
      <c r="C493" t="s">
        <v>705</v>
      </c>
      <c r="D493" t="s">
        <v>789</v>
      </c>
      <c r="E493" t="s">
        <v>792</v>
      </c>
      <c r="F493" t="s">
        <v>807</v>
      </c>
      <c r="G493" t="s">
        <v>810</v>
      </c>
      <c r="H493">
        <v>3</v>
      </c>
      <c r="I493">
        <v>814.04</v>
      </c>
      <c r="J493">
        <v>0.05</v>
      </c>
      <c r="K493">
        <v>2320.0100000000002</v>
      </c>
      <c r="L493" t="s">
        <v>813</v>
      </c>
      <c r="N493">
        <f t="shared" si="29"/>
        <v>2320.0100000000002</v>
      </c>
      <c r="O493" s="5">
        <f t="shared" si="30"/>
        <v>2320.0139999999997</v>
      </c>
      <c r="P493" t="str">
        <f t="shared" si="31"/>
        <v>Same</v>
      </c>
      <c r="S493" t="str">
        <f t="shared" si="28"/>
        <v>Okay</v>
      </c>
    </row>
    <row r="494" spans="1:19" x14ac:dyDescent="0.3">
      <c r="A494" t="s">
        <v>504</v>
      </c>
      <c r="B494" s="2">
        <v>45962</v>
      </c>
      <c r="C494" t="s">
        <v>622</v>
      </c>
      <c r="D494" t="s">
        <v>788</v>
      </c>
      <c r="E494" t="s">
        <v>795</v>
      </c>
      <c r="F494" t="s">
        <v>808</v>
      </c>
      <c r="G494" t="s">
        <v>812</v>
      </c>
      <c r="H494">
        <v>2</v>
      </c>
      <c r="I494">
        <v>69.05</v>
      </c>
      <c r="J494">
        <v>0.05</v>
      </c>
      <c r="K494">
        <v>131.19999999999999</v>
      </c>
      <c r="L494" t="s">
        <v>813</v>
      </c>
      <c r="N494">
        <f t="shared" si="29"/>
        <v>131.19999999999999</v>
      </c>
      <c r="O494" s="5">
        <f t="shared" si="30"/>
        <v>131.19499999999999</v>
      </c>
      <c r="P494" t="str">
        <f t="shared" si="31"/>
        <v>Same</v>
      </c>
      <c r="S494" t="str">
        <f t="shared" si="28"/>
        <v>Okay</v>
      </c>
    </row>
    <row r="495" spans="1:19" x14ac:dyDescent="0.3">
      <c r="A495" t="s">
        <v>505</v>
      </c>
      <c r="B495" s="2">
        <v>45962</v>
      </c>
      <c r="C495" t="s">
        <v>774</v>
      </c>
      <c r="D495" t="s">
        <v>785</v>
      </c>
      <c r="E495" t="s">
        <v>792</v>
      </c>
      <c r="F495" t="s">
        <v>802</v>
      </c>
      <c r="G495" t="s">
        <v>811</v>
      </c>
      <c r="H495">
        <v>3</v>
      </c>
      <c r="I495">
        <v>227.22</v>
      </c>
      <c r="J495">
        <v>0.05</v>
      </c>
      <c r="K495">
        <v>647.58000000000004</v>
      </c>
      <c r="L495" t="s">
        <v>813</v>
      </c>
      <c r="N495">
        <f t="shared" si="29"/>
        <v>647.58000000000004</v>
      </c>
      <c r="O495" s="5">
        <f t="shared" si="30"/>
        <v>647.57699999999988</v>
      </c>
      <c r="P495" t="str">
        <f t="shared" si="31"/>
        <v>Same</v>
      </c>
      <c r="S495" t="str">
        <f t="shared" si="28"/>
        <v>Okay</v>
      </c>
    </row>
    <row r="496" spans="1:19" x14ac:dyDescent="0.3">
      <c r="A496" t="s">
        <v>506</v>
      </c>
      <c r="B496" s="2">
        <v>45962</v>
      </c>
      <c r="C496" t="s">
        <v>725</v>
      </c>
      <c r="D496" t="s">
        <v>789</v>
      </c>
      <c r="E496" t="s">
        <v>792</v>
      </c>
      <c r="F496" t="s">
        <v>803</v>
      </c>
      <c r="G496" t="s">
        <v>810</v>
      </c>
      <c r="H496">
        <v>3</v>
      </c>
      <c r="I496">
        <v>127.19</v>
      </c>
      <c r="J496">
        <v>0.05</v>
      </c>
      <c r="K496">
        <v>362.49</v>
      </c>
      <c r="L496" t="s">
        <v>815</v>
      </c>
      <c r="N496">
        <f t="shared" si="29"/>
        <v>362.49</v>
      </c>
      <c r="O496" s="5">
        <f t="shared" si="30"/>
        <v>362.49149999999997</v>
      </c>
      <c r="P496" t="str">
        <f t="shared" si="31"/>
        <v>Same</v>
      </c>
      <c r="S496" t="str">
        <f t="shared" si="28"/>
        <v>Okay</v>
      </c>
    </row>
    <row r="497" spans="1:19" x14ac:dyDescent="0.3">
      <c r="A497" t="s">
        <v>507</v>
      </c>
      <c r="B497" s="2">
        <v>45963</v>
      </c>
      <c r="C497" t="s">
        <v>631</v>
      </c>
      <c r="D497" t="s">
        <v>789</v>
      </c>
      <c r="E497" t="s">
        <v>792</v>
      </c>
      <c r="F497" t="s">
        <v>806</v>
      </c>
      <c r="G497" t="s">
        <v>810</v>
      </c>
      <c r="H497">
        <v>7</v>
      </c>
      <c r="I497">
        <v>82.75</v>
      </c>
      <c r="J497">
        <v>0.1</v>
      </c>
      <c r="K497">
        <v>521.33000000000004</v>
      </c>
      <c r="L497" t="s">
        <v>813</v>
      </c>
      <c r="N497">
        <f t="shared" si="29"/>
        <v>521.33000000000004</v>
      </c>
      <c r="O497" s="5">
        <f t="shared" si="30"/>
        <v>521.32500000000005</v>
      </c>
      <c r="P497" t="str">
        <f t="shared" si="31"/>
        <v>Same</v>
      </c>
      <c r="S497" t="str">
        <f t="shared" si="28"/>
        <v>Okay</v>
      </c>
    </row>
    <row r="498" spans="1:19" x14ac:dyDescent="0.3">
      <c r="A498" t="s">
        <v>508</v>
      </c>
      <c r="B498" s="2">
        <v>45963</v>
      </c>
      <c r="C498" t="s">
        <v>745</v>
      </c>
      <c r="D498" t="s">
        <v>785</v>
      </c>
      <c r="E498" t="s">
        <v>792</v>
      </c>
      <c r="F498" t="s">
        <v>808</v>
      </c>
      <c r="G498" t="s">
        <v>812</v>
      </c>
      <c r="H498">
        <v>8</v>
      </c>
      <c r="I498">
        <v>75.790000000000006</v>
      </c>
      <c r="J498">
        <v>0.05</v>
      </c>
      <c r="K498">
        <v>576</v>
      </c>
      <c r="L498" t="s">
        <v>814</v>
      </c>
      <c r="N498">
        <f t="shared" si="29"/>
        <v>576</v>
      </c>
      <c r="O498" s="5">
        <f t="shared" si="30"/>
        <v>576.00400000000002</v>
      </c>
      <c r="P498" t="str">
        <f t="shared" si="31"/>
        <v>Same</v>
      </c>
      <c r="S498" t="str">
        <f t="shared" si="28"/>
        <v>Okay</v>
      </c>
    </row>
    <row r="499" spans="1:19" x14ac:dyDescent="0.3">
      <c r="A499" t="s">
        <v>509</v>
      </c>
      <c r="B499" s="2">
        <v>45965</v>
      </c>
      <c r="C499" t="s">
        <v>662</v>
      </c>
      <c r="D499" t="s">
        <v>785</v>
      </c>
      <c r="E499" t="s">
        <v>792</v>
      </c>
      <c r="F499" t="s">
        <v>797</v>
      </c>
      <c r="G499" t="s">
        <v>809</v>
      </c>
      <c r="H499">
        <v>1</v>
      </c>
      <c r="I499">
        <v>202.83</v>
      </c>
      <c r="J499">
        <v>0.1</v>
      </c>
      <c r="K499">
        <v>182.55</v>
      </c>
      <c r="L499" t="s">
        <v>815</v>
      </c>
      <c r="N499">
        <f t="shared" si="29"/>
        <v>182.55</v>
      </c>
      <c r="O499" s="5">
        <f t="shared" si="30"/>
        <v>182.54700000000003</v>
      </c>
      <c r="P499" t="str">
        <f t="shared" si="31"/>
        <v>Same</v>
      </c>
      <c r="S499" t="str">
        <f t="shared" si="28"/>
        <v>Okay</v>
      </c>
    </row>
    <row r="500" spans="1:19" x14ac:dyDescent="0.3">
      <c r="A500" t="s">
        <v>510</v>
      </c>
      <c r="B500" s="2">
        <v>45965</v>
      </c>
      <c r="C500" t="s">
        <v>704</v>
      </c>
      <c r="D500" t="s">
        <v>790</v>
      </c>
      <c r="E500" t="s">
        <v>796</v>
      </c>
      <c r="F500" t="s">
        <v>805</v>
      </c>
      <c r="G500" t="s">
        <v>810</v>
      </c>
      <c r="H500">
        <v>6</v>
      </c>
      <c r="I500">
        <v>41.06</v>
      </c>
      <c r="J500">
        <v>0</v>
      </c>
      <c r="K500">
        <v>246.36</v>
      </c>
      <c r="L500" t="s">
        <v>814</v>
      </c>
      <c r="N500">
        <f t="shared" si="29"/>
        <v>246.36</v>
      </c>
      <c r="O500" s="5">
        <f t="shared" si="30"/>
        <v>246.36</v>
      </c>
      <c r="P500" t="str">
        <f t="shared" si="31"/>
        <v>Same</v>
      </c>
      <c r="S500" t="str">
        <f t="shared" si="28"/>
        <v>Okay</v>
      </c>
    </row>
    <row r="501" spans="1:19" x14ac:dyDescent="0.3">
      <c r="A501" t="s">
        <v>511</v>
      </c>
      <c r="B501" s="2">
        <v>45965</v>
      </c>
      <c r="C501" t="s">
        <v>648</v>
      </c>
      <c r="D501" t="s">
        <v>789</v>
      </c>
      <c r="E501" t="s">
        <v>792</v>
      </c>
      <c r="F501" t="s">
        <v>801</v>
      </c>
      <c r="G501" t="s">
        <v>811</v>
      </c>
      <c r="H501">
        <v>1</v>
      </c>
      <c r="I501">
        <v>14.09</v>
      </c>
      <c r="J501">
        <v>0.05</v>
      </c>
      <c r="K501">
        <v>13.39</v>
      </c>
      <c r="L501" t="s">
        <v>814</v>
      </c>
      <c r="N501">
        <f t="shared" si="29"/>
        <v>13.39</v>
      </c>
      <c r="O501" s="5">
        <f t="shared" si="30"/>
        <v>13.385499999999999</v>
      </c>
      <c r="P501" t="str">
        <f t="shared" si="31"/>
        <v>Same</v>
      </c>
      <c r="S501" t="str">
        <f t="shared" si="28"/>
        <v>Okay</v>
      </c>
    </row>
    <row r="502" spans="1:19" x14ac:dyDescent="0.3">
      <c r="A502" t="s">
        <v>512</v>
      </c>
      <c r="B502" s="2">
        <v>45965</v>
      </c>
      <c r="C502" t="s">
        <v>720</v>
      </c>
      <c r="D502" t="s">
        <v>787</v>
      </c>
      <c r="E502" t="s">
        <v>794</v>
      </c>
      <c r="F502" t="s">
        <v>798</v>
      </c>
      <c r="G502" t="s">
        <v>810</v>
      </c>
      <c r="H502">
        <v>8</v>
      </c>
      <c r="I502">
        <v>318.83999999999997</v>
      </c>
      <c r="J502">
        <v>0.15</v>
      </c>
      <c r="K502">
        <v>2168.11</v>
      </c>
      <c r="L502" t="s">
        <v>814</v>
      </c>
      <c r="N502">
        <f t="shared" si="29"/>
        <v>2168.11</v>
      </c>
      <c r="O502" s="5">
        <f t="shared" si="30"/>
        <v>2168.1119999999996</v>
      </c>
      <c r="P502" t="str">
        <f t="shared" si="31"/>
        <v>Same</v>
      </c>
      <c r="S502" t="str">
        <f t="shared" si="28"/>
        <v>Okay</v>
      </c>
    </row>
    <row r="503" spans="1:19" x14ac:dyDescent="0.3">
      <c r="A503" t="s">
        <v>513</v>
      </c>
      <c r="B503" s="2">
        <v>45966</v>
      </c>
      <c r="C503" t="s">
        <v>632</v>
      </c>
      <c r="D503" t="s">
        <v>789</v>
      </c>
      <c r="E503" t="s">
        <v>792</v>
      </c>
      <c r="F503" t="s">
        <v>808</v>
      </c>
      <c r="G503" t="s">
        <v>812</v>
      </c>
      <c r="H503">
        <v>7</v>
      </c>
      <c r="I503">
        <v>70.91</v>
      </c>
      <c r="J503">
        <v>0.15</v>
      </c>
      <c r="K503">
        <v>421.91</v>
      </c>
      <c r="L503" t="s">
        <v>814</v>
      </c>
      <c r="N503">
        <f t="shared" si="29"/>
        <v>421.91</v>
      </c>
      <c r="O503" s="5">
        <f t="shared" si="30"/>
        <v>421.91449999999998</v>
      </c>
      <c r="P503" t="str">
        <f t="shared" si="31"/>
        <v>Same</v>
      </c>
      <c r="S503" t="str">
        <f t="shared" si="28"/>
        <v>Okay</v>
      </c>
    </row>
    <row r="504" spans="1:19" x14ac:dyDescent="0.3">
      <c r="A504" t="s">
        <v>514</v>
      </c>
      <c r="B504" s="2">
        <v>45966</v>
      </c>
      <c r="C504" t="s">
        <v>620</v>
      </c>
      <c r="D504" t="s">
        <v>789</v>
      </c>
      <c r="E504" t="s">
        <v>792</v>
      </c>
      <c r="F504" t="s">
        <v>800</v>
      </c>
      <c r="G504" t="s">
        <v>810</v>
      </c>
      <c r="H504">
        <v>5</v>
      </c>
      <c r="I504">
        <v>607.63</v>
      </c>
      <c r="J504">
        <v>0</v>
      </c>
      <c r="K504">
        <v>3038.15</v>
      </c>
      <c r="L504" t="s">
        <v>815</v>
      </c>
      <c r="N504">
        <f t="shared" si="29"/>
        <v>3038.15</v>
      </c>
      <c r="O504" s="5">
        <f t="shared" si="30"/>
        <v>3038.15</v>
      </c>
      <c r="P504" t="str">
        <f t="shared" si="31"/>
        <v>Same</v>
      </c>
      <c r="S504" t="str">
        <f t="shared" si="28"/>
        <v>Okay</v>
      </c>
    </row>
    <row r="505" spans="1:19" x14ac:dyDescent="0.3">
      <c r="A505" t="s">
        <v>515</v>
      </c>
      <c r="B505" s="2">
        <v>45966</v>
      </c>
      <c r="C505" t="s">
        <v>775</v>
      </c>
      <c r="D505" t="s">
        <v>785</v>
      </c>
      <c r="E505" t="s">
        <v>792</v>
      </c>
      <c r="F505" t="s">
        <v>804</v>
      </c>
      <c r="G505" t="s">
        <v>809</v>
      </c>
      <c r="H505">
        <v>2</v>
      </c>
      <c r="I505">
        <v>377.7</v>
      </c>
      <c r="J505">
        <v>0.05</v>
      </c>
      <c r="K505">
        <v>717.63</v>
      </c>
      <c r="L505" t="s">
        <v>815</v>
      </c>
      <c r="N505">
        <f t="shared" si="29"/>
        <v>717.63</v>
      </c>
      <c r="O505" s="5">
        <f t="shared" si="30"/>
        <v>717.63</v>
      </c>
      <c r="P505" t="str">
        <f t="shared" si="31"/>
        <v>Same</v>
      </c>
      <c r="S505" t="str">
        <f t="shared" si="28"/>
        <v>Okay</v>
      </c>
    </row>
    <row r="506" spans="1:19" x14ac:dyDescent="0.3">
      <c r="A506" t="s">
        <v>516</v>
      </c>
      <c r="B506" s="2">
        <v>45966</v>
      </c>
      <c r="C506" t="s">
        <v>768</v>
      </c>
      <c r="D506" t="s">
        <v>789</v>
      </c>
      <c r="E506" t="s">
        <v>792</v>
      </c>
      <c r="F506" t="s">
        <v>808</v>
      </c>
      <c r="G506" t="s">
        <v>812</v>
      </c>
      <c r="H506">
        <v>4</v>
      </c>
      <c r="I506">
        <v>76.489999999999995</v>
      </c>
      <c r="J506">
        <v>0.15</v>
      </c>
      <c r="K506">
        <v>260.07</v>
      </c>
      <c r="L506" t="s">
        <v>815</v>
      </c>
      <c r="N506">
        <f t="shared" si="29"/>
        <v>260.07</v>
      </c>
      <c r="O506" s="5">
        <f t="shared" si="30"/>
        <v>260.06599999999997</v>
      </c>
      <c r="P506" t="str">
        <f t="shared" si="31"/>
        <v>Same</v>
      </c>
      <c r="S506" t="str">
        <f t="shared" si="28"/>
        <v>Okay</v>
      </c>
    </row>
    <row r="507" spans="1:19" x14ac:dyDescent="0.3">
      <c r="A507" t="s">
        <v>517</v>
      </c>
      <c r="B507" s="2">
        <v>45966</v>
      </c>
      <c r="C507" t="s">
        <v>776</v>
      </c>
      <c r="D507" t="s">
        <v>785</v>
      </c>
      <c r="E507" t="s">
        <v>792</v>
      </c>
      <c r="F507" t="s">
        <v>805</v>
      </c>
      <c r="G507" t="s">
        <v>810</v>
      </c>
      <c r="H507">
        <v>8</v>
      </c>
      <c r="I507">
        <v>45.6</v>
      </c>
      <c r="J507">
        <v>0.05</v>
      </c>
      <c r="K507">
        <v>346.56</v>
      </c>
      <c r="L507" t="s">
        <v>813</v>
      </c>
      <c r="N507">
        <f t="shared" si="29"/>
        <v>346.56</v>
      </c>
      <c r="O507" s="5">
        <f t="shared" si="30"/>
        <v>346.56</v>
      </c>
      <c r="P507" t="str">
        <f t="shared" si="31"/>
        <v>Same</v>
      </c>
      <c r="S507" t="str">
        <f t="shared" si="28"/>
        <v>Okay</v>
      </c>
    </row>
    <row r="508" spans="1:19" x14ac:dyDescent="0.3">
      <c r="A508" t="s">
        <v>518</v>
      </c>
      <c r="B508" s="2">
        <v>45967</v>
      </c>
      <c r="C508" t="s">
        <v>657</v>
      </c>
      <c r="D508" t="s">
        <v>785</v>
      </c>
      <c r="E508" t="s">
        <v>792</v>
      </c>
      <c r="F508" t="s">
        <v>803</v>
      </c>
      <c r="G508" t="s">
        <v>810</v>
      </c>
      <c r="H508">
        <v>1</v>
      </c>
      <c r="I508">
        <v>108.12</v>
      </c>
      <c r="J508">
        <v>0</v>
      </c>
      <c r="K508">
        <v>108.12</v>
      </c>
      <c r="L508" t="s">
        <v>815</v>
      </c>
      <c r="N508">
        <f t="shared" si="29"/>
        <v>108.12</v>
      </c>
      <c r="O508" s="5">
        <f t="shared" si="30"/>
        <v>108.12</v>
      </c>
      <c r="P508" t="str">
        <f t="shared" si="31"/>
        <v>Same</v>
      </c>
      <c r="S508" t="str">
        <f t="shared" si="28"/>
        <v>Okay</v>
      </c>
    </row>
    <row r="509" spans="1:19" x14ac:dyDescent="0.3">
      <c r="A509" t="s">
        <v>519</v>
      </c>
      <c r="B509" s="2">
        <v>45967</v>
      </c>
      <c r="C509" t="s">
        <v>766</v>
      </c>
      <c r="D509" t="s">
        <v>788</v>
      </c>
      <c r="E509" t="s">
        <v>795</v>
      </c>
      <c r="F509" t="s">
        <v>808</v>
      </c>
      <c r="G509" t="s">
        <v>812</v>
      </c>
      <c r="H509">
        <v>7</v>
      </c>
      <c r="I509">
        <v>76.98</v>
      </c>
      <c r="J509">
        <v>0</v>
      </c>
      <c r="K509">
        <v>538.86</v>
      </c>
      <c r="L509" t="s">
        <v>814</v>
      </c>
      <c r="N509">
        <f t="shared" si="29"/>
        <v>538.86</v>
      </c>
      <c r="O509" s="5">
        <f t="shared" si="30"/>
        <v>538.86</v>
      </c>
      <c r="P509" t="str">
        <f t="shared" si="31"/>
        <v>Same</v>
      </c>
      <c r="S509" t="str">
        <f t="shared" si="28"/>
        <v>Okay</v>
      </c>
    </row>
    <row r="510" spans="1:19" x14ac:dyDescent="0.3">
      <c r="A510" t="s">
        <v>520</v>
      </c>
      <c r="B510" s="2">
        <v>45969</v>
      </c>
      <c r="C510" t="s">
        <v>739</v>
      </c>
      <c r="D510" t="s">
        <v>787</v>
      </c>
      <c r="E510" t="s">
        <v>794</v>
      </c>
      <c r="F510" t="s">
        <v>798</v>
      </c>
      <c r="G510" t="s">
        <v>810</v>
      </c>
      <c r="H510">
        <v>7</v>
      </c>
      <c r="I510">
        <v>321.56</v>
      </c>
      <c r="J510">
        <v>0.2</v>
      </c>
      <c r="K510">
        <v>1800.74</v>
      </c>
      <c r="L510" t="s">
        <v>814</v>
      </c>
      <c r="N510">
        <f t="shared" si="29"/>
        <v>1800.74</v>
      </c>
      <c r="O510" s="5">
        <f t="shared" si="30"/>
        <v>1800.7360000000001</v>
      </c>
      <c r="P510" t="str">
        <f t="shared" si="31"/>
        <v>Same</v>
      </c>
      <c r="S510" t="str">
        <f t="shared" si="28"/>
        <v>Okay</v>
      </c>
    </row>
    <row r="511" spans="1:19" x14ac:dyDescent="0.3">
      <c r="A511" t="s">
        <v>521</v>
      </c>
      <c r="B511" s="2">
        <v>45969</v>
      </c>
      <c r="C511" t="s">
        <v>771</v>
      </c>
      <c r="D511" t="s">
        <v>785</v>
      </c>
      <c r="E511" t="s">
        <v>792</v>
      </c>
      <c r="F511" t="s">
        <v>799</v>
      </c>
      <c r="G511" t="s">
        <v>809</v>
      </c>
      <c r="H511">
        <v>2</v>
      </c>
      <c r="I511">
        <v>55.9</v>
      </c>
      <c r="J511">
        <v>0.3</v>
      </c>
      <c r="K511">
        <v>78.260000000000005</v>
      </c>
      <c r="L511" t="s">
        <v>814</v>
      </c>
      <c r="N511">
        <f t="shared" si="29"/>
        <v>78.260000000000005</v>
      </c>
      <c r="O511" s="5">
        <f t="shared" si="30"/>
        <v>78.259999999999991</v>
      </c>
      <c r="P511" t="str">
        <f t="shared" si="31"/>
        <v>Same</v>
      </c>
      <c r="S511" t="str">
        <f t="shared" si="28"/>
        <v>Okay</v>
      </c>
    </row>
    <row r="512" spans="1:19" x14ac:dyDescent="0.3">
      <c r="A512" t="s">
        <v>522</v>
      </c>
      <c r="B512" s="2">
        <v>45970</v>
      </c>
      <c r="C512" t="s">
        <v>731</v>
      </c>
      <c r="D512" t="s">
        <v>790</v>
      </c>
      <c r="E512" t="s">
        <v>796</v>
      </c>
      <c r="F512" t="s">
        <v>799</v>
      </c>
      <c r="G512" t="s">
        <v>809</v>
      </c>
      <c r="H512">
        <v>7</v>
      </c>
      <c r="I512">
        <v>55.46</v>
      </c>
      <c r="J512">
        <v>0.25</v>
      </c>
      <c r="K512">
        <v>291.17</v>
      </c>
      <c r="L512" t="s">
        <v>814</v>
      </c>
      <c r="N512">
        <f t="shared" si="29"/>
        <v>291.17</v>
      </c>
      <c r="O512" s="5">
        <f t="shared" si="30"/>
        <v>291.16500000000002</v>
      </c>
      <c r="P512" t="str">
        <f t="shared" si="31"/>
        <v>Same</v>
      </c>
      <c r="S512" t="str">
        <f t="shared" si="28"/>
        <v>Okay</v>
      </c>
    </row>
    <row r="513" spans="1:19" x14ac:dyDescent="0.3">
      <c r="A513" t="s">
        <v>523</v>
      </c>
      <c r="B513" s="2">
        <v>45970</v>
      </c>
      <c r="C513" t="s">
        <v>731</v>
      </c>
      <c r="D513" t="s">
        <v>788</v>
      </c>
      <c r="E513" t="s">
        <v>795</v>
      </c>
      <c r="F513" t="s">
        <v>808</v>
      </c>
      <c r="G513" t="s">
        <v>812</v>
      </c>
      <c r="H513">
        <v>1</v>
      </c>
      <c r="I513">
        <v>80.849999999999994</v>
      </c>
      <c r="J513">
        <v>0.05</v>
      </c>
      <c r="K513">
        <v>76.81</v>
      </c>
      <c r="L513" t="s">
        <v>814</v>
      </c>
      <c r="N513">
        <f t="shared" si="29"/>
        <v>76.81</v>
      </c>
      <c r="O513" s="5">
        <f t="shared" si="30"/>
        <v>76.80749999999999</v>
      </c>
      <c r="P513" t="str">
        <f t="shared" si="31"/>
        <v>Same</v>
      </c>
      <c r="S513" t="str">
        <f t="shared" si="28"/>
        <v>Okay</v>
      </c>
    </row>
    <row r="514" spans="1:19" x14ac:dyDescent="0.3">
      <c r="A514" t="s">
        <v>524</v>
      </c>
      <c r="B514" s="2">
        <v>45970</v>
      </c>
      <c r="C514" t="s">
        <v>651</v>
      </c>
      <c r="D514" t="s">
        <v>787</v>
      </c>
      <c r="E514" t="s">
        <v>794</v>
      </c>
      <c r="F514" t="s">
        <v>804</v>
      </c>
      <c r="G514" t="s">
        <v>809</v>
      </c>
      <c r="H514">
        <v>2</v>
      </c>
      <c r="I514">
        <v>376.91</v>
      </c>
      <c r="J514">
        <v>0.05</v>
      </c>
      <c r="K514">
        <v>716.13</v>
      </c>
      <c r="L514" t="s">
        <v>815</v>
      </c>
      <c r="N514">
        <f t="shared" si="29"/>
        <v>716.13</v>
      </c>
      <c r="O514" s="5">
        <f t="shared" si="30"/>
        <v>716.12900000000002</v>
      </c>
      <c r="P514" t="str">
        <f t="shared" si="31"/>
        <v>Same</v>
      </c>
      <c r="S514" t="str">
        <f t="shared" ref="S514:S577" si="32">IF(OR(B514&lt;DATE(2025,1,1),B514&gt;DATE(2025,12,31)),"Strange", "Okay")</f>
        <v>Okay</v>
      </c>
    </row>
    <row r="515" spans="1:19" x14ac:dyDescent="0.3">
      <c r="A515" t="s">
        <v>525</v>
      </c>
      <c r="B515" s="2">
        <v>45970</v>
      </c>
      <c r="C515" t="s">
        <v>686</v>
      </c>
      <c r="D515" t="s">
        <v>789</v>
      </c>
      <c r="E515" t="s">
        <v>792</v>
      </c>
      <c r="F515" t="s">
        <v>808</v>
      </c>
      <c r="G515" t="s">
        <v>812</v>
      </c>
      <c r="H515">
        <v>5</v>
      </c>
      <c r="I515">
        <v>79.959999999999994</v>
      </c>
      <c r="J515">
        <v>0</v>
      </c>
      <c r="K515">
        <v>399.8</v>
      </c>
      <c r="L515" t="s">
        <v>814</v>
      </c>
      <c r="N515">
        <f t="shared" ref="N515:N578" si="33">ROUND(H515*I515*(1-J515),2)</f>
        <v>399.8</v>
      </c>
      <c r="O515" s="5">
        <f t="shared" ref="O515:O578" si="34">H515*I515*(1-J515)</f>
        <v>399.79999999999995</v>
      </c>
      <c r="P515" t="str">
        <f t="shared" ref="P515:P578" si="35">IF(ROUND(O515,2)=ROUND(K515,2),"Same","Different")</f>
        <v>Same</v>
      </c>
      <c r="S515" t="str">
        <f t="shared" si="32"/>
        <v>Okay</v>
      </c>
    </row>
    <row r="516" spans="1:19" x14ac:dyDescent="0.3">
      <c r="A516" t="s">
        <v>526</v>
      </c>
      <c r="B516" s="2">
        <v>45971</v>
      </c>
      <c r="C516" t="s">
        <v>777</v>
      </c>
      <c r="D516" t="s">
        <v>786</v>
      </c>
      <c r="E516" t="s">
        <v>793</v>
      </c>
      <c r="F516" t="s">
        <v>800</v>
      </c>
      <c r="G516" t="s">
        <v>810</v>
      </c>
      <c r="H516">
        <v>5</v>
      </c>
      <c r="I516">
        <v>658.5</v>
      </c>
      <c r="J516">
        <v>0.1</v>
      </c>
      <c r="K516">
        <v>2963.25</v>
      </c>
      <c r="L516" t="s">
        <v>813</v>
      </c>
      <c r="N516">
        <f t="shared" si="33"/>
        <v>2963.25</v>
      </c>
      <c r="O516" s="5">
        <f t="shared" si="34"/>
        <v>2963.25</v>
      </c>
      <c r="P516" t="str">
        <f t="shared" si="35"/>
        <v>Same</v>
      </c>
      <c r="S516" t="str">
        <f t="shared" si="32"/>
        <v>Okay</v>
      </c>
    </row>
    <row r="517" spans="1:19" x14ac:dyDescent="0.3">
      <c r="A517" t="s">
        <v>527</v>
      </c>
      <c r="B517" s="2">
        <v>45971</v>
      </c>
      <c r="C517" t="s">
        <v>747</v>
      </c>
      <c r="D517" t="s">
        <v>785</v>
      </c>
      <c r="E517" t="s">
        <v>792</v>
      </c>
      <c r="F517" t="s">
        <v>798</v>
      </c>
      <c r="G517" t="s">
        <v>810</v>
      </c>
      <c r="H517">
        <v>8</v>
      </c>
      <c r="I517">
        <v>317.18</v>
      </c>
      <c r="J517">
        <v>0.15</v>
      </c>
      <c r="K517">
        <v>2156.8200000000002</v>
      </c>
      <c r="L517" t="s">
        <v>814</v>
      </c>
      <c r="N517">
        <f t="shared" si="33"/>
        <v>2156.8200000000002</v>
      </c>
      <c r="O517" s="5">
        <f t="shared" si="34"/>
        <v>2156.8240000000001</v>
      </c>
      <c r="P517" t="str">
        <f t="shared" si="35"/>
        <v>Same</v>
      </c>
      <c r="S517" t="str">
        <f t="shared" si="32"/>
        <v>Okay</v>
      </c>
    </row>
    <row r="518" spans="1:19" x14ac:dyDescent="0.3">
      <c r="A518" t="s">
        <v>528</v>
      </c>
      <c r="B518" s="2">
        <v>45972</v>
      </c>
      <c r="C518" t="s">
        <v>774</v>
      </c>
      <c r="D518" t="s">
        <v>786</v>
      </c>
      <c r="E518" t="s">
        <v>793</v>
      </c>
      <c r="F518" t="s">
        <v>807</v>
      </c>
      <c r="G518" t="s">
        <v>810</v>
      </c>
      <c r="H518">
        <v>2</v>
      </c>
      <c r="I518">
        <v>967.92</v>
      </c>
      <c r="J518">
        <v>0.3</v>
      </c>
      <c r="K518">
        <v>1355.09</v>
      </c>
      <c r="L518" t="s">
        <v>814</v>
      </c>
      <c r="N518">
        <f t="shared" si="33"/>
        <v>1355.09</v>
      </c>
      <c r="O518" s="5">
        <f t="shared" si="34"/>
        <v>1355.088</v>
      </c>
      <c r="P518" t="str">
        <f t="shared" si="35"/>
        <v>Same</v>
      </c>
      <c r="S518" t="str">
        <f t="shared" si="32"/>
        <v>Okay</v>
      </c>
    </row>
    <row r="519" spans="1:19" x14ac:dyDescent="0.3">
      <c r="A519" t="s">
        <v>529</v>
      </c>
      <c r="B519" s="2">
        <v>45972</v>
      </c>
      <c r="C519" t="s">
        <v>641</v>
      </c>
      <c r="D519" t="s">
        <v>789</v>
      </c>
      <c r="E519" t="s">
        <v>792</v>
      </c>
      <c r="F519" t="s">
        <v>804</v>
      </c>
      <c r="G519" t="s">
        <v>809</v>
      </c>
      <c r="H519">
        <v>6</v>
      </c>
      <c r="I519">
        <v>377.98</v>
      </c>
      <c r="J519">
        <v>0.15</v>
      </c>
      <c r="K519">
        <v>1927.7</v>
      </c>
      <c r="L519" t="s">
        <v>814</v>
      </c>
      <c r="N519">
        <f t="shared" si="33"/>
        <v>1927.7</v>
      </c>
      <c r="O519" s="5">
        <f t="shared" si="34"/>
        <v>1927.6980000000001</v>
      </c>
      <c r="P519" t="str">
        <f t="shared" si="35"/>
        <v>Same</v>
      </c>
      <c r="S519" t="str">
        <f t="shared" si="32"/>
        <v>Okay</v>
      </c>
    </row>
    <row r="520" spans="1:19" x14ac:dyDescent="0.3">
      <c r="A520" t="s">
        <v>530</v>
      </c>
      <c r="B520" s="2">
        <v>45973</v>
      </c>
      <c r="C520" t="s">
        <v>778</v>
      </c>
      <c r="D520" t="s">
        <v>790</v>
      </c>
      <c r="E520" t="s">
        <v>796</v>
      </c>
      <c r="F520" t="s">
        <v>800</v>
      </c>
      <c r="G520" t="s">
        <v>810</v>
      </c>
      <c r="H520">
        <v>7</v>
      </c>
      <c r="I520">
        <v>606.03</v>
      </c>
      <c r="J520">
        <v>0.2</v>
      </c>
      <c r="K520">
        <v>3393.77</v>
      </c>
      <c r="L520" t="s">
        <v>815</v>
      </c>
      <c r="N520">
        <f t="shared" si="33"/>
        <v>3393.77</v>
      </c>
      <c r="O520" s="5">
        <f t="shared" si="34"/>
        <v>3393.768</v>
      </c>
      <c r="P520" t="str">
        <f t="shared" si="35"/>
        <v>Same</v>
      </c>
      <c r="S520" t="str">
        <f t="shared" si="32"/>
        <v>Okay</v>
      </c>
    </row>
    <row r="521" spans="1:19" x14ac:dyDescent="0.3">
      <c r="A521" t="s">
        <v>531</v>
      </c>
      <c r="B521" s="2">
        <v>45973</v>
      </c>
      <c r="C521" t="s">
        <v>697</v>
      </c>
      <c r="D521" t="s">
        <v>789</v>
      </c>
      <c r="E521" t="s">
        <v>792</v>
      </c>
      <c r="F521" t="s">
        <v>806</v>
      </c>
      <c r="G521" t="s">
        <v>810</v>
      </c>
      <c r="H521">
        <v>3</v>
      </c>
      <c r="I521">
        <v>83.57</v>
      </c>
      <c r="J521">
        <v>0.1</v>
      </c>
      <c r="K521">
        <v>225.64</v>
      </c>
      <c r="L521" t="s">
        <v>814</v>
      </c>
      <c r="N521">
        <f t="shared" si="33"/>
        <v>225.64</v>
      </c>
      <c r="O521" s="5">
        <f t="shared" si="34"/>
        <v>225.63899999999998</v>
      </c>
      <c r="P521" t="str">
        <f t="shared" si="35"/>
        <v>Same</v>
      </c>
      <c r="S521" t="str">
        <f t="shared" si="32"/>
        <v>Okay</v>
      </c>
    </row>
    <row r="522" spans="1:19" x14ac:dyDescent="0.3">
      <c r="A522" t="s">
        <v>532</v>
      </c>
      <c r="B522" s="2">
        <v>45974</v>
      </c>
      <c r="C522" t="s">
        <v>720</v>
      </c>
      <c r="D522" t="s">
        <v>789</v>
      </c>
      <c r="E522" t="s">
        <v>792</v>
      </c>
      <c r="F522" t="s">
        <v>798</v>
      </c>
      <c r="G522" t="s">
        <v>810</v>
      </c>
      <c r="H522">
        <v>1</v>
      </c>
      <c r="I522">
        <v>286.89</v>
      </c>
      <c r="J522">
        <v>0.2</v>
      </c>
      <c r="K522">
        <v>229.51</v>
      </c>
      <c r="L522" t="s">
        <v>814</v>
      </c>
      <c r="N522">
        <f t="shared" si="33"/>
        <v>229.51</v>
      </c>
      <c r="O522" s="5">
        <f t="shared" si="34"/>
        <v>229.512</v>
      </c>
      <c r="P522" t="str">
        <f t="shared" si="35"/>
        <v>Same</v>
      </c>
      <c r="S522" t="str">
        <f t="shared" si="32"/>
        <v>Okay</v>
      </c>
    </row>
    <row r="523" spans="1:19" x14ac:dyDescent="0.3">
      <c r="A523" t="s">
        <v>533</v>
      </c>
      <c r="B523" s="2">
        <v>45974</v>
      </c>
      <c r="C523" t="s">
        <v>752</v>
      </c>
      <c r="D523" t="s">
        <v>787</v>
      </c>
      <c r="E523" t="s">
        <v>794</v>
      </c>
      <c r="F523" t="s">
        <v>806</v>
      </c>
      <c r="G523" t="s">
        <v>810</v>
      </c>
      <c r="H523">
        <v>3</v>
      </c>
      <c r="I523">
        <v>78.95</v>
      </c>
      <c r="J523">
        <v>0.05</v>
      </c>
      <c r="K523">
        <v>225.01</v>
      </c>
      <c r="L523" t="s">
        <v>815</v>
      </c>
      <c r="N523">
        <f t="shared" si="33"/>
        <v>225.01</v>
      </c>
      <c r="O523" s="5">
        <f t="shared" si="34"/>
        <v>225.00750000000002</v>
      </c>
      <c r="P523" t="str">
        <f t="shared" si="35"/>
        <v>Same</v>
      </c>
      <c r="S523" t="str">
        <f t="shared" si="32"/>
        <v>Okay</v>
      </c>
    </row>
    <row r="524" spans="1:19" x14ac:dyDescent="0.3">
      <c r="A524" t="s">
        <v>534</v>
      </c>
      <c r="B524" s="2">
        <v>45975</v>
      </c>
      <c r="C524" t="s">
        <v>733</v>
      </c>
      <c r="D524" t="s">
        <v>787</v>
      </c>
      <c r="E524" t="s">
        <v>794</v>
      </c>
      <c r="F524" t="s">
        <v>803</v>
      </c>
      <c r="G524" t="s">
        <v>810</v>
      </c>
      <c r="H524">
        <v>3</v>
      </c>
      <c r="I524">
        <v>131.94999999999999</v>
      </c>
      <c r="J524">
        <v>0.05</v>
      </c>
      <c r="K524">
        <v>376.06</v>
      </c>
      <c r="L524" t="s">
        <v>813</v>
      </c>
      <c r="N524">
        <f t="shared" si="33"/>
        <v>376.06</v>
      </c>
      <c r="O524" s="5">
        <f t="shared" si="34"/>
        <v>376.05749999999995</v>
      </c>
      <c r="P524" t="str">
        <f t="shared" si="35"/>
        <v>Same</v>
      </c>
      <c r="S524" t="str">
        <f t="shared" si="32"/>
        <v>Okay</v>
      </c>
    </row>
    <row r="525" spans="1:19" x14ac:dyDescent="0.3">
      <c r="A525" t="s">
        <v>535</v>
      </c>
      <c r="B525" s="2">
        <v>45976</v>
      </c>
      <c r="C525" t="s">
        <v>731</v>
      </c>
      <c r="D525" t="s">
        <v>789</v>
      </c>
      <c r="E525" t="s">
        <v>792</v>
      </c>
      <c r="F525" t="s">
        <v>806</v>
      </c>
      <c r="G525" t="s">
        <v>810</v>
      </c>
      <c r="H525">
        <v>6</v>
      </c>
      <c r="I525">
        <v>84.9</v>
      </c>
      <c r="J525">
        <v>0.1</v>
      </c>
      <c r="K525">
        <v>458.46</v>
      </c>
      <c r="L525" t="s">
        <v>814</v>
      </c>
      <c r="N525">
        <f t="shared" si="33"/>
        <v>458.46</v>
      </c>
      <c r="O525" s="5">
        <f t="shared" si="34"/>
        <v>458.46000000000004</v>
      </c>
      <c r="P525" t="str">
        <f t="shared" si="35"/>
        <v>Same</v>
      </c>
      <c r="S525" t="str">
        <f t="shared" si="32"/>
        <v>Okay</v>
      </c>
    </row>
    <row r="526" spans="1:19" x14ac:dyDescent="0.3">
      <c r="A526" t="s">
        <v>536</v>
      </c>
      <c r="B526" s="2">
        <v>45976</v>
      </c>
      <c r="C526" t="s">
        <v>707</v>
      </c>
      <c r="D526" t="s">
        <v>788</v>
      </c>
      <c r="E526" t="s">
        <v>795</v>
      </c>
      <c r="F526" t="s">
        <v>798</v>
      </c>
      <c r="G526" t="s">
        <v>810</v>
      </c>
      <c r="H526">
        <v>2</v>
      </c>
      <c r="I526">
        <v>323.10000000000002</v>
      </c>
      <c r="J526">
        <v>0.1</v>
      </c>
      <c r="K526">
        <v>581.58000000000004</v>
      </c>
      <c r="L526" t="s">
        <v>815</v>
      </c>
      <c r="N526">
        <f t="shared" si="33"/>
        <v>581.58000000000004</v>
      </c>
      <c r="O526" s="5">
        <f t="shared" si="34"/>
        <v>581.58000000000004</v>
      </c>
      <c r="P526" t="str">
        <f t="shared" si="35"/>
        <v>Same</v>
      </c>
      <c r="S526" t="str">
        <f t="shared" si="32"/>
        <v>Okay</v>
      </c>
    </row>
    <row r="527" spans="1:19" x14ac:dyDescent="0.3">
      <c r="A527" t="s">
        <v>537</v>
      </c>
      <c r="B527" s="2">
        <v>45977</v>
      </c>
      <c r="C527" t="s">
        <v>675</v>
      </c>
      <c r="D527" t="s">
        <v>786</v>
      </c>
      <c r="E527" t="s">
        <v>793</v>
      </c>
      <c r="F527" t="s">
        <v>799</v>
      </c>
      <c r="G527" t="s">
        <v>809</v>
      </c>
      <c r="H527">
        <v>5</v>
      </c>
      <c r="I527">
        <v>59.2</v>
      </c>
      <c r="J527">
        <v>0.05</v>
      </c>
      <c r="K527">
        <v>281.2</v>
      </c>
      <c r="L527" t="s">
        <v>814</v>
      </c>
      <c r="N527">
        <f t="shared" si="33"/>
        <v>281.2</v>
      </c>
      <c r="O527" s="5">
        <f t="shared" si="34"/>
        <v>281.2</v>
      </c>
      <c r="P527" t="str">
        <f t="shared" si="35"/>
        <v>Same</v>
      </c>
      <c r="S527" t="str">
        <f t="shared" si="32"/>
        <v>Okay</v>
      </c>
    </row>
    <row r="528" spans="1:19" x14ac:dyDescent="0.3">
      <c r="A528" t="s">
        <v>538</v>
      </c>
      <c r="B528" s="2">
        <v>45977</v>
      </c>
      <c r="C528" t="s">
        <v>627</v>
      </c>
      <c r="D528" t="s">
        <v>786</v>
      </c>
      <c r="E528" t="s">
        <v>793</v>
      </c>
      <c r="F528" t="s">
        <v>801</v>
      </c>
      <c r="G528" t="s">
        <v>811</v>
      </c>
      <c r="H528">
        <v>8</v>
      </c>
      <c r="I528">
        <v>14.87</v>
      </c>
      <c r="J528">
        <v>0</v>
      </c>
      <c r="K528">
        <v>118.96</v>
      </c>
      <c r="L528" t="s">
        <v>814</v>
      </c>
      <c r="N528">
        <f t="shared" si="33"/>
        <v>118.96</v>
      </c>
      <c r="O528" s="5">
        <f t="shared" si="34"/>
        <v>118.96</v>
      </c>
      <c r="P528" t="str">
        <f t="shared" si="35"/>
        <v>Same</v>
      </c>
      <c r="S528" t="str">
        <f t="shared" si="32"/>
        <v>Okay</v>
      </c>
    </row>
    <row r="529" spans="1:19" x14ac:dyDescent="0.3">
      <c r="A529" t="s">
        <v>539</v>
      </c>
      <c r="B529" s="2">
        <v>45980</v>
      </c>
      <c r="C529" t="s">
        <v>779</v>
      </c>
      <c r="D529" t="s">
        <v>790</v>
      </c>
      <c r="E529" t="s">
        <v>796</v>
      </c>
      <c r="F529" t="s">
        <v>797</v>
      </c>
      <c r="G529" t="s">
        <v>809</v>
      </c>
      <c r="H529">
        <v>7</v>
      </c>
      <c r="I529">
        <v>211.45</v>
      </c>
      <c r="J529">
        <v>0</v>
      </c>
      <c r="L529" t="s">
        <v>814</v>
      </c>
      <c r="N529">
        <f t="shared" si="33"/>
        <v>1480.15</v>
      </c>
      <c r="O529" s="5">
        <f t="shared" si="34"/>
        <v>1480.1499999999999</v>
      </c>
      <c r="P529" t="str">
        <f t="shared" si="35"/>
        <v>Different</v>
      </c>
      <c r="S529" t="str">
        <f t="shared" si="32"/>
        <v>Okay</v>
      </c>
    </row>
    <row r="530" spans="1:19" x14ac:dyDescent="0.3">
      <c r="A530" t="s">
        <v>540</v>
      </c>
      <c r="B530" s="2">
        <v>45981</v>
      </c>
      <c r="C530" t="s">
        <v>717</v>
      </c>
      <c r="D530" t="s">
        <v>790</v>
      </c>
      <c r="E530" t="s">
        <v>796</v>
      </c>
      <c r="F530" t="s">
        <v>805</v>
      </c>
      <c r="G530" t="s">
        <v>810</v>
      </c>
      <c r="H530">
        <v>1</v>
      </c>
      <c r="I530">
        <v>48.34</v>
      </c>
      <c r="J530">
        <v>0.2</v>
      </c>
      <c r="K530">
        <v>38.67</v>
      </c>
      <c r="L530" t="s">
        <v>815</v>
      </c>
      <c r="N530">
        <f t="shared" si="33"/>
        <v>38.67</v>
      </c>
      <c r="O530" s="5">
        <f t="shared" si="34"/>
        <v>38.672000000000004</v>
      </c>
      <c r="P530" t="str">
        <f t="shared" si="35"/>
        <v>Same</v>
      </c>
      <c r="S530" t="str">
        <f t="shared" si="32"/>
        <v>Okay</v>
      </c>
    </row>
    <row r="531" spans="1:19" x14ac:dyDescent="0.3">
      <c r="A531" t="s">
        <v>541</v>
      </c>
      <c r="B531" s="2">
        <v>45981</v>
      </c>
      <c r="C531" t="s">
        <v>622</v>
      </c>
      <c r="D531" t="s">
        <v>789</v>
      </c>
      <c r="E531" t="s">
        <v>792</v>
      </c>
      <c r="F531" t="s">
        <v>804</v>
      </c>
      <c r="G531" t="s">
        <v>809</v>
      </c>
      <c r="H531">
        <v>5</v>
      </c>
      <c r="I531">
        <v>370.22</v>
      </c>
      <c r="J531">
        <v>0</v>
      </c>
      <c r="K531">
        <v>1851.1</v>
      </c>
      <c r="L531" t="s">
        <v>813</v>
      </c>
      <c r="N531">
        <f t="shared" si="33"/>
        <v>1851.1</v>
      </c>
      <c r="O531" s="5">
        <f t="shared" si="34"/>
        <v>1851.1000000000001</v>
      </c>
      <c r="P531" t="str">
        <f t="shared" si="35"/>
        <v>Same</v>
      </c>
      <c r="S531" t="str">
        <f t="shared" si="32"/>
        <v>Okay</v>
      </c>
    </row>
    <row r="532" spans="1:19" x14ac:dyDescent="0.3">
      <c r="A532" t="s">
        <v>542</v>
      </c>
      <c r="B532" s="2">
        <v>45981</v>
      </c>
      <c r="C532" t="s">
        <v>679</v>
      </c>
      <c r="D532" t="s">
        <v>787</v>
      </c>
      <c r="E532" t="s">
        <v>794</v>
      </c>
      <c r="F532" t="s">
        <v>806</v>
      </c>
      <c r="G532" t="s">
        <v>810</v>
      </c>
      <c r="H532">
        <v>1</v>
      </c>
      <c r="I532">
        <v>76.73</v>
      </c>
      <c r="J532">
        <v>0.1</v>
      </c>
      <c r="K532">
        <v>69.06</v>
      </c>
      <c r="L532" t="s">
        <v>814</v>
      </c>
      <c r="N532">
        <f t="shared" si="33"/>
        <v>69.06</v>
      </c>
      <c r="O532" s="5">
        <f t="shared" si="34"/>
        <v>69.057000000000002</v>
      </c>
      <c r="P532" t="str">
        <f t="shared" si="35"/>
        <v>Same</v>
      </c>
      <c r="S532" t="str">
        <f t="shared" si="32"/>
        <v>Okay</v>
      </c>
    </row>
    <row r="533" spans="1:19" x14ac:dyDescent="0.3">
      <c r="A533" t="s">
        <v>543</v>
      </c>
      <c r="B533" s="2">
        <v>45981</v>
      </c>
      <c r="C533" t="s">
        <v>780</v>
      </c>
      <c r="D533" t="s">
        <v>789</v>
      </c>
      <c r="E533" t="s">
        <v>792</v>
      </c>
      <c r="F533" t="s">
        <v>800</v>
      </c>
      <c r="G533" t="s">
        <v>810</v>
      </c>
      <c r="H533">
        <v>5</v>
      </c>
      <c r="I533">
        <v>648.63</v>
      </c>
      <c r="J533">
        <v>0.3</v>
      </c>
      <c r="K533">
        <v>2270.1999999999998</v>
      </c>
      <c r="L533" t="s">
        <v>814</v>
      </c>
      <c r="N533">
        <f t="shared" si="33"/>
        <v>2270.21</v>
      </c>
      <c r="O533" s="5">
        <f t="shared" si="34"/>
        <v>2270.2049999999999</v>
      </c>
      <c r="P533" t="str">
        <f t="shared" si="35"/>
        <v>Different</v>
      </c>
      <c r="S533" t="str">
        <f t="shared" si="32"/>
        <v>Okay</v>
      </c>
    </row>
    <row r="534" spans="1:19" x14ac:dyDescent="0.3">
      <c r="A534" t="s">
        <v>544</v>
      </c>
      <c r="B534" s="2">
        <v>45982</v>
      </c>
      <c r="C534" t="s">
        <v>737</v>
      </c>
      <c r="D534" t="s">
        <v>789</v>
      </c>
      <c r="E534" t="s">
        <v>792</v>
      </c>
      <c r="F534" t="s">
        <v>808</v>
      </c>
      <c r="G534" t="s">
        <v>812</v>
      </c>
      <c r="H534">
        <v>1</v>
      </c>
      <c r="I534">
        <v>68.44</v>
      </c>
      <c r="J534">
        <v>0.2</v>
      </c>
      <c r="K534">
        <v>54.75</v>
      </c>
      <c r="L534" t="s">
        <v>814</v>
      </c>
      <c r="N534">
        <f t="shared" si="33"/>
        <v>54.75</v>
      </c>
      <c r="O534" s="5">
        <f t="shared" si="34"/>
        <v>54.752000000000002</v>
      </c>
      <c r="P534" t="str">
        <f t="shared" si="35"/>
        <v>Same</v>
      </c>
      <c r="S534" t="str">
        <f t="shared" si="32"/>
        <v>Okay</v>
      </c>
    </row>
    <row r="535" spans="1:19" x14ac:dyDescent="0.3">
      <c r="A535" t="s">
        <v>545</v>
      </c>
      <c r="B535" s="2">
        <v>45982</v>
      </c>
      <c r="C535" t="s">
        <v>639</v>
      </c>
      <c r="D535" t="s">
        <v>788</v>
      </c>
      <c r="E535" t="s">
        <v>795</v>
      </c>
      <c r="F535" t="s">
        <v>798</v>
      </c>
      <c r="G535" t="s">
        <v>810</v>
      </c>
      <c r="H535">
        <v>2</v>
      </c>
      <c r="I535">
        <v>284.25</v>
      </c>
      <c r="J535">
        <v>0.3</v>
      </c>
      <c r="K535">
        <v>397.95</v>
      </c>
      <c r="L535" t="s">
        <v>814</v>
      </c>
      <c r="N535">
        <f t="shared" si="33"/>
        <v>397.95</v>
      </c>
      <c r="O535" s="5">
        <f t="shared" si="34"/>
        <v>397.95</v>
      </c>
      <c r="P535" t="str">
        <f t="shared" si="35"/>
        <v>Same</v>
      </c>
      <c r="S535" t="str">
        <f t="shared" si="32"/>
        <v>Okay</v>
      </c>
    </row>
    <row r="536" spans="1:19" x14ac:dyDescent="0.3">
      <c r="A536" t="s">
        <v>546</v>
      </c>
      <c r="B536" s="2">
        <v>45983</v>
      </c>
      <c r="C536" t="s">
        <v>702</v>
      </c>
      <c r="D536" t="s">
        <v>789</v>
      </c>
      <c r="E536" t="s">
        <v>792</v>
      </c>
      <c r="F536" t="s">
        <v>804</v>
      </c>
      <c r="G536" t="s">
        <v>809</v>
      </c>
      <c r="H536">
        <v>5</v>
      </c>
      <c r="I536">
        <v>339.16</v>
      </c>
      <c r="J536">
        <v>0.05</v>
      </c>
      <c r="K536">
        <v>1611.01</v>
      </c>
      <c r="L536" t="s">
        <v>814</v>
      </c>
      <c r="N536">
        <f t="shared" si="33"/>
        <v>1611.01</v>
      </c>
      <c r="O536" s="5">
        <f t="shared" si="34"/>
        <v>1611.01</v>
      </c>
      <c r="P536" t="str">
        <f t="shared" si="35"/>
        <v>Same</v>
      </c>
      <c r="S536" t="str">
        <f t="shared" si="32"/>
        <v>Okay</v>
      </c>
    </row>
    <row r="537" spans="1:19" x14ac:dyDescent="0.3">
      <c r="A537" t="s">
        <v>547</v>
      </c>
      <c r="B537" s="2">
        <v>45983</v>
      </c>
      <c r="C537" t="s">
        <v>660</v>
      </c>
      <c r="D537" t="s">
        <v>788</v>
      </c>
      <c r="E537" t="s">
        <v>795</v>
      </c>
      <c r="F537" t="s">
        <v>808</v>
      </c>
      <c r="G537" t="s">
        <v>812</v>
      </c>
      <c r="H537">
        <v>7</v>
      </c>
      <c r="I537">
        <v>75.95</v>
      </c>
      <c r="J537">
        <v>0.1</v>
      </c>
      <c r="K537">
        <v>478.48</v>
      </c>
      <c r="L537" t="s">
        <v>815</v>
      </c>
      <c r="N537">
        <f t="shared" si="33"/>
        <v>478.49</v>
      </c>
      <c r="O537" s="5">
        <f t="shared" si="34"/>
        <v>478.48500000000001</v>
      </c>
      <c r="P537" t="str">
        <f t="shared" si="35"/>
        <v>Different</v>
      </c>
      <c r="S537" t="str">
        <f t="shared" si="32"/>
        <v>Okay</v>
      </c>
    </row>
    <row r="538" spans="1:19" x14ac:dyDescent="0.3">
      <c r="A538" t="s">
        <v>548</v>
      </c>
      <c r="B538" s="2">
        <v>45983</v>
      </c>
      <c r="C538" t="s">
        <v>688</v>
      </c>
      <c r="D538" t="s">
        <v>785</v>
      </c>
      <c r="E538" t="s">
        <v>792</v>
      </c>
      <c r="F538" t="s">
        <v>804</v>
      </c>
      <c r="G538" t="s">
        <v>809</v>
      </c>
      <c r="H538">
        <v>7</v>
      </c>
      <c r="I538">
        <v>352.35</v>
      </c>
      <c r="J538">
        <v>0.15</v>
      </c>
      <c r="K538">
        <v>2096.48</v>
      </c>
      <c r="L538" t="s">
        <v>813</v>
      </c>
      <c r="N538">
        <f t="shared" si="33"/>
        <v>2096.48</v>
      </c>
      <c r="O538" s="5">
        <f t="shared" si="34"/>
        <v>2096.4825000000001</v>
      </c>
      <c r="P538" t="str">
        <f t="shared" si="35"/>
        <v>Same</v>
      </c>
      <c r="S538" t="str">
        <f t="shared" si="32"/>
        <v>Okay</v>
      </c>
    </row>
    <row r="539" spans="1:19" x14ac:dyDescent="0.3">
      <c r="A539" t="s">
        <v>549</v>
      </c>
      <c r="B539" s="2">
        <v>45984</v>
      </c>
      <c r="C539" t="s">
        <v>718</v>
      </c>
      <c r="D539" t="s">
        <v>788</v>
      </c>
      <c r="E539" t="s">
        <v>795</v>
      </c>
      <c r="F539" t="s">
        <v>805</v>
      </c>
      <c r="G539" t="s">
        <v>810</v>
      </c>
      <c r="H539">
        <v>1</v>
      </c>
      <c r="I539">
        <v>41.13</v>
      </c>
      <c r="J539">
        <v>0.1</v>
      </c>
      <c r="K539">
        <v>37.020000000000003</v>
      </c>
      <c r="L539" t="s">
        <v>813</v>
      </c>
      <c r="N539">
        <f t="shared" si="33"/>
        <v>37.020000000000003</v>
      </c>
      <c r="O539" s="5">
        <f t="shared" si="34"/>
        <v>37.017000000000003</v>
      </c>
      <c r="P539" t="str">
        <f t="shared" si="35"/>
        <v>Same</v>
      </c>
      <c r="S539" t="str">
        <f t="shared" si="32"/>
        <v>Okay</v>
      </c>
    </row>
    <row r="540" spans="1:19" x14ac:dyDescent="0.3">
      <c r="A540" t="s">
        <v>550</v>
      </c>
      <c r="B540" s="2">
        <v>45984</v>
      </c>
      <c r="C540" t="s">
        <v>615</v>
      </c>
      <c r="D540" t="s">
        <v>788</v>
      </c>
      <c r="E540" t="s">
        <v>795</v>
      </c>
      <c r="F540" t="s">
        <v>805</v>
      </c>
      <c r="G540" t="s">
        <v>810</v>
      </c>
      <c r="H540">
        <v>5</v>
      </c>
      <c r="I540">
        <v>41.53</v>
      </c>
      <c r="J540">
        <v>0</v>
      </c>
      <c r="K540">
        <v>207.65</v>
      </c>
      <c r="L540" t="s">
        <v>814</v>
      </c>
      <c r="N540">
        <f t="shared" si="33"/>
        <v>207.65</v>
      </c>
      <c r="O540" s="5">
        <f t="shared" si="34"/>
        <v>207.65</v>
      </c>
      <c r="P540" t="str">
        <f t="shared" si="35"/>
        <v>Same</v>
      </c>
      <c r="S540" t="str">
        <f t="shared" si="32"/>
        <v>Okay</v>
      </c>
    </row>
    <row r="541" spans="1:19" x14ac:dyDescent="0.3">
      <c r="A541" t="s">
        <v>551</v>
      </c>
      <c r="B541" s="2">
        <v>45985</v>
      </c>
      <c r="C541" t="s">
        <v>655</v>
      </c>
      <c r="D541" t="s">
        <v>785</v>
      </c>
      <c r="E541" t="s">
        <v>792</v>
      </c>
      <c r="F541" t="s">
        <v>803</v>
      </c>
      <c r="G541" t="s">
        <v>810</v>
      </c>
      <c r="H541">
        <v>1</v>
      </c>
      <c r="I541">
        <v>125.79</v>
      </c>
      <c r="J541">
        <v>0.1</v>
      </c>
      <c r="K541">
        <v>113.21</v>
      </c>
      <c r="L541" t="s">
        <v>813</v>
      </c>
      <c r="N541">
        <f t="shared" si="33"/>
        <v>113.21</v>
      </c>
      <c r="O541" s="5">
        <f t="shared" si="34"/>
        <v>113.21100000000001</v>
      </c>
      <c r="P541" t="str">
        <f t="shared" si="35"/>
        <v>Same</v>
      </c>
      <c r="S541" t="str">
        <f t="shared" si="32"/>
        <v>Okay</v>
      </c>
    </row>
    <row r="542" spans="1:19" x14ac:dyDescent="0.3">
      <c r="A542" t="s">
        <v>552</v>
      </c>
      <c r="B542" s="2">
        <v>45985</v>
      </c>
      <c r="C542" t="s">
        <v>651</v>
      </c>
      <c r="D542" t="s">
        <v>790</v>
      </c>
      <c r="E542" t="s">
        <v>796</v>
      </c>
      <c r="F542" t="s">
        <v>799</v>
      </c>
      <c r="G542" t="s">
        <v>809</v>
      </c>
      <c r="H542">
        <v>4</v>
      </c>
      <c r="I542">
        <v>55.72</v>
      </c>
      <c r="J542">
        <v>0.15</v>
      </c>
      <c r="K542">
        <v>189.45</v>
      </c>
      <c r="L542" t="s">
        <v>816</v>
      </c>
      <c r="N542">
        <f t="shared" si="33"/>
        <v>189.45</v>
      </c>
      <c r="O542" s="5">
        <f t="shared" si="34"/>
        <v>189.44799999999998</v>
      </c>
      <c r="P542" t="str">
        <f t="shared" si="35"/>
        <v>Same</v>
      </c>
      <c r="S542" t="str">
        <f t="shared" si="32"/>
        <v>Okay</v>
      </c>
    </row>
    <row r="543" spans="1:19" x14ac:dyDescent="0.3">
      <c r="A543" t="s">
        <v>553</v>
      </c>
      <c r="B543" s="2">
        <v>45985</v>
      </c>
      <c r="C543" t="s">
        <v>614</v>
      </c>
      <c r="D543" t="s">
        <v>788</v>
      </c>
      <c r="E543" t="s">
        <v>795</v>
      </c>
      <c r="F543" t="s">
        <v>805</v>
      </c>
      <c r="G543" t="s">
        <v>810</v>
      </c>
      <c r="H543">
        <v>7</v>
      </c>
      <c r="I543">
        <v>46.02</v>
      </c>
      <c r="J543">
        <v>0.05</v>
      </c>
      <c r="K543">
        <v>306.02999999999997</v>
      </c>
      <c r="L543" t="s">
        <v>816</v>
      </c>
      <c r="N543">
        <f t="shared" si="33"/>
        <v>306.02999999999997</v>
      </c>
      <c r="O543" s="5">
        <f t="shared" si="34"/>
        <v>306.03300000000002</v>
      </c>
      <c r="P543" t="str">
        <f t="shared" si="35"/>
        <v>Same</v>
      </c>
      <c r="S543" t="str">
        <f t="shared" si="32"/>
        <v>Okay</v>
      </c>
    </row>
    <row r="544" spans="1:19" x14ac:dyDescent="0.3">
      <c r="A544" t="s">
        <v>554</v>
      </c>
      <c r="B544" s="2">
        <v>45988</v>
      </c>
      <c r="C544" t="s">
        <v>781</v>
      </c>
      <c r="D544" t="s">
        <v>789</v>
      </c>
      <c r="E544" t="s">
        <v>792</v>
      </c>
      <c r="F544" t="s">
        <v>801</v>
      </c>
      <c r="G544" t="s">
        <v>811</v>
      </c>
      <c r="H544">
        <v>8</v>
      </c>
      <c r="I544">
        <v>15.3</v>
      </c>
      <c r="J544">
        <v>0</v>
      </c>
      <c r="K544">
        <v>122.4</v>
      </c>
      <c r="L544" t="s">
        <v>814</v>
      </c>
      <c r="N544">
        <f t="shared" si="33"/>
        <v>122.4</v>
      </c>
      <c r="O544" s="5">
        <f t="shared" si="34"/>
        <v>122.4</v>
      </c>
      <c r="P544" t="str">
        <f t="shared" si="35"/>
        <v>Same</v>
      </c>
      <c r="S544" t="str">
        <f t="shared" si="32"/>
        <v>Okay</v>
      </c>
    </row>
    <row r="545" spans="1:19" x14ac:dyDescent="0.3">
      <c r="A545" t="s">
        <v>555</v>
      </c>
      <c r="B545" s="2">
        <v>45989</v>
      </c>
      <c r="C545" t="s">
        <v>739</v>
      </c>
      <c r="D545" t="s">
        <v>787</v>
      </c>
      <c r="E545" t="s">
        <v>794</v>
      </c>
      <c r="F545" t="s">
        <v>802</v>
      </c>
      <c r="G545" t="s">
        <v>811</v>
      </c>
      <c r="H545">
        <v>4</v>
      </c>
      <c r="I545">
        <v>267.63</v>
      </c>
      <c r="J545">
        <v>0.1</v>
      </c>
      <c r="K545">
        <v>963.47</v>
      </c>
      <c r="L545" t="s">
        <v>813</v>
      </c>
      <c r="N545">
        <f t="shared" si="33"/>
        <v>963.47</v>
      </c>
      <c r="O545" s="5">
        <f t="shared" si="34"/>
        <v>963.46799999999996</v>
      </c>
      <c r="P545" t="str">
        <f t="shared" si="35"/>
        <v>Same</v>
      </c>
      <c r="S545" t="str">
        <f t="shared" si="32"/>
        <v>Okay</v>
      </c>
    </row>
    <row r="546" spans="1:19" x14ac:dyDescent="0.3">
      <c r="A546" t="s">
        <v>556</v>
      </c>
      <c r="B546" s="2">
        <v>45989</v>
      </c>
      <c r="C546" t="s">
        <v>650</v>
      </c>
      <c r="D546" t="s">
        <v>788</v>
      </c>
      <c r="E546" t="s">
        <v>795</v>
      </c>
      <c r="F546" t="s">
        <v>799</v>
      </c>
      <c r="G546" t="s">
        <v>809</v>
      </c>
      <c r="H546">
        <v>8</v>
      </c>
      <c r="I546">
        <v>53.97</v>
      </c>
      <c r="J546">
        <v>0.25</v>
      </c>
      <c r="K546">
        <v>323.82</v>
      </c>
      <c r="L546" t="s">
        <v>815</v>
      </c>
      <c r="N546">
        <f t="shared" si="33"/>
        <v>323.82</v>
      </c>
      <c r="O546" s="5">
        <f t="shared" si="34"/>
        <v>323.82</v>
      </c>
      <c r="P546" t="str">
        <f t="shared" si="35"/>
        <v>Same</v>
      </c>
      <c r="S546" t="str">
        <f t="shared" si="32"/>
        <v>Okay</v>
      </c>
    </row>
    <row r="547" spans="1:19" x14ac:dyDescent="0.3">
      <c r="A547" t="s">
        <v>557</v>
      </c>
      <c r="B547" s="2">
        <v>45994</v>
      </c>
      <c r="C547" t="s">
        <v>661</v>
      </c>
      <c r="D547" t="s">
        <v>785</v>
      </c>
      <c r="E547" t="s">
        <v>792</v>
      </c>
      <c r="F547" t="s">
        <v>807</v>
      </c>
      <c r="G547" t="s">
        <v>810</v>
      </c>
      <c r="H547">
        <v>4</v>
      </c>
      <c r="I547">
        <v>930.79</v>
      </c>
      <c r="J547">
        <v>0.1</v>
      </c>
      <c r="K547">
        <v>3350.84</v>
      </c>
      <c r="L547" t="s">
        <v>815</v>
      </c>
      <c r="N547">
        <f t="shared" si="33"/>
        <v>3350.84</v>
      </c>
      <c r="O547" s="5">
        <f t="shared" si="34"/>
        <v>3350.8440000000001</v>
      </c>
      <c r="P547" t="str">
        <f t="shared" si="35"/>
        <v>Same</v>
      </c>
      <c r="S547" t="str">
        <f t="shared" si="32"/>
        <v>Okay</v>
      </c>
    </row>
    <row r="548" spans="1:19" x14ac:dyDescent="0.3">
      <c r="A548" t="s">
        <v>558</v>
      </c>
      <c r="B548" s="2">
        <v>45994</v>
      </c>
      <c r="C548" t="s">
        <v>774</v>
      </c>
      <c r="D548" t="s">
        <v>789</v>
      </c>
      <c r="E548" t="s">
        <v>792</v>
      </c>
      <c r="F548" t="s">
        <v>801</v>
      </c>
      <c r="G548" t="s">
        <v>811</v>
      </c>
      <c r="H548">
        <v>7</v>
      </c>
      <c r="I548">
        <v>14.32</v>
      </c>
      <c r="J548">
        <v>0</v>
      </c>
      <c r="K548">
        <v>100.24</v>
      </c>
      <c r="L548" t="s">
        <v>816</v>
      </c>
      <c r="N548">
        <f t="shared" si="33"/>
        <v>100.24</v>
      </c>
      <c r="O548" s="5">
        <f t="shared" si="34"/>
        <v>100.24000000000001</v>
      </c>
      <c r="P548" t="str">
        <f t="shared" si="35"/>
        <v>Same</v>
      </c>
      <c r="S548" t="str">
        <f t="shared" si="32"/>
        <v>Okay</v>
      </c>
    </row>
    <row r="549" spans="1:19" x14ac:dyDescent="0.3">
      <c r="A549" t="s">
        <v>559</v>
      </c>
      <c r="B549" s="2">
        <v>45994</v>
      </c>
      <c r="C549" t="s">
        <v>638</v>
      </c>
      <c r="D549" t="s">
        <v>790</v>
      </c>
      <c r="E549" t="s">
        <v>796</v>
      </c>
      <c r="F549" t="s">
        <v>804</v>
      </c>
      <c r="G549" t="s">
        <v>809</v>
      </c>
      <c r="H549">
        <v>3</v>
      </c>
      <c r="I549">
        <v>340.05</v>
      </c>
      <c r="J549">
        <v>0.15</v>
      </c>
      <c r="K549">
        <v>867.13</v>
      </c>
      <c r="L549" t="s">
        <v>814</v>
      </c>
      <c r="N549">
        <f t="shared" si="33"/>
        <v>867.13</v>
      </c>
      <c r="O549" s="5">
        <f t="shared" si="34"/>
        <v>867.12750000000005</v>
      </c>
      <c r="P549" t="str">
        <f t="shared" si="35"/>
        <v>Same</v>
      </c>
      <c r="S549" t="str">
        <f t="shared" si="32"/>
        <v>Okay</v>
      </c>
    </row>
    <row r="550" spans="1:19" x14ac:dyDescent="0.3">
      <c r="A550" t="s">
        <v>560</v>
      </c>
      <c r="B550" s="2">
        <v>45995</v>
      </c>
      <c r="C550" t="s">
        <v>710</v>
      </c>
      <c r="D550" t="s">
        <v>790</v>
      </c>
      <c r="E550" t="s">
        <v>796</v>
      </c>
      <c r="F550" t="s">
        <v>798</v>
      </c>
      <c r="G550" t="s">
        <v>810</v>
      </c>
      <c r="H550">
        <v>6</v>
      </c>
      <c r="I550">
        <v>285.45999999999998</v>
      </c>
      <c r="J550">
        <v>0</v>
      </c>
      <c r="K550">
        <v>1712.76</v>
      </c>
      <c r="L550" t="s">
        <v>815</v>
      </c>
      <c r="N550">
        <f t="shared" si="33"/>
        <v>1712.76</v>
      </c>
      <c r="O550" s="5">
        <f t="shared" si="34"/>
        <v>1712.7599999999998</v>
      </c>
      <c r="P550" t="str">
        <f t="shared" si="35"/>
        <v>Same</v>
      </c>
      <c r="S550" t="str">
        <f t="shared" si="32"/>
        <v>Okay</v>
      </c>
    </row>
    <row r="551" spans="1:19" x14ac:dyDescent="0.3">
      <c r="A551" t="s">
        <v>561</v>
      </c>
      <c r="B551" s="2">
        <v>45995</v>
      </c>
      <c r="C551" t="s">
        <v>665</v>
      </c>
      <c r="D551" t="s">
        <v>786</v>
      </c>
      <c r="E551" t="s">
        <v>793</v>
      </c>
      <c r="F551" t="s">
        <v>807</v>
      </c>
      <c r="G551" t="s">
        <v>810</v>
      </c>
      <c r="H551">
        <v>5</v>
      </c>
      <c r="I551">
        <v>885.62</v>
      </c>
      <c r="J551">
        <v>0.25</v>
      </c>
      <c r="K551">
        <v>3321.08</v>
      </c>
      <c r="L551" t="s">
        <v>813</v>
      </c>
      <c r="N551">
        <f t="shared" si="33"/>
        <v>3321.08</v>
      </c>
      <c r="O551" s="5">
        <f t="shared" si="34"/>
        <v>3321.0750000000003</v>
      </c>
      <c r="P551" t="str">
        <f t="shared" si="35"/>
        <v>Same</v>
      </c>
      <c r="S551" t="str">
        <f t="shared" si="32"/>
        <v>Okay</v>
      </c>
    </row>
    <row r="552" spans="1:19" x14ac:dyDescent="0.3">
      <c r="A552" t="s">
        <v>562</v>
      </c>
      <c r="B552" s="2">
        <v>45995</v>
      </c>
      <c r="C552" t="s">
        <v>728</v>
      </c>
      <c r="D552" t="s">
        <v>789</v>
      </c>
      <c r="E552" t="s">
        <v>792</v>
      </c>
      <c r="F552" t="s">
        <v>798</v>
      </c>
      <c r="G552" t="s">
        <v>810</v>
      </c>
      <c r="H552">
        <v>4</v>
      </c>
      <c r="I552">
        <v>272.70999999999998</v>
      </c>
      <c r="J552">
        <v>0.05</v>
      </c>
      <c r="K552">
        <v>1036.3</v>
      </c>
      <c r="L552" t="s">
        <v>814</v>
      </c>
      <c r="N552">
        <f t="shared" si="33"/>
        <v>1036.3</v>
      </c>
      <c r="O552" s="5">
        <f t="shared" si="34"/>
        <v>1036.2979999999998</v>
      </c>
      <c r="P552" t="str">
        <f t="shared" si="35"/>
        <v>Same</v>
      </c>
      <c r="S552" t="str">
        <f t="shared" si="32"/>
        <v>Okay</v>
      </c>
    </row>
    <row r="553" spans="1:19" x14ac:dyDescent="0.3">
      <c r="A553" t="s">
        <v>563</v>
      </c>
      <c r="B553" s="2">
        <v>45997</v>
      </c>
      <c r="C553" t="s">
        <v>782</v>
      </c>
      <c r="D553" t="s">
        <v>786</v>
      </c>
      <c r="E553" t="s">
        <v>793</v>
      </c>
      <c r="F553" t="s">
        <v>806</v>
      </c>
      <c r="G553" t="s">
        <v>810</v>
      </c>
      <c r="H553">
        <v>4</v>
      </c>
      <c r="I553">
        <v>73.349999999999994</v>
      </c>
      <c r="J553">
        <v>0</v>
      </c>
      <c r="K553">
        <v>293.39999999999998</v>
      </c>
      <c r="L553" t="s">
        <v>813</v>
      </c>
      <c r="N553">
        <f t="shared" si="33"/>
        <v>293.39999999999998</v>
      </c>
      <c r="O553" s="5">
        <f t="shared" si="34"/>
        <v>293.39999999999998</v>
      </c>
      <c r="P553" t="str">
        <f t="shared" si="35"/>
        <v>Same</v>
      </c>
      <c r="S553" t="str">
        <f t="shared" si="32"/>
        <v>Okay</v>
      </c>
    </row>
    <row r="554" spans="1:19" x14ac:dyDescent="0.3">
      <c r="A554" t="s">
        <v>564</v>
      </c>
      <c r="B554" s="2">
        <v>45997</v>
      </c>
      <c r="C554" t="s">
        <v>683</v>
      </c>
      <c r="D554" t="s">
        <v>788</v>
      </c>
      <c r="E554" t="s">
        <v>795</v>
      </c>
      <c r="F554" t="s">
        <v>807</v>
      </c>
      <c r="G554" t="s">
        <v>810</v>
      </c>
      <c r="H554">
        <v>6</v>
      </c>
      <c r="I554">
        <v>844.31</v>
      </c>
      <c r="J554">
        <v>0</v>
      </c>
      <c r="K554">
        <v>5065.8599999999997</v>
      </c>
      <c r="L554" t="s">
        <v>814</v>
      </c>
      <c r="N554">
        <f t="shared" si="33"/>
        <v>5065.8599999999997</v>
      </c>
      <c r="O554" s="5">
        <f t="shared" si="34"/>
        <v>5065.8599999999997</v>
      </c>
      <c r="P554" t="str">
        <f t="shared" si="35"/>
        <v>Same</v>
      </c>
      <c r="S554" t="str">
        <f t="shared" si="32"/>
        <v>Okay</v>
      </c>
    </row>
    <row r="555" spans="1:19" x14ac:dyDescent="0.3">
      <c r="A555" t="s">
        <v>565</v>
      </c>
      <c r="B555" s="2">
        <v>45998</v>
      </c>
      <c r="C555" t="s">
        <v>673</v>
      </c>
      <c r="D555" t="s">
        <v>788</v>
      </c>
      <c r="E555" t="s">
        <v>795</v>
      </c>
      <c r="F555" t="s">
        <v>807</v>
      </c>
      <c r="G555" t="s">
        <v>810</v>
      </c>
      <c r="H555">
        <v>2</v>
      </c>
      <c r="I555">
        <v>824.71</v>
      </c>
      <c r="J555">
        <v>0.1</v>
      </c>
      <c r="K555">
        <v>1484.48</v>
      </c>
      <c r="L555" t="s">
        <v>815</v>
      </c>
      <c r="N555">
        <f t="shared" si="33"/>
        <v>1484.48</v>
      </c>
      <c r="O555" s="5">
        <f t="shared" si="34"/>
        <v>1484.4780000000001</v>
      </c>
      <c r="P555" t="str">
        <f t="shared" si="35"/>
        <v>Same</v>
      </c>
      <c r="S555" t="str">
        <f t="shared" si="32"/>
        <v>Okay</v>
      </c>
    </row>
    <row r="556" spans="1:19" x14ac:dyDescent="0.3">
      <c r="A556" t="s">
        <v>566</v>
      </c>
      <c r="B556" s="2">
        <v>45999</v>
      </c>
      <c r="C556" t="s">
        <v>709</v>
      </c>
      <c r="D556" t="s">
        <v>785</v>
      </c>
      <c r="E556" t="s">
        <v>792</v>
      </c>
      <c r="F556" t="s">
        <v>803</v>
      </c>
      <c r="G556" t="s">
        <v>810</v>
      </c>
      <c r="H556">
        <v>7</v>
      </c>
      <c r="I556">
        <v>108.66</v>
      </c>
      <c r="J556">
        <v>0.1</v>
      </c>
      <c r="K556">
        <v>684.56</v>
      </c>
      <c r="L556" t="s">
        <v>815</v>
      </c>
      <c r="N556">
        <f t="shared" si="33"/>
        <v>684.56</v>
      </c>
      <c r="O556" s="5">
        <f t="shared" si="34"/>
        <v>684.55799999999999</v>
      </c>
      <c r="P556" t="str">
        <f t="shared" si="35"/>
        <v>Same</v>
      </c>
      <c r="S556" t="str">
        <f t="shared" si="32"/>
        <v>Okay</v>
      </c>
    </row>
    <row r="557" spans="1:19" x14ac:dyDescent="0.3">
      <c r="A557" t="s">
        <v>567</v>
      </c>
      <c r="B557" s="2">
        <v>45999</v>
      </c>
      <c r="C557" t="s">
        <v>614</v>
      </c>
      <c r="D557" t="s">
        <v>786</v>
      </c>
      <c r="E557" t="s">
        <v>793</v>
      </c>
      <c r="F557" t="s">
        <v>802</v>
      </c>
      <c r="G557" t="s">
        <v>811</v>
      </c>
      <c r="H557">
        <v>5</v>
      </c>
      <c r="I557">
        <v>267.82</v>
      </c>
      <c r="J557">
        <v>0.2</v>
      </c>
      <c r="K557">
        <v>1071.28</v>
      </c>
      <c r="L557" t="s">
        <v>816</v>
      </c>
      <c r="N557">
        <f t="shared" si="33"/>
        <v>1071.28</v>
      </c>
      <c r="O557" s="5">
        <f t="shared" si="34"/>
        <v>1071.28</v>
      </c>
      <c r="P557" t="str">
        <f t="shared" si="35"/>
        <v>Same</v>
      </c>
      <c r="S557" t="str">
        <f t="shared" si="32"/>
        <v>Okay</v>
      </c>
    </row>
    <row r="558" spans="1:19" x14ac:dyDescent="0.3">
      <c r="A558" t="s">
        <v>568</v>
      </c>
      <c r="B558" s="2">
        <v>46000</v>
      </c>
      <c r="C558" t="s">
        <v>781</v>
      </c>
      <c r="D558" t="s">
        <v>786</v>
      </c>
      <c r="E558" t="s">
        <v>793</v>
      </c>
      <c r="F558" t="s">
        <v>798</v>
      </c>
      <c r="G558" t="s">
        <v>810</v>
      </c>
      <c r="H558">
        <v>2</v>
      </c>
      <c r="I558">
        <v>293.18</v>
      </c>
      <c r="J558">
        <v>0.1</v>
      </c>
      <c r="K558">
        <v>527.72</v>
      </c>
      <c r="L558" t="s">
        <v>814</v>
      </c>
      <c r="N558">
        <f t="shared" si="33"/>
        <v>527.72</v>
      </c>
      <c r="O558" s="5">
        <f t="shared" si="34"/>
        <v>527.72400000000005</v>
      </c>
      <c r="P558" t="str">
        <f t="shared" si="35"/>
        <v>Same</v>
      </c>
      <c r="S558" t="str">
        <f t="shared" si="32"/>
        <v>Okay</v>
      </c>
    </row>
    <row r="559" spans="1:19" x14ac:dyDescent="0.3">
      <c r="A559" t="s">
        <v>569</v>
      </c>
      <c r="B559" s="2">
        <v>46000</v>
      </c>
      <c r="C559" t="s">
        <v>715</v>
      </c>
      <c r="D559" t="s">
        <v>786</v>
      </c>
      <c r="E559" t="s">
        <v>793</v>
      </c>
      <c r="F559" t="s">
        <v>800</v>
      </c>
      <c r="G559" t="s">
        <v>810</v>
      </c>
      <c r="H559">
        <v>2</v>
      </c>
      <c r="I559">
        <v>603</v>
      </c>
      <c r="J559">
        <v>0.1</v>
      </c>
      <c r="K559">
        <v>1085.4000000000001</v>
      </c>
      <c r="L559" t="s">
        <v>815</v>
      </c>
      <c r="N559">
        <f t="shared" si="33"/>
        <v>1085.4000000000001</v>
      </c>
      <c r="O559" s="5">
        <f t="shared" si="34"/>
        <v>1085.4000000000001</v>
      </c>
      <c r="P559" t="str">
        <f t="shared" si="35"/>
        <v>Same</v>
      </c>
      <c r="S559" t="str">
        <f t="shared" si="32"/>
        <v>Okay</v>
      </c>
    </row>
    <row r="560" spans="1:19" x14ac:dyDescent="0.3">
      <c r="A560" t="s">
        <v>570</v>
      </c>
      <c r="B560" s="2">
        <v>46000</v>
      </c>
      <c r="C560" t="s">
        <v>647</v>
      </c>
      <c r="D560" t="s">
        <v>787</v>
      </c>
      <c r="E560" t="s">
        <v>794</v>
      </c>
      <c r="F560" t="s">
        <v>804</v>
      </c>
      <c r="G560" t="s">
        <v>809</v>
      </c>
      <c r="H560">
        <v>1</v>
      </c>
      <c r="I560">
        <v>353.76</v>
      </c>
      <c r="J560">
        <v>0.1</v>
      </c>
      <c r="K560">
        <v>318.38</v>
      </c>
      <c r="L560" t="s">
        <v>813</v>
      </c>
      <c r="N560">
        <f t="shared" si="33"/>
        <v>318.38</v>
      </c>
      <c r="O560" s="5">
        <f t="shared" si="34"/>
        <v>318.38400000000001</v>
      </c>
      <c r="P560" t="str">
        <f t="shared" si="35"/>
        <v>Same</v>
      </c>
      <c r="S560" t="str">
        <f t="shared" si="32"/>
        <v>Okay</v>
      </c>
    </row>
    <row r="561" spans="1:19" x14ac:dyDescent="0.3">
      <c r="A561" t="s">
        <v>571</v>
      </c>
      <c r="B561" s="2">
        <v>46001</v>
      </c>
      <c r="C561" t="s">
        <v>731</v>
      </c>
      <c r="D561" t="s">
        <v>789</v>
      </c>
      <c r="E561" t="s">
        <v>792</v>
      </c>
      <c r="F561" t="s">
        <v>803</v>
      </c>
      <c r="G561" t="s">
        <v>810</v>
      </c>
      <c r="H561">
        <v>6</v>
      </c>
      <c r="I561">
        <v>110.1</v>
      </c>
      <c r="J561">
        <v>0.05</v>
      </c>
      <c r="K561">
        <v>627.57000000000005</v>
      </c>
      <c r="L561" t="s">
        <v>814</v>
      </c>
      <c r="N561">
        <f t="shared" si="33"/>
        <v>627.57000000000005</v>
      </c>
      <c r="O561" s="5">
        <f t="shared" si="34"/>
        <v>627.56999999999994</v>
      </c>
      <c r="P561" t="str">
        <f t="shared" si="35"/>
        <v>Same</v>
      </c>
      <c r="S561" t="str">
        <f t="shared" si="32"/>
        <v>Okay</v>
      </c>
    </row>
    <row r="562" spans="1:19" x14ac:dyDescent="0.3">
      <c r="A562" t="s">
        <v>572</v>
      </c>
      <c r="B562" s="2">
        <v>46002</v>
      </c>
      <c r="C562" t="s">
        <v>710</v>
      </c>
      <c r="D562" t="s">
        <v>789</v>
      </c>
      <c r="E562" t="s">
        <v>792</v>
      </c>
      <c r="F562" t="s">
        <v>797</v>
      </c>
      <c r="G562" t="s">
        <v>809</v>
      </c>
      <c r="H562">
        <v>2</v>
      </c>
      <c r="I562">
        <v>230.21</v>
      </c>
      <c r="J562">
        <v>0.2</v>
      </c>
      <c r="K562">
        <v>368.34</v>
      </c>
      <c r="L562" t="s">
        <v>815</v>
      </c>
      <c r="N562">
        <f t="shared" si="33"/>
        <v>368.34</v>
      </c>
      <c r="O562" s="5">
        <f t="shared" si="34"/>
        <v>368.33600000000001</v>
      </c>
      <c r="P562" t="str">
        <f t="shared" si="35"/>
        <v>Same</v>
      </c>
      <c r="S562" t="str">
        <f t="shared" si="32"/>
        <v>Okay</v>
      </c>
    </row>
    <row r="563" spans="1:19" x14ac:dyDescent="0.3">
      <c r="A563" t="s">
        <v>573</v>
      </c>
      <c r="B563" s="2">
        <v>46002</v>
      </c>
      <c r="C563" t="s">
        <v>732</v>
      </c>
      <c r="D563" t="s">
        <v>790</v>
      </c>
      <c r="E563" t="s">
        <v>796</v>
      </c>
      <c r="F563" t="s">
        <v>804</v>
      </c>
      <c r="G563" t="s">
        <v>809</v>
      </c>
      <c r="H563">
        <v>3</v>
      </c>
      <c r="I563">
        <v>365.76</v>
      </c>
      <c r="J563">
        <v>0</v>
      </c>
      <c r="K563">
        <v>1097.28</v>
      </c>
      <c r="L563" t="s">
        <v>814</v>
      </c>
      <c r="N563">
        <f t="shared" si="33"/>
        <v>1097.28</v>
      </c>
      <c r="O563" s="5">
        <f t="shared" si="34"/>
        <v>1097.28</v>
      </c>
      <c r="P563" t="str">
        <f t="shared" si="35"/>
        <v>Same</v>
      </c>
      <c r="S563" t="str">
        <f t="shared" si="32"/>
        <v>Okay</v>
      </c>
    </row>
    <row r="564" spans="1:19" x14ac:dyDescent="0.3">
      <c r="A564" t="s">
        <v>574</v>
      </c>
      <c r="B564" s="2">
        <v>46003</v>
      </c>
      <c r="C564" t="s">
        <v>616</v>
      </c>
      <c r="D564" t="s">
        <v>786</v>
      </c>
      <c r="E564" t="s">
        <v>793</v>
      </c>
      <c r="F564" t="s">
        <v>799</v>
      </c>
      <c r="G564" t="s">
        <v>809</v>
      </c>
      <c r="H564">
        <v>3</v>
      </c>
      <c r="I564">
        <v>51.55</v>
      </c>
      <c r="J564">
        <v>0</v>
      </c>
      <c r="K564">
        <v>154.65</v>
      </c>
      <c r="L564" t="s">
        <v>815</v>
      </c>
      <c r="N564">
        <f t="shared" si="33"/>
        <v>154.65</v>
      </c>
      <c r="O564" s="5">
        <f t="shared" si="34"/>
        <v>154.64999999999998</v>
      </c>
      <c r="P564" t="str">
        <f t="shared" si="35"/>
        <v>Same</v>
      </c>
      <c r="S564" t="str">
        <f t="shared" si="32"/>
        <v>Okay</v>
      </c>
    </row>
    <row r="565" spans="1:19" x14ac:dyDescent="0.3">
      <c r="A565" t="s">
        <v>575</v>
      </c>
      <c r="B565" s="2">
        <v>46003</v>
      </c>
      <c r="C565" t="s">
        <v>662</v>
      </c>
      <c r="D565" t="s">
        <v>787</v>
      </c>
      <c r="E565" t="s">
        <v>794</v>
      </c>
      <c r="F565" t="s">
        <v>803</v>
      </c>
      <c r="G565" t="s">
        <v>810</v>
      </c>
      <c r="H565">
        <v>1</v>
      </c>
      <c r="I565">
        <v>117.57</v>
      </c>
      <c r="J565">
        <v>0.1</v>
      </c>
      <c r="K565">
        <v>105.81</v>
      </c>
      <c r="L565" t="s">
        <v>813</v>
      </c>
      <c r="N565">
        <f t="shared" si="33"/>
        <v>105.81</v>
      </c>
      <c r="O565" s="5">
        <f t="shared" si="34"/>
        <v>105.813</v>
      </c>
      <c r="P565" t="str">
        <f t="shared" si="35"/>
        <v>Same</v>
      </c>
      <c r="S565" t="str">
        <f t="shared" si="32"/>
        <v>Okay</v>
      </c>
    </row>
    <row r="566" spans="1:19" x14ac:dyDescent="0.3">
      <c r="A566" t="s">
        <v>576</v>
      </c>
      <c r="B566" s="2">
        <v>46003</v>
      </c>
      <c r="C566" t="s">
        <v>682</v>
      </c>
      <c r="D566" t="s">
        <v>786</v>
      </c>
      <c r="E566" t="s">
        <v>793</v>
      </c>
      <c r="F566" t="s">
        <v>798</v>
      </c>
      <c r="G566" t="s">
        <v>810</v>
      </c>
      <c r="H566">
        <v>7</v>
      </c>
      <c r="I566">
        <v>285.36</v>
      </c>
      <c r="J566">
        <v>0</v>
      </c>
      <c r="K566">
        <v>1997.52</v>
      </c>
      <c r="L566" t="s">
        <v>813</v>
      </c>
      <c r="N566">
        <f t="shared" si="33"/>
        <v>1997.52</v>
      </c>
      <c r="O566" s="5">
        <f t="shared" si="34"/>
        <v>1997.52</v>
      </c>
      <c r="P566" t="str">
        <f t="shared" si="35"/>
        <v>Same</v>
      </c>
      <c r="S566" t="str">
        <f t="shared" si="32"/>
        <v>Okay</v>
      </c>
    </row>
    <row r="567" spans="1:19" x14ac:dyDescent="0.3">
      <c r="A567" t="s">
        <v>577</v>
      </c>
      <c r="B567" s="2">
        <v>46006</v>
      </c>
      <c r="C567" t="s">
        <v>634</v>
      </c>
      <c r="D567" t="s">
        <v>788</v>
      </c>
      <c r="E567" t="s">
        <v>795</v>
      </c>
      <c r="F567" t="s">
        <v>804</v>
      </c>
      <c r="G567" t="s">
        <v>809</v>
      </c>
      <c r="H567">
        <v>5</v>
      </c>
      <c r="I567">
        <v>374.58</v>
      </c>
      <c r="J567">
        <v>0.1</v>
      </c>
      <c r="K567">
        <v>1685.61</v>
      </c>
      <c r="L567" t="s">
        <v>815</v>
      </c>
      <c r="N567">
        <f t="shared" si="33"/>
        <v>1685.61</v>
      </c>
      <c r="O567" s="5">
        <f t="shared" si="34"/>
        <v>1685.61</v>
      </c>
      <c r="P567" t="str">
        <f t="shared" si="35"/>
        <v>Same</v>
      </c>
      <c r="S567" t="str">
        <f t="shared" si="32"/>
        <v>Okay</v>
      </c>
    </row>
    <row r="568" spans="1:19" x14ac:dyDescent="0.3">
      <c r="A568" t="s">
        <v>578</v>
      </c>
      <c r="B568" s="2">
        <v>46007</v>
      </c>
      <c r="C568" t="s">
        <v>661</v>
      </c>
      <c r="D568" t="s">
        <v>788</v>
      </c>
      <c r="E568" t="s">
        <v>795</v>
      </c>
      <c r="F568" t="s">
        <v>798</v>
      </c>
      <c r="G568" t="s">
        <v>810</v>
      </c>
      <c r="H568">
        <v>8</v>
      </c>
      <c r="I568">
        <v>304.63</v>
      </c>
      <c r="J568">
        <v>0.15</v>
      </c>
      <c r="K568">
        <v>2071.48</v>
      </c>
      <c r="L568" t="s">
        <v>813</v>
      </c>
      <c r="N568">
        <f t="shared" si="33"/>
        <v>2071.48</v>
      </c>
      <c r="O568" s="5">
        <f t="shared" si="34"/>
        <v>2071.4839999999999</v>
      </c>
      <c r="P568" t="str">
        <f t="shared" si="35"/>
        <v>Same</v>
      </c>
      <c r="S568" t="str">
        <f t="shared" si="32"/>
        <v>Okay</v>
      </c>
    </row>
    <row r="569" spans="1:19" x14ac:dyDescent="0.3">
      <c r="A569" t="s">
        <v>579</v>
      </c>
      <c r="B569" s="2">
        <v>46008</v>
      </c>
      <c r="C569" t="s">
        <v>752</v>
      </c>
      <c r="D569" t="s">
        <v>787</v>
      </c>
      <c r="E569" t="s">
        <v>794</v>
      </c>
      <c r="F569" t="s">
        <v>800</v>
      </c>
      <c r="G569" t="s">
        <v>810</v>
      </c>
      <c r="H569">
        <v>2</v>
      </c>
      <c r="I569">
        <v>643.47</v>
      </c>
      <c r="J569">
        <v>0.1</v>
      </c>
      <c r="K569">
        <v>1158.25</v>
      </c>
      <c r="L569" t="s">
        <v>816</v>
      </c>
      <c r="N569">
        <f t="shared" si="33"/>
        <v>1158.25</v>
      </c>
      <c r="O569" s="5">
        <f t="shared" si="34"/>
        <v>1158.2460000000001</v>
      </c>
      <c r="P569" t="str">
        <f t="shared" si="35"/>
        <v>Same</v>
      </c>
      <c r="S569" t="str">
        <f t="shared" si="32"/>
        <v>Okay</v>
      </c>
    </row>
    <row r="570" spans="1:19" x14ac:dyDescent="0.3">
      <c r="A570" t="s">
        <v>580</v>
      </c>
      <c r="B570" s="2">
        <v>46008</v>
      </c>
      <c r="C570" t="s">
        <v>783</v>
      </c>
      <c r="D570" t="s">
        <v>789</v>
      </c>
      <c r="E570" t="s">
        <v>792</v>
      </c>
      <c r="F570" t="s">
        <v>807</v>
      </c>
      <c r="G570" t="s">
        <v>810</v>
      </c>
      <c r="H570">
        <v>5</v>
      </c>
      <c r="I570">
        <v>820.15</v>
      </c>
      <c r="J570">
        <v>0.2</v>
      </c>
      <c r="K570">
        <v>3280.6</v>
      </c>
      <c r="L570" t="s">
        <v>813</v>
      </c>
      <c r="N570">
        <f t="shared" si="33"/>
        <v>3280.6</v>
      </c>
      <c r="O570" s="5">
        <f t="shared" si="34"/>
        <v>3280.6000000000004</v>
      </c>
      <c r="P570" t="str">
        <f t="shared" si="35"/>
        <v>Same</v>
      </c>
      <c r="S570" t="str">
        <f t="shared" si="32"/>
        <v>Okay</v>
      </c>
    </row>
    <row r="571" spans="1:19" x14ac:dyDescent="0.3">
      <c r="A571" t="s">
        <v>581</v>
      </c>
      <c r="B571" s="2">
        <v>46009</v>
      </c>
      <c r="C571" t="s">
        <v>694</v>
      </c>
      <c r="D571" t="s">
        <v>785</v>
      </c>
      <c r="E571" t="s">
        <v>792</v>
      </c>
      <c r="F571" t="s">
        <v>805</v>
      </c>
      <c r="G571" t="s">
        <v>810</v>
      </c>
      <c r="H571">
        <v>8</v>
      </c>
      <c r="I571">
        <v>48.19</v>
      </c>
      <c r="J571">
        <v>0.1</v>
      </c>
      <c r="K571">
        <v>346.97</v>
      </c>
      <c r="L571" t="s">
        <v>813</v>
      </c>
      <c r="N571">
        <f t="shared" si="33"/>
        <v>346.97</v>
      </c>
      <c r="O571" s="5">
        <f t="shared" si="34"/>
        <v>346.96800000000002</v>
      </c>
      <c r="P571" t="str">
        <f t="shared" si="35"/>
        <v>Same</v>
      </c>
      <c r="S571" t="str">
        <f t="shared" si="32"/>
        <v>Okay</v>
      </c>
    </row>
    <row r="572" spans="1:19" x14ac:dyDescent="0.3">
      <c r="A572" t="s">
        <v>582</v>
      </c>
      <c r="B572" s="2">
        <v>46010</v>
      </c>
      <c r="C572" t="s">
        <v>720</v>
      </c>
      <c r="D572" t="s">
        <v>786</v>
      </c>
      <c r="E572" t="s">
        <v>793</v>
      </c>
      <c r="F572" t="s">
        <v>802</v>
      </c>
      <c r="G572" t="s">
        <v>811</v>
      </c>
      <c r="H572">
        <v>8</v>
      </c>
      <c r="I572">
        <v>238.71</v>
      </c>
      <c r="J572">
        <v>0</v>
      </c>
      <c r="K572">
        <v>1909.68</v>
      </c>
      <c r="L572" t="s">
        <v>814</v>
      </c>
      <c r="N572">
        <f t="shared" si="33"/>
        <v>1909.68</v>
      </c>
      <c r="O572" s="5">
        <f t="shared" si="34"/>
        <v>1909.68</v>
      </c>
      <c r="P572" t="str">
        <f t="shared" si="35"/>
        <v>Same</v>
      </c>
      <c r="S572" t="str">
        <f t="shared" si="32"/>
        <v>Okay</v>
      </c>
    </row>
    <row r="573" spans="1:19" x14ac:dyDescent="0.3">
      <c r="A573" t="s">
        <v>583</v>
      </c>
      <c r="B573" s="2">
        <v>46011</v>
      </c>
      <c r="C573" t="s">
        <v>624</v>
      </c>
      <c r="D573" t="s">
        <v>789</v>
      </c>
      <c r="E573" t="s">
        <v>792</v>
      </c>
      <c r="F573" t="s">
        <v>798</v>
      </c>
      <c r="G573" t="s">
        <v>810</v>
      </c>
      <c r="H573">
        <v>1</v>
      </c>
      <c r="I573">
        <v>288.38</v>
      </c>
      <c r="J573">
        <v>0.2</v>
      </c>
      <c r="K573">
        <v>230.7</v>
      </c>
      <c r="L573" t="s">
        <v>815</v>
      </c>
      <c r="N573">
        <f t="shared" si="33"/>
        <v>230.7</v>
      </c>
      <c r="O573" s="5">
        <f t="shared" si="34"/>
        <v>230.70400000000001</v>
      </c>
      <c r="P573" t="str">
        <f t="shared" si="35"/>
        <v>Same</v>
      </c>
      <c r="S573" t="str">
        <f t="shared" si="32"/>
        <v>Okay</v>
      </c>
    </row>
    <row r="574" spans="1:19" x14ac:dyDescent="0.3">
      <c r="A574" t="s">
        <v>584</v>
      </c>
      <c r="B574" s="2">
        <v>46011</v>
      </c>
      <c r="C574" t="s">
        <v>651</v>
      </c>
      <c r="D574" t="s">
        <v>786</v>
      </c>
      <c r="E574" t="s">
        <v>793</v>
      </c>
      <c r="F574" t="s">
        <v>800</v>
      </c>
      <c r="G574" t="s">
        <v>810</v>
      </c>
      <c r="H574">
        <v>4</v>
      </c>
      <c r="I574">
        <v>649.57000000000005</v>
      </c>
      <c r="J574">
        <v>0.05</v>
      </c>
      <c r="K574">
        <v>2468.37</v>
      </c>
      <c r="L574" t="s">
        <v>814</v>
      </c>
      <c r="N574">
        <f t="shared" si="33"/>
        <v>2468.37</v>
      </c>
      <c r="O574" s="5">
        <f t="shared" si="34"/>
        <v>2468.366</v>
      </c>
      <c r="P574" t="str">
        <f t="shared" si="35"/>
        <v>Same</v>
      </c>
      <c r="S574" t="str">
        <f t="shared" si="32"/>
        <v>Okay</v>
      </c>
    </row>
    <row r="575" spans="1:19" x14ac:dyDescent="0.3">
      <c r="A575" t="s">
        <v>585</v>
      </c>
      <c r="B575" s="2">
        <v>46012</v>
      </c>
      <c r="C575" t="s">
        <v>615</v>
      </c>
      <c r="D575" t="s">
        <v>789</v>
      </c>
      <c r="E575" t="s">
        <v>792</v>
      </c>
      <c r="F575" t="s">
        <v>804</v>
      </c>
      <c r="G575" t="s">
        <v>809</v>
      </c>
      <c r="H575">
        <v>5</v>
      </c>
      <c r="I575">
        <v>343.66</v>
      </c>
      <c r="J575">
        <v>0.1</v>
      </c>
      <c r="K575">
        <v>1546.47</v>
      </c>
      <c r="L575" t="s">
        <v>815</v>
      </c>
      <c r="N575">
        <f t="shared" si="33"/>
        <v>1546.47</v>
      </c>
      <c r="O575" s="5">
        <f t="shared" si="34"/>
        <v>1546.4700000000003</v>
      </c>
      <c r="P575" t="str">
        <f t="shared" si="35"/>
        <v>Same</v>
      </c>
      <c r="S575" t="str">
        <f t="shared" si="32"/>
        <v>Okay</v>
      </c>
    </row>
    <row r="576" spans="1:19" x14ac:dyDescent="0.3">
      <c r="A576" t="s">
        <v>586</v>
      </c>
      <c r="B576" s="2">
        <v>46012</v>
      </c>
      <c r="C576" t="s">
        <v>687</v>
      </c>
      <c r="D576" t="s">
        <v>789</v>
      </c>
      <c r="E576" t="s">
        <v>792</v>
      </c>
      <c r="F576" t="s">
        <v>799</v>
      </c>
      <c r="G576" t="s">
        <v>809</v>
      </c>
      <c r="H576">
        <v>3</v>
      </c>
      <c r="I576">
        <v>56.35</v>
      </c>
      <c r="J576">
        <v>0.15</v>
      </c>
      <c r="K576">
        <v>143.69</v>
      </c>
      <c r="L576" t="s">
        <v>813</v>
      </c>
      <c r="N576">
        <f t="shared" si="33"/>
        <v>143.69</v>
      </c>
      <c r="O576" s="5">
        <f t="shared" si="34"/>
        <v>143.6925</v>
      </c>
      <c r="P576" t="str">
        <f t="shared" si="35"/>
        <v>Same</v>
      </c>
      <c r="S576" t="str">
        <f t="shared" si="32"/>
        <v>Okay</v>
      </c>
    </row>
    <row r="577" spans="1:19" x14ac:dyDescent="0.3">
      <c r="A577" t="s">
        <v>587</v>
      </c>
      <c r="B577" s="2">
        <v>46013</v>
      </c>
      <c r="C577" t="s">
        <v>707</v>
      </c>
      <c r="D577" t="s">
        <v>787</v>
      </c>
      <c r="E577" t="s">
        <v>794</v>
      </c>
      <c r="F577" t="s">
        <v>807</v>
      </c>
      <c r="G577" t="s">
        <v>810</v>
      </c>
      <c r="H577">
        <v>2</v>
      </c>
      <c r="I577">
        <v>948.2</v>
      </c>
      <c r="J577">
        <v>0</v>
      </c>
      <c r="K577">
        <v>1896.4</v>
      </c>
      <c r="L577" t="s">
        <v>815</v>
      </c>
      <c r="N577">
        <f t="shared" si="33"/>
        <v>1896.4</v>
      </c>
      <c r="O577" s="5">
        <f t="shared" si="34"/>
        <v>1896.4</v>
      </c>
      <c r="P577" t="str">
        <f t="shared" si="35"/>
        <v>Same</v>
      </c>
      <c r="S577" t="str">
        <f t="shared" si="32"/>
        <v>Okay</v>
      </c>
    </row>
    <row r="578" spans="1:19" x14ac:dyDescent="0.3">
      <c r="A578" t="s">
        <v>588</v>
      </c>
      <c r="B578" s="2">
        <v>46014</v>
      </c>
      <c r="C578" t="s">
        <v>775</v>
      </c>
      <c r="D578" t="s">
        <v>785</v>
      </c>
      <c r="E578" t="s">
        <v>792</v>
      </c>
      <c r="F578" t="s">
        <v>799</v>
      </c>
      <c r="G578" t="s">
        <v>809</v>
      </c>
      <c r="H578">
        <v>3</v>
      </c>
      <c r="I578">
        <v>54.44</v>
      </c>
      <c r="J578">
        <v>0</v>
      </c>
      <c r="K578">
        <v>163.32</v>
      </c>
      <c r="L578" t="s">
        <v>814</v>
      </c>
      <c r="N578">
        <f t="shared" si="33"/>
        <v>163.32</v>
      </c>
      <c r="O578" s="5">
        <f t="shared" si="34"/>
        <v>163.32</v>
      </c>
      <c r="P578" t="str">
        <f t="shared" si="35"/>
        <v>Same</v>
      </c>
      <c r="S578" t="str">
        <f t="shared" ref="S578:S601" si="36">IF(OR(B578&lt;DATE(2025,1,1),B578&gt;DATE(2025,12,31)),"Strange", "Okay")</f>
        <v>Okay</v>
      </c>
    </row>
    <row r="579" spans="1:19" x14ac:dyDescent="0.3">
      <c r="A579" t="s">
        <v>589</v>
      </c>
      <c r="B579" s="2">
        <v>46014</v>
      </c>
      <c r="C579" t="s">
        <v>716</v>
      </c>
      <c r="D579" t="s">
        <v>787</v>
      </c>
      <c r="E579" t="s">
        <v>794</v>
      </c>
      <c r="F579" t="s">
        <v>807</v>
      </c>
      <c r="G579" t="s">
        <v>810</v>
      </c>
      <c r="H579">
        <v>4</v>
      </c>
      <c r="I579">
        <v>980.86</v>
      </c>
      <c r="J579">
        <v>0.15</v>
      </c>
      <c r="K579">
        <v>3334.92</v>
      </c>
      <c r="L579" t="s">
        <v>814</v>
      </c>
      <c r="N579">
        <f t="shared" ref="N579:N601" si="37">ROUND(H579*I579*(1-J579),2)</f>
        <v>3334.92</v>
      </c>
      <c r="O579" s="5">
        <f t="shared" ref="O579:O601" si="38">H579*I579*(1-J579)</f>
        <v>3334.924</v>
      </c>
      <c r="P579" t="str">
        <f t="shared" ref="P579:P601" si="39">IF(ROUND(O579,2)=ROUND(K579,2),"Same","Different")</f>
        <v>Same</v>
      </c>
      <c r="S579" t="str">
        <f t="shared" si="36"/>
        <v>Okay</v>
      </c>
    </row>
    <row r="580" spans="1:19" x14ac:dyDescent="0.3">
      <c r="A580" t="s">
        <v>590</v>
      </c>
      <c r="B580" s="2">
        <v>46015</v>
      </c>
      <c r="C580" t="s">
        <v>738</v>
      </c>
      <c r="D580" t="s">
        <v>787</v>
      </c>
      <c r="E580" t="s">
        <v>794</v>
      </c>
      <c r="F580" t="s">
        <v>800</v>
      </c>
      <c r="G580" t="s">
        <v>810</v>
      </c>
      <c r="H580">
        <v>8</v>
      </c>
      <c r="I580">
        <v>599.67999999999995</v>
      </c>
      <c r="J580">
        <v>0.2</v>
      </c>
      <c r="K580">
        <v>3837.95</v>
      </c>
      <c r="L580" t="s">
        <v>814</v>
      </c>
      <c r="N580">
        <f t="shared" si="37"/>
        <v>3837.95</v>
      </c>
      <c r="O580" s="5">
        <f t="shared" si="38"/>
        <v>3837.9519999999998</v>
      </c>
      <c r="P580" t="str">
        <f t="shared" si="39"/>
        <v>Same</v>
      </c>
      <c r="S580" t="str">
        <f t="shared" si="36"/>
        <v>Okay</v>
      </c>
    </row>
    <row r="581" spans="1:19" x14ac:dyDescent="0.3">
      <c r="A581" t="s">
        <v>591</v>
      </c>
      <c r="B581" s="2">
        <v>46015</v>
      </c>
      <c r="C581" t="s">
        <v>736</v>
      </c>
      <c r="D581" t="s">
        <v>786</v>
      </c>
      <c r="E581" t="s">
        <v>793</v>
      </c>
      <c r="F581" t="s">
        <v>802</v>
      </c>
      <c r="G581" t="s">
        <v>811</v>
      </c>
      <c r="H581">
        <v>5</v>
      </c>
      <c r="I581">
        <v>228.78</v>
      </c>
      <c r="J581">
        <v>0.05</v>
      </c>
      <c r="K581">
        <v>1086.7</v>
      </c>
      <c r="L581" t="s">
        <v>814</v>
      </c>
      <c r="N581">
        <f t="shared" si="37"/>
        <v>1086.71</v>
      </c>
      <c r="O581" s="5">
        <f t="shared" si="38"/>
        <v>1086.7049999999999</v>
      </c>
      <c r="P581" t="str">
        <f t="shared" si="39"/>
        <v>Different</v>
      </c>
      <c r="S581" t="str">
        <f t="shared" si="36"/>
        <v>Okay</v>
      </c>
    </row>
    <row r="582" spans="1:19" x14ac:dyDescent="0.3">
      <c r="A582" t="s">
        <v>592</v>
      </c>
      <c r="B582" s="2">
        <v>46015</v>
      </c>
      <c r="C582" t="s">
        <v>698</v>
      </c>
      <c r="D582" t="s">
        <v>788</v>
      </c>
      <c r="E582" t="s">
        <v>795</v>
      </c>
      <c r="F582" t="s">
        <v>806</v>
      </c>
      <c r="G582" t="s">
        <v>810</v>
      </c>
      <c r="H582">
        <v>7</v>
      </c>
      <c r="I582">
        <v>79.8</v>
      </c>
      <c r="J582">
        <v>0</v>
      </c>
      <c r="K582">
        <v>558.6</v>
      </c>
      <c r="L582" t="s">
        <v>814</v>
      </c>
      <c r="N582">
        <f t="shared" si="37"/>
        <v>558.6</v>
      </c>
      <c r="O582" s="5">
        <f t="shared" si="38"/>
        <v>558.6</v>
      </c>
      <c r="P582" t="str">
        <f t="shared" si="39"/>
        <v>Same</v>
      </c>
      <c r="S582" t="str">
        <f t="shared" si="36"/>
        <v>Okay</v>
      </c>
    </row>
    <row r="583" spans="1:19" x14ac:dyDescent="0.3">
      <c r="A583" t="s">
        <v>593</v>
      </c>
      <c r="B583" s="2">
        <v>46015</v>
      </c>
      <c r="C583" t="s">
        <v>715</v>
      </c>
      <c r="D583" t="s">
        <v>789</v>
      </c>
      <c r="E583" t="s">
        <v>792</v>
      </c>
      <c r="F583" t="s">
        <v>798</v>
      </c>
      <c r="G583" t="s">
        <v>810</v>
      </c>
      <c r="H583">
        <v>1</v>
      </c>
      <c r="I583">
        <v>324.92</v>
      </c>
      <c r="J583">
        <v>0.25</v>
      </c>
      <c r="K583">
        <v>243.69</v>
      </c>
      <c r="L583" t="s">
        <v>814</v>
      </c>
      <c r="N583">
        <f t="shared" si="37"/>
        <v>243.69</v>
      </c>
      <c r="O583" s="5">
        <f t="shared" si="38"/>
        <v>243.69</v>
      </c>
      <c r="P583" t="str">
        <f t="shared" si="39"/>
        <v>Same</v>
      </c>
      <c r="S583" t="str">
        <f t="shared" si="36"/>
        <v>Okay</v>
      </c>
    </row>
    <row r="584" spans="1:19" x14ac:dyDescent="0.3">
      <c r="A584" t="s">
        <v>594</v>
      </c>
      <c r="B584" s="2">
        <v>46016</v>
      </c>
      <c r="C584" t="s">
        <v>755</v>
      </c>
      <c r="D584" t="s">
        <v>789</v>
      </c>
      <c r="E584" t="s">
        <v>792</v>
      </c>
      <c r="F584" t="s">
        <v>808</v>
      </c>
      <c r="G584" t="s">
        <v>812</v>
      </c>
      <c r="H584">
        <v>3</v>
      </c>
      <c r="I584">
        <v>69.83</v>
      </c>
      <c r="J584">
        <v>0</v>
      </c>
      <c r="K584">
        <v>209.49</v>
      </c>
      <c r="L584" t="s">
        <v>813</v>
      </c>
      <c r="N584">
        <f t="shared" si="37"/>
        <v>209.49</v>
      </c>
      <c r="O584" s="5">
        <f t="shared" si="38"/>
        <v>209.49</v>
      </c>
      <c r="P584" t="str">
        <f t="shared" si="39"/>
        <v>Same</v>
      </c>
      <c r="S584" t="str">
        <f t="shared" si="36"/>
        <v>Okay</v>
      </c>
    </row>
    <row r="585" spans="1:19" x14ac:dyDescent="0.3">
      <c r="A585" t="s">
        <v>595</v>
      </c>
      <c r="B585" s="2">
        <v>46017</v>
      </c>
      <c r="C585" t="s">
        <v>738</v>
      </c>
      <c r="D585" t="s">
        <v>789</v>
      </c>
      <c r="E585" t="s">
        <v>792</v>
      </c>
      <c r="F585" t="s">
        <v>799</v>
      </c>
      <c r="G585" t="s">
        <v>809</v>
      </c>
      <c r="H585">
        <v>2</v>
      </c>
      <c r="I585">
        <v>58.35</v>
      </c>
      <c r="J585">
        <v>0</v>
      </c>
      <c r="K585">
        <v>116.7</v>
      </c>
      <c r="L585" t="s">
        <v>813</v>
      </c>
      <c r="N585">
        <f t="shared" si="37"/>
        <v>116.7</v>
      </c>
      <c r="O585" s="5">
        <f t="shared" si="38"/>
        <v>116.7</v>
      </c>
      <c r="P585" t="str">
        <f t="shared" si="39"/>
        <v>Same</v>
      </c>
      <c r="S585" t="str">
        <f t="shared" si="36"/>
        <v>Okay</v>
      </c>
    </row>
    <row r="586" spans="1:19" x14ac:dyDescent="0.3">
      <c r="A586" t="s">
        <v>596</v>
      </c>
      <c r="B586" s="2">
        <v>46017</v>
      </c>
      <c r="C586" t="s">
        <v>743</v>
      </c>
      <c r="D586" t="s">
        <v>785</v>
      </c>
      <c r="E586" t="s">
        <v>792</v>
      </c>
      <c r="F586" t="s">
        <v>798</v>
      </c>
      <c r="G586" t="s">
        <v>810</v>
      </c>
      <c r="H586">
        <v>4</v>
      </c>
      <c r="I586">
        <v>304.89</v>
      </c>
      <c r="J586">
        <v>0</v>
      </c>
      <c r="K586">
        <v>1219.56</v>
      </c>
      <c r="L586" t="s">
        <v>813</v>
      </c>
      <c r="N586">
        <f t="shared" si="37"/>
        <v>1219.56</v>
      </c>
      <c r="O586" s="5">
        <f t="shared" si="38"/>
        <v>1219.56</v>
      </c>
      <c r="P586" t="str">
        <f t="shared" si="39"/>
        <v>Same</v>
      </c>
      <c r="S586" t="str">
        <f t="shared" si="36"/>
        <v>Okay</v>
      </c>
    </row>
    <row r="587" spans="1:19" x14ac:dyDescent="0.3">
      <c r="A587" t="s">
        <v>597</v>
      </c>
      <c r="B587" s="2">
        <v>46017</v>
      </c>
      <c r="C587" t="s">
        <v>649</v>
      </c>
      <c r="D587" t="s">
        <v>790</v>
      </c>
      <c r="E587" t="s">
        <v>796</v>
      </c>
      <c r="F587" t="s">
        <v>800</v>
      </c>
      <c r="G587" t="s">
        <v>810</v>
      </c>
      <c r="H587">
        <v>5</v>
      </c>
      <c r="I587">
        <v>683.16</v>
      </c>
      <c r="J587">
        <v>0.1</v>
      </c>
      <c r="K587">
        <v>3074.22</v>
      </c>
      <c r="L587" t="s">
        <v>813</v>
      </c>
      <c r="N587">
        <f t="shared" si="37"/>
        <v>3074.22</v>
      </c>
      <c r="O587" s="5">
        <f t="shared" si="38"/>
        <v>3074.22</v>
      </c>
      <c r="P587" t="str">
        <f t="shared" si="39"/>
        <v>Same</v>
      </c>
      <c r="S587" t="str">
        <f t="shared" si="36"/>
        <v>Okay</v>
      </c>
    </row>
    <row r="588" spans="1:19" x14ac:dyDescent="0.3">
      <c r="A588" t="s">
        <v>598</v>
      </c>
      <c r="B588" s="2">
        <v>46017</v>
      </c>
      <c r="C588" t="s">
        <v>715</v>
      </c>
      <c r="D588" t="s">
        <v>785</v>
      </c>
      <c r="E588" t="s">
        <v>792</v>
      </c>
      <c r="F588" t="s">
        <v>803</v>
      </c>
      <c r="G588" t="s">
        <v>810</v>
      </c>
      <c r="H588">
        <v>4</v>
      </c>
      <c r="I588">
        <v>121.22</v>
      </c>
      <c r="J588">
        <v>0.1</v>
      </c>
      <c r="K588">
        <v>436.39</v>
      </c>
      <c r="L588" t="s">
        <v>813</v>
      </c>
      <c r="N588">
        <f t="shared" si="37"/>
        <v>436.39</v>
      </c>
      <c r="O588" s="5">
        <f t="shared" si="38"/>
        <v>436.392</v>
      </c>
      <c r="P588" t="str">
        <f t="shared" si="39"/>
        <v>Same</v>
      </c>
      <c r="S588" t="str">
        <f t="shared" si="36"/>
        <v>Okay</v>
      </c>
    </row>
    <row r="589" spans="1:19" x14ac:dyDescent="0.3">
      <c r="A589" t="s">
        <v>599</v>
      </c>
      <c r="B589" s="2">
        <v>46017</v>
      </c>
      <c r="C589" t="s">
        <v>635</v>
      </c>
      <c r="D589" t="s">
        <v>790</v>
      </c>
      <c r="E589" t="s">
        <v>796</v>
      </c>
      <c r="F589" t="s">
        <v>805</v>
      </c>
      <c r="G589" t="s">
        <v>810</v>
      </c>
      <c r="H589">
        <v>2</v>
      </c>
      <c r="I589">
        <v>43.34</v>
      </c>
      <c r="J589">
        <v>0.05</v>
      </c>
      <c r="K589">
        <v>82.35</v>
      </c>
      <c r="L589" t="s">
        <v>816</v>
      </c>
      <c r="N589">
        <f t="shared" si="37"/>
        <v>82.35</v>
      </c>
      <c r="O589" s="5">
        <f t="shared" si="38"/>
        <v>82.346000000000004</v>
      </c>
      <c r="P589" t="str">
        <f t="shared" si="39"/>
        <v>Same</v>
      </c>
      <c r="S589" t="str">
        <f t="shared" si="36"/>
        <v>Okay</v>
      </c>
    </row>
    <row r="590" spans="1:19" x14ac:dyDescent="0.3">
      <c r="A590" t="s">
        <v>600</v>
      </c>
      <c r="B590" s="2">
        <v>46017</v>
      </c>
      <c r="C590" t="s">
        <v>757</v>
      </c>
      <c r="D590" t="s">
        <v>789</v>
      </c>
      <c r="E590" t="s">
        <v>792</v>
      </c>
      <c r="F590" t="s">
        <v>798</v>
      </c>
      <c r="G590" t="s">
        <v>810</v>
      </c>
      <c r="H590">
        <v>4</v>
      </c>
      <c r="I590">
        <v>326.43</v>
      </c>
      <c r="J590">
        <v>0.1</v>
      </c>
      <c r="K590">
        <v>1175.1500000000001</v>
      </c>
      <c r="L590" t="s">
        <v>815</v>
      </c>
      <c r="N590">
        <f t="shared" si="37"/>
        <v>1175.1500000000001</v>
      </c>
      <c r="O590" s="5">
        <f t="shared" si="38"/>
        <v>1175.1480000000001</v>
      </c>
      <c r="P590" t="str">
        <f t="shared" si="39"/>
        <v>Same</v>
      </c>
      <c r="S590" t="str">
        <f t="shared" si="36"/>
        <v>Okay</v>
      </c>
    </row>
    <row r="591" spans="1:19" x14ac:dyDescent="0.3">
      <c r="A591" t="s">
        <v>601</v>
      </c>
      <c r="B591" s="2">
        <v>46018</v>
      </c>
      <c r="C591" t="s">
        <v>683</v>
      </c>
      <c r="D591" t="s">
        <v>789</v>
      </c>
      <c r="E591" t="s">
        <v>792</v>
      </c>
      <c r="F591" t="s">
        <v>802</v>
      </c>
      <c r="G591" t="s">
        <v>811</v>
      </c>
      <c r="H591">
        <v>4</v>
      </c>
      <c r="I591">
        <v>235.63</v>
      </c>
      <c r="J591">
        <v>0.1</v>
      </c>
      <c r="K591">
        <v>848.27</v>
      </c>
      <c r="L591" t="s">
        <v>816</v>
      </c>
      <c r="N591">
        <f t="shared" si="37"/>
        <v>848.27</v>
      </c>
      <c r="O591" s="5">
        <f t="shared" si="38"/>
        <v>848.26800000000003</v>
      </c>
      <c r="P591" t="str">
        <f t="shared" si="39"/>
        <v>Same</v>
      </c>
      <c r="S591" t="str">
        <f t="shared" si="36"/>
        <v>Okay</v>
      </c>
    </row>
    <row r="592" spans="1:19" x14ac:dyDescent="0.3">
      <c r="A592" t="s">
        <v>602</v>
      </c>
      <c r="B592" s="2">
        <v>46018</v>
      </c>
      <c r="C592" t="s">
        <v>659</v>
      </c>
      <c r="D592" t="s">
        <v>785</v>
      </c>
      <c r="E592" t="s">
        <v>792</v>
      </c>
      <c r="F592" t="s">
        <v>799</v>
      </c>
      <c r="G592" t="s">
        <v>809</v>
      </c>
      <c r="H592">
        <v>6</v>
      </c>
      <c r="I592">
        <v>50.12</v>
      </c>
      <c r="J592">
        <v>0</v>
      </c>
      <c r="K592">
        <v>300.72000000000003</v>
      </c>
      <c r="L592" t="s">
        <v>814</v>
      </c>
      <c r="N592">
        <f t="shared" si="37"/>
        <v>300.72000000000003</v>
      </c>
      <c r="O592" s="5">
        <f t="shared" si="38"/>
        <v>300.71999999999997</v>
      </c>
      <c r="P592" t="str">
        <f t="shared" si="39"/>
        <v>Same</v>
      </c>
      <c r="S592" t="str">
        <f t="shared" si="36"/>
        <v>Okay</v>
      </c>
    </row>
    <row r="593" spans="1:19" x14ac:dyDescent="0.3">
      <c r="A593" t="s">
        <v>603</v>
      </c>
      <c r="B593" s="2">
        <v>46019</v>
      </c>
      <c r="C593" t="s">
        <v>749</v>
      </c>
      <c r="D593" t="s">
        <v>788</v>
      </c>
      <c r="E593" t="s">
        <v>795</v>
      </c>
      <c r="F593" t="s">
        <v>798</v>
      </c>
      <c r="G593" t="s">
        <v>810</v>
      </c>
      <c r="H593">
        <v>4</v>
      </c>
      <c r="I593">
        <v>308.18</v>
      </c>
      <c r="J593">
        <v>0.15</v>
      </c>
      <c r="K593">
        <v>1047.81</v>
      </c>
      <c r="L593" t="s">
        <v>814</v>
      </c>
      <c r="N593">
        <f t="shared" si="37"/>
        <v>1047.81</v>
      </c>
      <c r="O593" s="5">
        <f t="shared" si="38"/>
        <v>1047.8119999999999</v>
      </c>
      <c r="P593" t="str">
        <f t="shared" si="39"/>
        <v>Same</v>
      </c>
      <c r="S593" t="str">
        <f t="shared" si="36"/>
        <v>Okay</v>
      </c>
    </row>
    <row r="594" spans="1:19" x14ac:dyDescent="0.3">
      <c r="A594" t="s">
        <v>604</v>
      </c>
      <c r="B594" s="2">
        <v>46020</v>
      </c>
      <c r="C594" t="s">
        <v>780</v>
      </c>
      <c r="D594" t="s">
        <v>790</v>
      </c>
      <c r="E594" t="s">
        <v>796</v>
      </c>
      <c r="F594" t="s">
        <v>805</v>
      </c>
      <c r="G594" t="s">
        <v>810</v>
      </c>
      <c r="H594">
        <v>2</v>
      </c>
      <c r="I594">
        <v>47.59</v>
      </c>
      <c r="J594">
        <v>0.1</v>
      </c>
      <c r="K594">
        <v>85.66</v>
      </c>
      <c r="L594" t="s">
        <v>815</v>
      </c>
      <c r="N594">
        <f t="shared" si="37"/>
        <v>85.66</v>
      </c>
      <c r="O594" s="5">
        <f t="shared" si="38"/>
        <v>85.662000000000006</v>
      </c>
      <c r="P594" t="str">
        <f t="shared" si="39"/>
        <v>Same</v>
      </c>
      <c r="S594" t="str">
        <f t="shared" si="36"/>
        <v>Okay</v>
      </c>
    </row>
    <row r="595" spans="1:19" x14ac:dyDescent="0.3">
      <c r="A595" t="s">
        <v>605</v>
      </c>
      <c r="B595" s="2">
        <v>46020</v>
      </c>
      <c r="C595" t="s">
        <v>782</v>
      </c>
      <c r="D595" t="s">
        <v>788</v>
      </c>
      <c r="E595" t="s">
        <v>795</v>
      </c>
      <c r="F595" t="s">
        <v>805</v>
      </c>
      <c r="G595" t="s">
        <v>810</v>
      </c>
      <c r="H595">
        <v>5</v>
      </c>
      <c r="I595">
        <v>45.75</v>
      </c>
      <c r="J595">
        <v>0.1</v>
      </c>
      <c r="K595">
        <v>205.88</v>
      </c>
      <c r="L595" t="s">
        <v>814</v>
      </c>
      <c r="N595">
        <f t="shared" si="37"/>
        <v>205.88</v>
      </c>
      <c r="O595" s="5">
        <f t="shared" si="38"/>
        <v>205.875</v>
      </c>
      <c r="P595" t="str">
        <f t="shared" si="39"/>
        <v>Same</v>
      </c>
      <c r="S595" t="str">
        <f t="shared" si="36"/>
        <v>Okay</v>
      </c>
    </row>
    <row r="596" spans="1:19" x14ac:dyDescent="0.3">
      <c r="A596" t="s">
        <v>606</v>
      </c>
      <c r="B596" s="2">
        <v>46021</v>
      </c>
      <c r="C596" t="s">
        <v>647</v>
      </c>
      <c r="D596" t="s">
        <v>790</v>
      </c>
      <c r="E596" t="s">
        <v>796</v>
      </c>
      <c r="F596" t="s">
        <v>798</v>
      </c>
      <c r="G596" t="s">
        <v>810</v>
      </c>
      <c r="H596">
        <v>2</v>
      </c>
      <c r="I596">
        <v>298.85000000000002</v>
      </c>
      <c r="J596">
        <v>0.25</v>
      </c>
      <c r="K596">
        <v>448.28</v>
      </c>
      <c r="L596" t="s">
        <v>815</v>
      </c>
      <c r="N596">
        <f t="shared" si="37"/>
        <v>448.28</v>
      </c>
      <c r="O596" s="5">
        <f t="shared" si="38"/>
        <v>448.27500000000003</v>
      </c>
      <c r="P596" t="str">
        <f t="shared" si="39"/>
        <v>Same</v>
      </c>
      <c r="S596" t="str">
        <f t="shared" si="36"/>
        <v>Okay</v>
      </c>
    </row>
    <row r="597" spans="1:19" x14ac:dyDescent="0.3">
      <c r="A597" t="s">
        <v>607</v>
      </c>
      <c r="B597" s="2">
        <v>46021</v>
      </c>
      <c r="C597" t="s">
        <v>674</v>
      </c>
      <c r="D597" t="s">
        <v>786</v>
      </c>
      <c r="E597" t="s">
        <v>793</v>
      </c>
      <c r="F597" t="s">
        <v>800</v>
      </c>
      <c r="G597" t="s">
        <v>810</v>
      </c>
      <c r="H597">
        <v>6</v>
      </c>
      <c r="I597">
        <v>677.33</v>
      </c>
      <c r="J597">
        <v>0.05</v>
      </c>
      <c r="K597">
        <v>3860.78</v>
      </c>
      <c r="L597" t="s">
        <v>815</v>
      </c>
      <c r="N597">
        <f t="shared" si="37"/>
        <v>3860.78</v>
      </c>
      <c r="O597" s="5">
        <f t="shared" si="38"/>
        <v>3860.7810000000004</v>
      </c>
      <c r="P597" t="str">
        <f t="shared" si="39"/>
        <v>Same</v>
      </c>
      <c r="S597" t="str">
        <f t="shared" si="36"/>
        <v>Okay</v>
      </c>
    </row>
    <row r="598" spans="1:19" x14ac:dyDescent="0.3">
      <c r="A598" t="s">
        <v>608</v>
      </c>
      <c r="B598" s="2">
        <v>46021</v>
      </c>
      <c r="C598" t="s">
        <v>759</v>
      </c>
      <c r="D598" t="s">
        <v>785</v>
      </c>
      <c r="E598" t="s">
        <v>792</v>
      </c>
      <c r="F598" t="s">
        <v>807</v>
      </c>
      <c r="G598" t="s">
        <v>810</v>
      </c>
      <c r="H598">
        <v>8</v>
      </c>
      <c r="I598">
        <v>850.81</v>
      </c>
      <c r="J598">
        <v>0.15</v>
      </c>
      <c r="K598">
        <v>5785.51</v>
      </c>
      <c r="L598" t="s">
        <v>815</v>
      </c>
      <c r="N598">
        <f t="shared" si="37"/>
        <v>5785.51</v>
      </c>
      <c r="O598" s="5">
        <f t="shared" si="38"/>
        <v>5785.5079999999998</v>
      </c>
      <c r="P598" t="str">
        <f t="shared" si="39"/>
        <v>Same</v>
      </c>
      <c r="S598" t="str">
        <f t="shared" si="36"/>
        <v>Okay</v>
      </c>
    </row>
    <row r="599" spans="1:19" x14ac:dyDescent="0.3">
      <c r="A599" t="s">
        <v>609</v>
      </c>
      <c r="B599" s="2">
        <v>46022</v>
      </c>
      <c r="C599" t="s">
        <v>784</v>
      </c>
      <c r="D599" t="s">
        <v>790</v>
      </c>
      <c r="E599" t="s">
        <v>796</v>
      </c>
      <c r="F599" t="s">
        <v>801</v>
      </c>
      <c r="G599" t="s">
        <v>811</v>
      </c>
      <c r="H599">
        <v>5</v>
      </c>
      <c r="I599">
        <v>15.74</v>
      </c>
      <c r="J599">
        <v>0.2</v>
      </c>
      <c r="K599">
        <v>62.96</v>
      </c>
      <c r="L599" t="s">
        <v>813</v>
      </c>
      <c r="N599">
        <f t="shared" si="37"/>
        <v>62.96</v>
      </c>
      <c r="O599" s="5">
        <f t="shared" si="38"/>
        <v>62.960000000000008</v>
      </c>
      <c r="P599" t="str">
        <f t="shared" si="39"/>
        <v>Same</v>
      </c>
      <c r="S599" t="str">
        <f t="shared" si="36"/>
        <v>Okay</v>
      </c>
    </row>
    <row r="600" spans="1:19" x14ac:dyDescent="0.3">
      <c r="A600" t="s">
        <v>610</v>
      </c>
      <c r="B600" s="2">
        <v>46022</v>
      </c>
      <c r="C600" t="s">
        <v>709</v>
      </c>
      <c r="D600" t="s">
        <v>785</v>
      </c>
      <c r="E600" t="s">
        <v>792</v>
      </c>
      <c r="F600" t="s">
        <v>807</v>
      </c>
      <c r="G600" t="s">
        <v>810</v>
      </c>
      <c r="H600">
        <v>6</v>
      </c>
      <c r="I600">
        <v>959.71</v>
      </c>
      <c r="J600">
        <v>0.05</v>
      </c>
      <c r="K600">
        <v>5470.35</v>
      </c>
      <c r="L600" t="s">
        <v>815</v>
      </c>
      <c r="N600">
        <f t="shared" si="37"/>
        <v>5470.35</v>
      </c>
      <c r="O600" s="5">
        <f t="shared" si="38"/>
        <v>5470.3469999999998</v>
      </c>
      <c r="P600" t="str">
        <f t="shared" si="39"/>
        <v>Same</v>
      </c>
      <c r="S600" t="str">
        <f t="shared" si="36"/>
        <v>Okay</v>
      </c>
    </row>
    <row r="601" spans="1:19" x14ac:dyDescent="0.3">
      <c r="A601" t="s">
        <v>611</v>
      </c>
      <c r="B601" s="2">
        <v>46022</v>
      </c>
      <c r="C601" t="s">
        <v>657</v>
      </c>
      <c r="D601" t="s">
        <v>790</v>
      </c>
      <c r="E601" t="s">
        <v>796</v>
      </c>
      <c r="F601" t="s">
        <v>801</v>
      </c>
      <c r="G601" t="s">
        <v>811</v>
      </c>
      <c r="H601">
        <v>2</v>
      </c>
      <c r="I601">
        <v>14.83</v>
      </c>
      <c r="J601">
        <v>0.15</v>
      </c>
      <c r="K601">
        <v>25.21</v>
      </c>
      <c r="L601" t="s">
        <v>815</v>
      </c>
      <c r="N601">
        <f t="shared" si="37"/>
        <v>25.21</v>
      </c>
      <c r="O601" s="5">
        <f t="shared" si="38"/>
        <v>25.210999999999999</v>
      </c>
      <c r="P601" t="str">
        <f t="shared" si="39"/>
        <v>Same</v>
      </c>
      <c r="S601" t="str">
        <f t="shared" si="36"/>
        <v>Okay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Top_Items</vt:lpstr>
      <vt:lpstr>Raw_Data</vt:lpstr>
      <vt:lpstr>Graphs</vt:lpstr>
      <vt:lpstr>Cleaned_data</vt:lpstr>
      <vt:lpstr>Info</vt:lpstr>
      <vt:lpstr>Missing_values</vt:lpstr>
      <vt:lpstr>Monthly_Sales_counts</vt:lpstr>
      <vt:lpstr>Raw_Data_Copy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STEPHEN</cp:lastModifiedBy>
  <dcterms:created xsi:type="dcterms:W3CDTF">2026-10-02T21:37:00Z</dcterms:created>
  <dcterms:modified xsi:type="dcterms:W3CDTF">2026-10-03T23:41:05Z</dcterms:modified>
</cp:coreProperties>
</file>